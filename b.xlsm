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T:\06部門ファイル(お客様５年)\ＲＭ第一\02_メニュー・ツール・ナレッジ・教育\03_メニュー別ツール・マニュアル\2120_水災被害想定手法(Excel)\04_被害率計算ツール\拡張（建物100棟）\"/>
    </mc:Choice>
  </mc:AlternateContent>
  <xr:revisionPtr revIDLastSave="0" documentId="13_ncr:1_{86213286-070F-4C68-B7F1-9453B54F0128}" xr6:coauthVersionLast="47" xr6:coauthVersionMax="47" xr10:uidLastSave="{00000000-0000-0000-0000-000000000000}"/>
  <workbookProtection lockStructure="1"/>
  <bookViews>
    <workbookView xWindow="-120" yWindow="-120" windowWidth="29040" windowHeight="15990" tabRatio="603" xr2:uid="{00000000-000D-0000-FFFF-FFFF00000000}"/>
  </bookViews>
  <sheets>
    <sheet name="①簡易状況入力" sheetId="7" r:id="rId1"/>
    <sheet name="②詳細状況入力" sheetId="3" r:id="rId2"/>
    <sheet name="③各部被害関数計算結果" sheetId="9" r:id="rId3"/>
    <sheet name="【参考】被害関数グラフ" sheetId="11" r:id="rId4"/>
    <sheet name="④結果出力" sheetId="8" r:id="rId5"/>
    <sheet name="建物被害関数" sheetId="2" r:id="rId6"/>
    <sheet name="屋外設備被害関数" sheetId="5" r:id="rId7"/>
    <sheet name="【DB】被害率係数" sheetId="1"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3" i="2" l="1"/>
  <c r="D31" i="2"/>
  <c r="Z113" i="8"/>
  <c r="X113" i="8"/>
  <c r="U113" i="8"/>
  <c r="S113" i="8"/>
  <c r="P113" i="8"/>
  <c r="N113" i="8"/>
  <c r="K113" i="8"/>
  <c r="I113" i="8"/>
  <c r="E113" i="8"/>
  <c r="B113" i="8"/>
  <c r="Q113" i="8" s="1"/>
  <c r="F401" i="9" s="1"/>
  <c r="Z112" i="8"/>
  <c r="X112" i="8"/>
  <c r="U112" i="8"/>
  <c r="S112" i="8"/>
  <c r="P112" i="8"/>
  <c r="N112" i="8"/>
  <c r="K112" i="8"/>
  <c r="I112" i="8"/>
  <c r="B112" i="8"/>
  <c r="E112" i="8" s="1"/>
  <c r="Z111" i="8"/>
  <c r="X111" i="8"/>
  <c r="U111" i="8"/>
  <c r="S111" i="8"/>
  <c r="P111" i="8"/>
  <c r="N111" i="8"/>
  <c r="K111" i="8"/>
  <c r="I111" i="8"/>
  <c r="B111" i="8"/>
  <c r="Z110" i="8"/>
  <c r="X110" i="8"/>
  <c r="U110" i="8"/>
  <c r="S110" i="8"/>
  <c r="P110" i="8"/>
  <c r="N110" i="8"/>
  <c r="K110" i="8"/>
  <c r="I110" i="8"/>
  <c r="B110" i="8"/>
  <c r="E110" i="8" s="1"/>
  <c r="Z109" i="8"/>
  <c r="X109" i="8"/>
  <c r="U109" i="8"/>
  <c r="S109" i="8"/>
  <c r="P109" i="8"/>
  <c r="N109" i="8"/>
  <c r="K109" i="8"/>
  <c r="I109" i="8"/>
  <c r="E109" i="8"/>
  <c r="B109" i="8"/>
  <c r="Q109" i="8" s="1"/>
  <c r="F385" i="9" s="1"/>
  <c r="Z108" i="8"/>
  <c r="X108" i="8"/>
  <c r="U108" i="8"/>
  <c r="S108" i="8"/>
  <c r="P108" i="8"/>
  <c r="N108" i="8"/>
  <c r="K108" i="8"/>
  <c r="I108" i="8"/>
  <c r="B108" i="8"/>
  <c r="E108" i="8" s="1"/>
  <c r="Z107" i="8"/>
  <c r="X107" i="8"/>
  <c r="U107" i="8"/>
  <c r="S107" i="8"/>
  <c r="P107" i="8"/>
  <c r="N107" i="8"/>
  <c r="K107" i="8"/>
  <c r="I107" i="8"/>
  <c r="B107" i="8"/>
  <c r="Z106" i="8"/>
  <c r="X106" i="8"/>
  <c r="U106" i="8"/>
  <c r="S106" i="8"/>
  <c r="P106" i="8"/>
  <c r="N106" i="8"/>
  <c r="K106" i="8"/>
  <c r="I106" i="8"/>
  <c r="B106" i="8"/>
  <c r="E106" i="8" s="1"/>
  <c r="Z105" i="8"/>
  <c r="X105" i="8"/>
  <c r="U105" i="8"/>
  <c r="S105" i="8"/>
  <c r="P105" i="8"/>
  <c r="N105" i="8"/>
  <c r="K105" i="8"/>
  <c r="I105" i="8"/>
  <c r="E105" i="8"/>
  <c r="B105" i="8"/>
  <c r="Q105" i="8" s="1"/>
  <c r="F369" i="9" s="1"/>
  <c r="Z104" i="8"/>
  <c r="X104" i="8"/>
  <c r="U104" i="8"/>
  <c r="S104" i="8"/>
  <c r="P104" i="8"/>
  <c r="N104" i="8"/>
  <c r="K104" i="8"/>
  <c r="I104" i="8"/>
  <c r="B104" i="8"/>
  <c r="E104" i="8" s="1"/>
  <c r="Z103" i="8"/>
  <c r="X103" i="8"/>
  <c r="U103" i="8"/>
  <c r="S103" i="8"/>
  <c r="P103" i="8"/>
  <c r="N103" i="8"/>
  <c r="K103" i="8"/>
  <c r="I103" i="8"/>
  <c r="B103" i="8"/>
  <c r="Y103" i="8" s="1"/>
  <c r="Z102" i="8"/>
  <c r="X102" i="8"/>
  <c r="U102" i="8"/>
  <c r="S102" i="8"/>
  <c r="P102" i="8"/>
  <c r="N102" i="8"/>
  <c r="K102" i="8"/>
  <c r="I102" i="8"/>
  <c r="B102" i="8"/>
  <c r="Z101" i="8"/>
  <c r="X101" i="8"/>
  <c r="U101" i="8"/>
  <c r="S101" i="8"/>
  <c r="P101" i="8"/>
  <c r="N101" i="8"/>
  <c r="K101" i="8"/>
  <c r="I101" i="8"/>
  <c r="B101" i="8"/>
  <c r="Z100" i="8"/>
  <c r="X100" i="8"/>
  <c r="U100" i="8"/>
  <c r="S100" i="8"/>
  <c r="P100" i="8"/>
  <c r="N100" i="8"/>
  <c r="K100" i="8"/>
  <c r="I100" i="8"/>
  <c r="B100" i="8"/>
  <c r="Z99" i="8"/>
  <c r="X99" i="8"/>
  <c r="U99" i="8"/>
  <c r="S99" i="8"/>
  <c r="P99" i="8"/>
  <c r="N99" i="8"/>
  <c r="K99" i="8"/>
  <c r="I99" i="8"/>
  <c r="B99" i="8"/>
  <c r="Z98" i="8"/>
  <c r="X98" i="8"/>
  <c r="U98" i="8"/>
  <c r="S98" i="8"/>
  <c r="P98" i="8"/>
  <c r="N98" i="8"/>
  <c r="K98" i="8"/>
  <c r="I98" i="8"/>
  <c r="B98" i="8"/>
  <c r="Z97" i="8"/>
  <c r="X97" i="8"/>
  <c r="U97" i="8"/>
  <c r="S97" i="8"/>
  <c r="P97" i="8"/>
  <c r="N97" i="8"/>
  <c r="K97" i="8"/>
  <c r="I97" i="8"/>
  <c r="B97" i="8"/>
  <c r="Z96" i="8"/>
  <c r="X96" i="8"/>
  <c r="U96" i="8"/>
  <c r="S96" i="8"/>
  <c r="P96" i="8"/>
  <c r="N96" i="8"/>
  <c r="K96" i="8"/>
  <c r="I96" i="8"/>
  <c r="D96" i="8"/>
  <c r="B96" i="8"/>
  <c r="Y96" i="8" s="1"/>
  <c r="Z95" i="8"/>
  <c r="X95" i="8"/>
  <c r="U95" i="8"/>
  <c r="S95" i="8"/>
  <c r="P95" i="8"/>
  <c r="N95" i="8"/>
  <c r="K95" i="8"/>
  <c r="I95" i="8"/>
  <c r="B95" i="8"/>
  <c r="Y95" i="8" s="1"/>
  <c r="Z94" i="8"/>
  <c r="X94" i="8"/>
  <c r="U94" i="8"/>
  <c r="S94" i="8"/>
  <c r="P94" i="8"/>
  <c r="N94" i="8"/>
  <c r="K94" i="8"/>
  <c r="I94" i="8"/>
  <c r="D94" i="8"/>
  <c r="B94" i="8"/>
  <c r="Y94" i="8" s="1"/>
  <c r="Z93" i="8"/>
  <c r="X93" i="8"/>
  <c r="U93" i="8"/>
  <c r="S93" i="8"/>
  <c r="P93" i="8"/>
  <c r="N93" i="8"/>
  <c r="K93" i="8"/>
  <c r="I93" i="8"/>
  <c r="B93" i="8"/>
  <c r="Y93" i="8" s="1"/>
  <c r="Z92" i="8"/>
  <c r="X92" i="8"/>
  <c r="U92" i="8"/>
  <c r="S92" i="8"/>
  <c r="P92" i="8"/>
  <c r="N92" i="8"/>
  <c r="K92" i="8"/>
  <c r="I92" i="8"/>
  <c r="D92" i="8"/>
  <c r="B92" i="8"/>
  <c r="Y92" i="8" s="1"/>
  <c r="Z91" i="8"/>
  <c r="X91" i="8"/>
  <c r="U91" i="8"/>
  <c r="S91" i="8"/>
  <c r="P91" i="8"/>
  <c r="N91" i="8"/>
  <c r="K91" i="8"/>
  <c r="I91" i="8"/>
  <c r="B91" i="8"/>
  <c r="Y91" i="8" s="1"/>
  <c r="Z90" i="8"/>
  <c r="X90" i="8"/>
  <c r="U90" i="8"/>
  <c r="S90" i="8"/>
  <c r="P90" i="8"/>
  <c r="N90" i="8"/>
  <c r="K90" i="8"/>
  <c r="I90" i="8"/>
  <c r="D90" i="8"/>
  <c r="B90" i="8"/>
  <c r="Y90" i="8" s="1"/>
  <c r="Z89" i="8"/>
  <c r="X89" i="8"/>
  <c r="U89" i="8"/>
  <c r="S89" i="8"/>
  <c r="P89" i="8"/>
  <c r="N89" i="8"/>
  <c r="L89" i="8"/>
  <c r="F304" i="9" s="1"/>
  <c r="K89" i="8"/>
  <c r="I89" i="8"/>
  <c r="B89" i="8"/>
  <c r="Z88" i="8"/>
  <c r="X88" i="8"/>
  <c r="U88" i="8"/>
  <c r="S88" i="8"/>
  <c r="P88" i="8"/>
  <c r="N88" i="8"/>
  <c r="K88" i="8"/>
  <c r="I88" i="8"/>
  <c r="D88" i="8"/>
  <c r="B88" i="8"/>
  <c r="F88" i="8" s="1"/>
  <c r="Z87" i="8"/>
  <c r="X87" i="8"/>
  <c r="U87" i="8"/>
  <c r="S87" i="8"/>
  <c r="P87" i="8"/>
  <c r="N87" i="8"/>
  <c r="L87" i="8"/>
  <c r="F296" i="9" s="1"/>
  <c r="K87" i="8"/>
  <c r="I87" i="8"/>
  <c r="B87" i="8"/>
  <c r="Z86" i="8"/>
  <c r="X86" i="8"/>
  <c r="U86" i="8"/>
  <c r="S86" i="8"/>
  <c r="P86" i="8"/>
  <c r="N86" i="8"/>
  <c r="K86" i="8"/>
  <c r="I86" i="8"/>
  <c r="D86" i="8"/>
  <c r="B86" i="8"/>
  <c r="F86" i="8" s="1"/>
  <c r="Z85" i="8"/>
  <c r="X85" i="8"/>
  <c r="U85" i="8"/>
  <c r="S85" i="8"/>
  <c r="P85" i="8"/>
  <c r="N85" i="8"/>
  <c r="L85" i="8"/>
  <c r="F288" i="9" s="1"/>
  <c r="K85" i="8"/>
  <c r="I85" i="8"/>
  <c r="B85" i="8"/>
  <c r="Z84" i="8"/>
  <c r="X84" i="8"/>
  <c r="U84" i="8"/>
  <c r="S84" i="8"/>
  <c r="P84" i="8"/>
  <c r="N84" i="8"/>
  <c r="K84" i="8"/>
  <c r="I84" i="8"/>
  <c r="B84" i="8"/>
  <c r="F84" i="8" s="1"/>
  <c r="Z83" i="8"/>
  <c r="X83" i="8"/>
  <c r="U83" i="8"/>
  <c r="S83" i="8"/>
  <c r="P83" i="8"/>
  <c r="N83" i="8"/>
  <c r="K83" i="8"/>
  <c r="I83" i="8"/>
  <c r="D83" i="8"/>
  <c r="B83" i="8"/>
  <c r="F83" i="8" s="1"/>
  <c r="Z82" i="8"/>
  <c r="X82" i="8"/>
  <c r="U82" i="8"/>
  <c r="S82" i="8"/>
  <c r="P82" i="8"/>
  <c r="N82" i="8"/>
  <c r="K82" i="8"/>
  <c r="I82" i="8"/>
  <c r="B82" i="8"/>
  <c r="F82" i="8" s="1"/>
  <c r="Z81" i="8"/>
  <c r="X81" i="8"/>
  <c r="U81" i="8"/>
  <c r="S81" i="8"/>
  <c r="P81" i="8"/>
  <c r="N81" i="8"/>
  <c r="K81" i="8"/>
  <c r="I81" i="8"/>
  <c r="D81" i="8"/>
  <c r="B81" i="8"/>
  <c r="F81" i="8" s="1"/>
  <c r="Z80" i="8"/>
  <c r="X80" i="8"/>
  <c r="U80" i="8"/>
  <c r="S80" i="8"/>
  <c r="P80" i="8"/>
  <c r="N80" i="8"/>
  <c r="K80" i="8"/>
  <c r="I80" i="8"/>
  <c r="B80" i="8"/>
  <c r="F80" i="8" s="1"/>
  <c r="Z79" i="8"/>
  <c r="X79" i="8"/>
  <c r="U79" i="8"/>
  <c r="S79" i="8"/>
  <c r="P79" i="8"/>
  <c r="N79" i="8"/>
  <c r="K79" i="8"/>
  <c r="I79" i="8"/>
  <c r="D79" i="8"/>
  <c r="B79" i="8"/>
  <c r="F79" i="8" s="1"/>
  <c r="Z78" i="8"/>
  <c r="X78" i="8"/>
  <c r="U78" i="8"/>
  <c r="S78" i="8"/>
  <c r="P78" i="8"/>
  <c r="N78" i="8"/>
  <c r="K78" i="8"/>
  <c r="I78" i="8"/>
  <c r="B78" i="8"/>
  <c r="F78" i="8" s="1"/>
  <c r="Z77" i="8"/>
  <c r="X77" i="8"/>
  <c r="U77" i="8"/>
  <c r="S77" i="8"/>
  <c r="P77" i="8"/>
  <c r="N77" i="8"/>
  <c r="K77" i="8"/>
  <c r="I77" i="8"/>
  <c r="D77" i="8"/>
  <c r="B77" i="8"/>
  <c r="F77" i="8" s="1"/>
  <c r="Z76" i="8"/>
  <c r="X76" i="8"/>
  <c r="U76" i="8"/>
  <c r="S76" i="8"/>
  <c r="P76" i="8"/>
  <c r="N76" i="8"/>
  <c r="K76" i="8"/>
  <c r="I76" i="8"/>
  <c r="B76" i="8"/>
  <c r="F76" i="8" s="1"/>
  <c r="Z75" i="8"/>
  <c r="X75" i="8"/>
  <c r="U75" i="8"/>
  <c r="S75" i="8"/>
  <c r="P75" i="8"/>
  <c r="N75" i="8"/>
  <c r="K75" i="8"/>
  <c r="I75" i="8"/>
  <c r="B75" i="8"/>
  <c r="Z74" i="8"/>
  <c r="X74" i="8"/>
  <c r="U74" i="8"/>
  <c r="S74" i="8"/>
  <c r="P74" i="8"/>
  <c r="N74" i="8"/>
  <c r="K74" i="8"/>
  <c r="I74" i="8"/>
  <c r="B74" i="8"/>
  <c r="Z73" i="8"/>
  <c r="X73" i="8"/>
  <c r="U73" i="8"/>
  <c r="S73" i="8"/>
  <c r="P73" i="8"/>
  <c r="N73" i="8"/>
  <c r="K73" i="8"/>
  <c r="I73" i="8"/>
  <c r="B73" i="8"/>
  <c r="Z72" i="8"/>
  <c r="X72" i="8"/>
  <c r="U72" i="8"/>
  <c r="S72" i="8"/>
  <c r="P72" i="8"/>
  <c r="N72" i="8"/>
  <c r="K72" i="8"/>
  <c r="I72" i="8"/>
  <c r="B72" i="8"/>
  <c r="Z71" i="8"/>
  <c r="X71" i="8"/>
  <c r="U71" i="8"/>
  <c r="S71" i="8"/>
  <c r="P71" i="8"/>
  <c r="N71" i="8"/>
  <c r="K71" i="8"/>
  <c r="I71" i="8"/>
  <c r="B71" i="8"/>
  <c r="Z70" i="8"/>
  <c r="X70" i="8"/>
  <c r="U70" i="8"/>
  <c r="S70" i="8"/>
  <c r="P70" i="8"/>
  <c r="N70" i="8"/>
  <c r="K70" i="8"/>
  <c r="I70" i="8"/>
  <c r="B70" i="8"/>
  <c r="Z69" i="8"/>
  <c r="X69" i="8"/>
  <c r="U69" i="8"/>
  <c r="S69" i="8"/>
  <c r="P69" i="8"/>
  <c r="N69" i="8"/>
  <c r="K69" i="8"/>
  <c r="I69" i="8"/>
  <c r="B69" i="8"/>
  <c r="Z68" i="8"/>
  <c r="X68" i="8"/>
  <c r="U68" i="8"/>
  <c r="S68" i="8"/>
  <c r="P68" i="8"/>
  <c r="N68" i="8"/>
  <c r="K68" i="8"/>
  <c r="I68" i="8"/>
  <c r="B68" i="8"/>
  <c r="Z67" i="8"/>
  <c r="X67" i="8"/>
  <c r="U67" i="8"/>
  <c r="S67" i="8"/>
  <c r="P67" i="8"/>
  <c r="N67" i="8"/>
  <c r="K67" i="8"/>
  <c r="I67" i="8"/>
  <c r="B67" i="8"/>
  <c r="Z66" i="8"/>
  <c r="X66" i="8"/>
  <c r="U66" i="8"/>
  <c r="S66" i="8"/>
  <c r="P66" i="8"/>
  <c r="N66" i="8"/>
  <c r="K66" i="8"/>
  <c r="I66" i="8"/>
  <c r="B66" i="8"/>
  <c r="Z65" i="8"/>
  <c r="X65" i="8"/>
  <c r="U65" i="8"/>
  <c r="S65" i="8"/>
  <c r="P65" i="8"/>
  <c r="N65" i="8"/>
  <c r="K65" i="8"/>
  <c r="I65" i="8"/>
  <c r="B65" i="8"/>
  <c r="Z64" i="8"/>
  <c r="X64" i="8"/>
  <c r="U64" i="8"/>
  <c r="S64" i="8"/>
  <c r="P64" i="8"/>
  <c r="N64" i="8"/>
  <c r="K64" i="8"/>
  <c r="I64" i="8"/>
  <c r="B64" i="8"/>
  <c r="Z63" i="8"/>
  <c r="X63" i="8"/>
  <c r="U63" i="8"/>
  <c r="S63" i="8"/>
  <c r="P63" i="8"/>
  <c r="N63" i="8"/>
  <c r="K63" i="8"/>
  <c r="I63" i="8"/>
  <c r="B63" i="8"/>
  <c r="Z62" i="8"/>
  <c r="X62" i="8"/>
  <c r="U62" i="8"/>
  <c r="S62" i="8"/>
  <c r="P62" i="8"/>
  <c r="N62" i="8"/>
  <c r="K62" i="8"/>
  <c r="I62" i="8"/>
  <c r="B62" i="8"/>
  <c r="E62" i="8" s="1"/>
  <c r="Z61" i="8"/>
  <c r="X61" i="8"/>
  <c r="U61" i="8"/>
  <c r="S61" i="8"/>
  <c r="P61" i="8"/>
  <c r="N61" i="8"/>
  <c r="K61" i="8"/>
  <c r="I61" i="8"/>
  <c r="B61" i="8"/>
  <c r="Q61" i="8" s="1"/>
  <c r="F193" i="9" s="1"/>
  <c r="Z60" i="8"/>
  <c r="X60" i="8"/>
  <c r="U60" i="8"/>
  <c r="S60" i="8"/>
  <c r="P60" i="8"/>
  <c r="N60" i="8"/>
  <c r="K60" i="8"/>
  <c r="I60" i="8"/>
  <c r="B60" i="8"/>
  <c r="Q60" i="8" s="1"/>
  <c r="F189" i="9" s="1"/>
  <c r="Z59" i="8"/>
  <c r="X59" i="8"/>
  <c r="U59" i="8"/>
  <c r="S59" i="8"/>
  <c r="P59" i="8"/>
  <c r="N59" i="8"/>
  <c r="K59" i="8"/>
  <c r="I59" i="8"/>
  <c r="B59" i="8"/>
  <c r="Q59" i="8" s="1"/>
  <c r="F185" i="9" s="1"/>
  <c r="Z58" i="8"/>
  <c r="X58" i="8"/>
  <c r="U58" i="8"/>
  <c r="S58" i="8"/>
  <c r="P58" i="8"/>
  <c r="N58" i="8"/>
  <c r="K58" i="8"/>
  <c r="I58" i="8"/>
  <c r="B58" i="8"/>
  <c r="Q58" i="8" s="1"/>
  <c r="F181" i="9" s="1"/>
  <c r="Z57" i="8"/>
  <c r="X57" i="8"/>
  <c r="U57" i="8"/>
  <c r="S57" i="8"/>
  <c r="P57" i="8"/>
  <c r="N57" i="8"/>
  <c r="K57" i="8"/>
  <c r="I57" i="8"/>
  <c r="B57" i="8"/>
  <c r="Z56" i="8"/>
  <c r="X56" i="8"/>
  <c r="U56" i="8"/>
  <c r="S56" i="8"/>
  <c r="P56" i="8"/>
  <c r="N56" i="8"/>
  <c r="K56" i="8"/>
  <c r="I56" i="8"/>
  <c r="B56" i="8"/>
  <c r="Z55" i="8"/>
  <c r="X55" i="8"/>
  <c r="U55" i="8"/>
  <c r="S55" i="8"/>
  <c r="P55" i="8"/>
  <c r="N55" i="8"/>
  <c r="K55" i="8"/>
  <c r="I55" i="8"/>
  <c r="B55" i="8"/>
  <c r="Z54" i="8"/>
  <c r="X54" i="8"/>
  <c r="U54" i="8"/>
  <c r="S54" i="8"/>
  <c r="P54" i="8"/>
  <c r="N54" i="8"/>
  <c r="K54" i="8"/>
  <c r="I54" i="8"/>
  <c r="B54" i="8"/>
  <c r="Z53" i="8"/>
  <c r="X53" i="8"/>
  <c r="U53" i="8"/>
  <c r="S53" i="8"/>
  <c r="P53" i="8"/>
  <c r="N53" i="8"/>
  <c r="K53" i="8"/>
  <c r="I53" i="8"/>
  <c r="B53" i="8"/>
  <c r="Z52" i="8"/>
  <c r="X52" i="8"/>
  <c r="U52" i="8"/>
  <c r="S52" i="8"/>
  <c r="P52" i="8"/>
  <c r="N52" i="8"/>
  <c r="K52" i="8"/>
  <c r="I52" i="8"/>
  <c r="B52" i="8"/>
  <c r="Z51" i="8"/>
  <c r="X51" i="8"/>
  <c r="U51" i="8"/>
  <c r="S51" i="8"/>
  <c r="P51" i="8"/>
  <c r="N51" i="8"/>
  <c r="K51" i="8"/>
  <c r="I51" i="8"/>
  <c r="B51" i="8"/>
  <c r="Z50" i="8"/>
  <c r="X50" i="8"/>
  <c r="U50" i="8"/>
  <c r="S50" i="8"/>
  <c r="P50" i="8"/>
  <c r="N50" i="8"/>
  <c r="K50" i="8"/>
  <c r="I50" i="8"/>
  <c r="B50" i="8"/>
  <c r="Z49" i="8"/>
  <c r="X49" i="8"/>
  <c r="U49" i="8"/>
  <c r="S49" i="8"/>
  <c r="P49" i="8"/>
  <c r="N49" i="8"/>
  <c r="K49" i="8"/>
  <c r="I49" i="8"/>
  <c r="B49" i="8"/>
  <c r="Z48" i="8"/>
  <c r="X48" i="8"/>
  <c r="U48" i="8"/>
  <c r="S48" i="8"/>
  <c r="P48" i="8"/>
  <c r="N48" i="8"/>
  <c r="K48" i="8"/>
  <c r="I48" i="8"/>
  <c r="B48" i="8"/>
  <c r="Z47" i="8"/>
  <c r="X47" i="8"/>
  <c r="U47" i="8"/>
  <c r="S47" i="8"/>
  <c r="P47" i="8"/>
  <c r="N47" i="8"/>
  <c r="K47" i="8"/>
  <c r="I47" i="8"/>
  <c r="B47" i="8"/>
  <c r="Z46" i="8"/>
  <c r="X46" i="8"/>
  <c r="U46" i="8"/>
  <c r="S46" i="8"/>
  <c r="P46" i="8"/>
  <c r="N46" i="8"/>
  <c r="K46" i="8"/>
  <c r="I46" i="8"/>
  <c r="B46" i="8"/>
  <c r="Z45" i="8"/>
  <c r="X45" i="8"/>
  <c r="U45" i="8"/>
  <c r="S45" i="8"/>
  <c r="P45" i="8"/>
  <c r="N45" i="8"/>
  <c r="K45" i="8"/>
  <c r="I45" i="8"/>
  <c r="B45" i="8"/>
  <c r="Z44" i="8"/>
  <c r="X44" i="8"/>
  <c r="U44" i="8"/>
  <c r="S44" i="8"/>
  <c r="P44" i="8"/>
  <c r="N44" i="8"/>
  <c r="K44" i="8"/>
  <c r="I44" i="8"/>
  <c r="B44" i="8"/>
  <c r="Z43" i="8"/>
  <c r="X43" i="8"/>
  <c r="U43" i="8"/>
  <c r="S43" i="8"/>
  <c r="P43" i="8"/>
  <c r="N43" i="8"/>
  <c r="K43" i="8"/>
  <c r="I43" i="8"/>
  <c r="B43" i="8"/>
  <c r="Z42" i="8"/>
  <c r="X42" i="8"/>
  <c r="U42" i="8"/>
  <c r="S42" i="8"/>
  <c r="P42" i="8"/>
  <c r="N42" i="8"/>
  <c r="K42" i="8"/>
  <c r="I42" i="8"/>
  <c r="B42" i="8"/>
  <c r="Z41" i="8"/>
  <c r="X41" i="8"/>
  <c r="U41" i="8"/>
  <c r="S41" i="8"/>
  <c r="P41" i="8"/>
  <c r="N41" i="8"/>
  <c r="K41" i="8"/>
  <c r="I41" i="8"/>
  <c r="B41" i="8"/>
  <c r="Z40" i="8"/>
  <c r="X40" i="8"/>
  <c r="U40" i="8"/>
  <c r="S40" i="8"/>
  <c r="P40" i="8"/>
  <c r="N40" i="8"/>
  <c r="K40" i="8"/>
  <c r="I40" i="8"/>
  <c r="B40" i="8"/>
  <c r="Z39" i="8"/>
  <c r="X39" i="8"/>
  <c r="U39" i="8"/>
  <c r="S39" i="8"/>
  <c r="P39" i="8"/>
  <c r="N39" i="8"/>
  <c r="K39" i="8"/>
  <c r="I39" i="8"/>
  <c r="B39" i="8"/>
  <c r="Z38" i="8"/>
  <c r="X38" i="8"/>
  <c r="U38" i="8"/>
  <c r="S38" i="8"/>
  <c r="P38" i="8"/>
  <c r="N38" i="8"/>
  <c r="K38" i="8"/>
  <c r="I38" i="8"/>
  <c r="B38" i="8"/>
  <c r="Z37" i="8"/>
  <c r="X37" i="8"/>
  <c r="U37" i="8"/>
  <c r="S37" i="8"/>
  <c r="P37" i="8"/>
  <c r="N37" i="8"/>
  <c r="K37" i="8"/>
  <c r="I37" i="8"/>
  <c r="B37" i="8"/>
  <c r="Z36" i="8"/>
  <c r="X36" i="8"/>
  <c r="U36" i="8"/>
  <c r="S36" i="8"/>
  <c r="P36" i="8"/>
  <c r="N36" i="8"/>
  <c r="K36" i="8"/>
  <c r="I36" i="8"/>
  <c r="B36" i="8"/>
  <c r="Z35" i="8"/>
  <c r="X35" i="8"/>
  <c r="U35" i="8"/>
  <c r="S35" i="8"/>
  <c r="P35" i="8"/>
  <c r="N35" i="8"/>
  <c r="K35" i="8"/>
  <c r="I35" i="8"/>
  <c r="B35" i="8"/>
  <c r="Z34" i="8"/>
  <c r="X34" i="8"/>
  <c r="U34" i="8"/>
  <c r="S34" i="8"/>
  <c r="P34" i="8"/>
  <c r="N34" i="8"/>
  <c r="K34" i="8"/>
  <c r="I34" i="8"/>
  <c r="B34" i="8"/>
  <c r="Y503" i="3"/>
  <c r="X503" i="3"/>
  <c r="U503" i="3"/>
  <c r="AC500" i="3" s="1"/>
  <c r="AC501" i="3" s="1"/>
  <c r="C503" i="3"/>
  <c r="Y502" i="3"/>
  <c r="X502" i="3"/>
  <c r="U502" i="3"/>
  <c r="AD500" i="3" s="1"/>
  <c r="AD501" i="3" s="1"/>
  <c r="AD502" i="3" s="1"/>
  <c r="AD503" i="3" s="1"/>
  <c r="C502" i="3"/>
  <c r="Y501" i="3"/>
  <c r="AP500" i="3" s="1"/>
  <c r="X501" i="3"/>
  <c r="U501" i="3"/>
  <c r="Q501" i="3"/>
  <c r="C501" i="3"/>
  <c r="Q500" i="3"/>
  <c r="E500" i="3"/>
  <c r="E501" i="3" s="1"/>
  <c r="E502" i="3" s="1"/>
  <c r="E503" i="3" s="1"/>
  <c r="C500" i="3"/>
  <c r="B500" i="3"/>
  <c r="Y498" i="3"/>
  <c r="X498" i="3"/>
  <c r="U498" i="3"/>
  <c r="AC495" i="3" s="1"/>
  <c r="AC496" i="3" s="1"/>
  <c r="C498" i="3"/>
  <c r="AM498" i="3" s="1"/>
  <c r="Y497" i="3"/>
  <c r="X497" i="3"/>
  <c r="U497" i="3"/>
  <c r="AD495" i="3" s="1"/>
  <c r="AD496" i="3" s="1"/>
  <c r="AD497" i="3" s="1"/>
  <c r="AD498" i="3" s="1"/>
  <c r="C497" i="3"/>
  <c r="AM497" i="3" s="1"/>
  <c r="Y496" i="3"/>
  <c r="AP495" i="3" s="1"/>
  <c r="X496" i="3"/>
  <c r="U496" i="3"/>
  <c r="Q496" i="3"/>
  <c r="C496" i="3"/>
  <c r="Q495" i="3"/>
  <c r="E495" i="3"/>
  <c r="E496" i="3" s="1"/>
  <c r="E497" i="3" s="1"/>
  <c r="E498" i="3" s="1"/>
  <c r="C495" i="3"/>
  <c r="B495" i="3"/>
  <c r="Y493" i="3"/>
  <c r="X493" i="3"/>
  <c r="U493" i="3"/>
  <c r="AC490" i="3" s="1"/>
  <c r="AC491" i="3" s="1"/>
  <c r="C493" i="3"/>
  <c r="AM493" i="3" s="1"/>
  <c r="Y492" i="3"/>
  <c r="X492" i="3"/>
  <c r="U492" i="3"/>
  <c r="AD490" i="3" s="1"/>
  <c r="AD491" i="3" s="1"/>
  <c r="AD492" i="3" s="1"/>
  <c r="AD493" i="3" s="1"/>
  <c r="C492" i="3"/>
  <c r="AM492" i="3" s="1"/>
  <c r="Y491" i="3"/>
  <c r="AP490" i="3" s="1"/>
  <c r="X491" i="3"/>
  <c r="U491" i="3"/>
  <c r="Q491" i="3"/>
  <c r="C491" i="3"/>
  <c r="Q490" i="3"/>
  <c r="E490" i="3"/>
  <c r="E491" i="3" s="1"/>
  <c r="E492" i="3" s="1"/>
  <c r="E493" i="3" s="1"/>
  <c r="C490" i="3"/>
  <c r="B490" i="3"/>
  <c r="Y488" i="3"/>
  <c r="X488" i="3"/>
  <c r="U488" i="3"/>
  <c r="AC485" i="3" s="1"/>
  <c r="AC486" i="3" s="1"/>
  <c r="C488" i="3"/>
  <c r="AM488" i="3" s="1"/>
  <c r="Y487" i="3"/>
  <c r="X487" i="3"/>
  <c r="U487" i="3"/>
  <c r="AD485" i="3" s="1"/>
  <c r="AD486" i="3" s="1"/>
  <c r="AD487" i="3" s="1"/>
  <c r="AD488" i="3" s="1"/>
  <c r="C487" i="3"/>
  <c r="AM487" i="3" s="1"/>
  <c r="Y486" i="3"/>
  <c r="AP485" i="3" s="1"/>
  <c r="X486" i="3"/>
  <c r="U486" i="3"/>
  <c r="Q486" i="3"/>
  <c r="C486" i="3"/>
  <c r="Q485" i="3"/>
  <c r="C485" i="3"/>
  <c r="B485" i="3"/>
  <c r="Y483" i="3"/>
  <c r="X483" i="3"/>
  <c r="U483" i="3"/>
  <c r="AC480" i="3" s="1"/>
  <c r="AC481" i="3" s="1"/>
  <c r="C483" i="3"/>
  <c r="AM483" i="3" s="1"/>
  <c r="Y482" i="3"/>
  <c r="X482" i="3"/>
  <c r="U482" i="3"/>
  <c r="AD480" i="3" s="1"/>
  <c r="AD481" i="3" s="1"/>
  <c r="AD482" i="3" s="1"/>
  <c r="AD483" i="3" s="1"/>
  <c r="C482" i="3"/>
  <c r="AM482" i="3" s="1"/>
  <c r="Y481" i="3"/>
  <c r="AP480" i="3" s="1"/>
  <c r="X481" i="3"/>
  <c r="U481" i="3"/>
  <c r="Q481" i="3"/>
  <c r="C481" i="3"/>
  <c r="Q480" i="3"/>
  <c r="C480" i="3"/>
  <c r="B480" i="3"/>
  <c r="Y478" i="3"/>
  <c r="X478" i="3"/>
  <c r="U478" i="3"/>
  <c r="AC475" i="3" s="1"/>
  <c r="AC476" i="3" s="1"/>
  <c r="C478" i="3"/>
  <c r="AM478" i="3" s="1"/>
  <c r="Y477" i="3"/>
  <c r="X477" i="3"/>
  <c r="U477" i="3"/>
  <c r="AD475" i="3" s="1"/>
  <c r="AD476" i="3" s="1"/>
  <c r="AD477" i="3" s="1"/>
  <c r="AD478" i="3" s="1"/>
  <c r="C477" i="3"/>
  <c r="AM477" i="3" s="1"/>
  <c r="Y476" i="3"/>
  <c r="AP475" i="3" s="1"/>
  <c r="X476" i="3"/>
  <c r="U476" i="3"/>
  <c r="Q476" i="3"/>
  <c r="C476" i="3"/>
  <c r="Q475" i="3"/>
  <c r="C475" i="3"/>
  <c r="B475" i="3"/>
  <c r="Y473" i="3"/>
  <c r="X473" i="3"/>
  <c r="U473" i="3"/>
  <c r="AC470" i="3" s="1"/>
  <c r="AC471" i="3" s="1"/>
  <c r="C473" i="3"/>
  <c r="AM473" i="3" s="1"/>
  <c r="Y472" i="3"/>
  <c r="X472" i="3"/>
  <c r="U472" i="3"/>
  <c r="AD470" i="3" s="1"/>
  <c r="AD471" i="3" s="1"/>
  <c r="AD472" i="3" s="1"/>
  <c r="AD473" i="3" s="1"/>
  <c r="C472" i="3"/>
  <c r="AM472" i="3" s="1"/>
  <c r="Y471" i="3"/>
  <c r="AP470" i="3" s="1"/>
  <c r="X471" i="3"/>
  <c r="U471" i="3"/>
  <c r="Q471" i="3"/>
  <c r="C471" i="3"/>
  <c r="Q470" i="3"/>
  <c r="C470" i="3"/>
  <c r="B470" i="3"/>
  <c r="Y468" i="3"/>
  <c r="X468" i="3"/>
  <c r="U468" i="3"/>
  <c r="AC465" i="3" s="1"/>
  <c r="AC466" i="3" s="1"/>
  <c r="C468" i="3"/>
  <c r="AM468" i="3" s="1"/>
  <c r="Y467" i="3"/>
  <c r="X467" i="3"/>
  <c r="U467" i="3"/>
  <c r="AD465" i="3" s="1"/>
  <c r="AD466" i="3" s="1"/>
  <c r="AD467" i="3" s="1"/>
  <c r="AD468" i="3" s="1"/>
  <c r="C467" i="3"/>
  <c r="AM467" i="3" s="1"/>
  <c r="Y466" i="3"/>
  <c r="AP465" i="3" s="1"/>
  <c r="X466" i="3"/>
  <c r="U466" i="3"/>
  <c r="Q466" i="3"/>
  <c r="C466" i="3"/>
  <c r="Q465" i="3"/>
  <c r="E465" i="3"/>
  <c r="E466" i="3" s="1"/>
  <c r="E467" i="3" s="1"/>
  <c r="E468" i="3" s="1"/>
  <c r="C465" i="3"/>
  <c r="B465" i="3"/>
  <c r="Y463" i="3"/>
  <c r="X463" i="3"/>
  <c r="U463" i="3"/>
  <c r="AC460" i="3" s="1"/>
  <c r="AC461" i="3" s="1"/>
  <c r="C463" i="3"/>
  <c r="AM463" i="3" s="1"/>
  <c r="Y462" i="3"/>
  <c r="X462" i="3"/>
  <c r="U462" i="3"/>
  <c r="AD460" i="3" s="1"/>
  <c r="AD461" i="3" s="1"/>
  <c r="AD462" i="3" s="1"/>
  <c r="AD463" i="3" s="1"/>
  <c r="C462" i="3"/>
  <c r="AM462" i="3" s="1"/>
  <c r="Y461" i="3"/>
  <c r="AP460" i="3" s="1"/>
  <c r="X461" i="3"/>
  <c r="U461" i="3"/>
  <c r="Q461" i="3"/>
  <c r="C461" i="3"/>
  <c r="Q460" i="3"/>
  <c r="E460" i="3"/>
  <c r="E461" i="3" s="1"/>
  <c r="E462" i="3" s="1"/>
  <c r="E463" i="3" s="1"/>
  <c r="C460" i="3"/>
  <c r="B460" i="3"/>
  <c r="Y458" i="3"/>
  <c r="X458" i="3"/>
  <c r="U458" i="3"/>
  <c r="AC455" i="3" s="1"/>
  <c r="AC456" i="3" s="1"/>
  <c r="C458" i="3"/>
  <c r="AM458" i="3" s="1"/>
  <c r="Y457" i="3"/>
  <c r="X457" i="3"/>
  <c r="U457" i="3"/>
  <c r="AD455" i="3" s="1"/>
  <c r="AD456" i="3" s="1"/>
  <c r="AD457" i="3" s="1"/>
  <c r="AD458" i="3" s="1"/>
  <c r="C457" i="3"/>
  <c r="AM457" i="3" s="1"/>
  <c r="Y456" i="3"/>
  <c r="AP455" i="3" s="1"/>
  <c r="X456" i="3"/>
  <c r="U456" i="3"/>
  <c r="Q456" i="3"/>
  <c r="C456" i="3"/>
  <c r="Q455" i="3"/>
  <c r="E455" i="3"/>
  <c r="E456" i="3" s="1"/>
  <c r="E457" i="3" s="1"/>
  <c r="E458" i="3" s="1"/>
  <c r="C455" i="3"/>
  <c r="B455" i="3"/>
  <c r="Y453" i="3"/>
  <c r="X453" i="3"/>
  <c r="U453" i="3"/>
  <c r="AC450" i="3" s="1"/>
  <c r="AC451" i="3" s="1"/>
  <c r="C453" i="3"/>
  <c r="AM453" i="3" s="1"/>
  <c r="Y452" i="3"/>
  <c r="X452" i="3"/>
  <c r="U452" i="3"/>
  <c r="AD450" i="3" s="1"/>
  <c r="AD451" i="3" s="1"/>
  <c r="AD452" i="3" s="1"/>
  <c r="AD453" i="3" s="1"/>
  <c r="C452" i="3"/>
  <c r="AM452" i="3" s="1"/>
  <c r="Y451" i="3"/>
  <c r="AP450" i="3" s="1"/>
  <c r="X451" i="3"/>
  <c r="U451" i="3"/>
  <c r="Q451" i="3"/>
  <c r="C451" i="3"/>
  <c r="Q450" i="3"/>
  <c r="E450" i="3"/>
  <c r="E451" i="3" s="1"/>
  <c r="E452" i="3" s="1"/>
  <c r="E453" i="3" s="1"/>
  <c r="C450" i="3"/>
  <c r="B450" i="3"/>
  <c r="Y448" i="3"/>
  <c r="X448" i="3"/>
  <c r="U448" i="3"/>
  <c r="AC445" i="3" s="1"/>
  <c r="AC446" i="3" s="1"/>
  <c r="C448" i="3"/>
  <c r="AM448" i="3" s="1"/>
  <c r="Y447" i="3"/>
  <c r="X447" i="3"/>
  <c r="U447" i="3"/>
  <c r="AD445" i="3" s="1"/>
  <c r="AD446" i="3" s="1"/>
  <c r="AD447" i="3" s="1"/>
  <c r="AD448" i="3" s="1"/>
  <c r="C447" i="3"/>
  <c r="AM447" i="3" s="1"/>
  <c r="Y446" i="3"/>
  <c r="AP445" i="3" s="1"/>
  <c r="X446" i="3"/>
  <c r="U446" i="3"/>
  <c r="Q446" i="3"/>
  <c r="C446" i="3"/>
  <c r="Q445" i="3"/>
  <c r="C445" i="3"/>
  <c r="B445" i="3"/>
  <c r="Y443" i="3"/>
  <c r="X443" i="3"/>
  <c r="U443" i="3"/>
  <c r="AC440" i="3" s="1"/>
  <c r="AC441" i="3" s="1"/>
  <c r="C443" i="3"/>
  <c r="AM443" i="3" s="1"/>
  <c r="Y442" i="3"/>
  <c r="X442" i="3"/>
  <c r="U442" i="3"/>
  <c r="AD440" i="3" s="1"/>
  <c r="AD441" i="3" s="1"/>
  <c r="AD442" i="3" s="1"/>
  <c r="AD443" i="3" s="1"/>
  <c r="C442" i="3"/>
  <c r="AM442" i="3" s="1"/>
  <c r="Y441" i="3"/>
  <c r="AP440" i="3" s="1"/>
  <c r="X441" i="3"/>
  <c r="U441" i="3"/>
  <c r="Q441" i="3"/>
  <c r="C441" i="3"/>
  <c r="Q440" i="3"/>
  <c r="C440" i="3"/>
  <c r="B440" i="3"/>
  <c r="Y438" i="3"/>
  <c r="X438" i="3"/>
  <c r="U438" i="3"/>
  <c r="AC435" i="3" s="1"/>
  <c r="AC436" i="3" s="1"/>
  <c r="C438" i="3"/>
  <c r="AM438" i="3" s="1"/>
  <c r="Y437" i="3"/>
  <c r="X437" i="3"/>
  <c r="U437" i="3"/>
  <c r="AD435" i="3" s="1"/>
  <c r="AD436" i="3" s="1"/>
  <c r="AD437" i="3" s="1"/>
  <c r="AD438" i="3" s="1"/>
  <c r="C437" i="3"/>
  <c r="AM437" i="3" s="1"/>
  <c r="Y436" i="3"/>
  <c r="AP435" i="3" s="1"/>
  <c r="X436" i="3"/>
  <c r="U436" i="3"/>
  <c r="Q436" i="3"/>
  <c r="C436" i="3"/>
  <c r="Q435" i="3"/>
  <c r="C435" i="3"/>
  <c r="B435" i="3"/>
  <c r="Y433" i="3"/>
  <c r="X433" i="3"/>
  <c r="U433" i="3"/>
  <c r="E430" i="3" s="1"/>
  <c r="E431" i="3" s="1"/>
  <c r="E432" i="3" s="1"/>
  <c r="E433" i="3" s="1"/>
  <c r="C433" i="3"/>
  <c r="Y432" i="3"/>
  <c r="X432" i="3"/>
  <c r="U432" i="3"/>
  <c r="AD430" i="3" s="1"/>
  <c r="AD431" i="3" s="1"/>
  <c r="AD432" i="3" s="1"/>
  <c r="AD433" i="3" s="1"/>
  <c r="C432" i="3"/>
  <c r="AM432" i="3" s="1"/>
  <c r="Y431" i="3"/>
  <c r="AP430" i="3" s="1"/>
  <c r="X431" i="3"/>
  <c r="U431" i="3"/>
  <c r="Q431" i="3"/>
  <c r="C431" i="3"/>
  <c r="Q430" i="3"/>
  <c r="C430" i="3"/>
  <c r="B430" i="3"/>
  <c r="Y428" i="3"/>
  <c r="X428" i="3"/>
  <c r="U428" i="3"/>
  <c r="AC425" i="3" s="1"/>
  <c r="AC426" i="3" s="1"/>
  <c r="C428" i="3"/>
  <c r="AM428" i="3" s="1"/>
  <c r="Y427" i="3"/>
  <c r="X427" i="3"/>
  <c r="U427" i="3"/>
  <c r="AD425" i="3" s="1"/>
  <c r="AD426" i="3" s="1"/>
  <c r="AD427" i="3" s="1"/>
  <c r="AD428" i="3" s="1"/>
  <c r="C427" i="3"/>
  <c r="AM427" i="3" s="1"/>
  <c r="Y426" i="3"/>
  <c r="AP425" i="3" s="1"/>
  <c r="X426" i="3"/>
  <c r="U426" i="3"/>
  <c r="Q426" i="3"/>
  <c r="C426" i="3"/>
  <c r="Q425" i="3"/>
  <c r="C425" i="3"/>
  <c r="B425" i="3"/>
  <c r="Y423" i="3"/>
  <c r="X423" i="3"/>
  <c r="U423" i="3"/>
  <c r="AC420" i="3" s="1"/>
  <c r="AC421" i="3" s="1"/>
  <c r="C423" i="3"/>
  <c r="Y422" i="3"/>
  <c r="X422" i="3"/>
  <c r="U422" i="3"/>
  <c r="F420" i="3" s="1"/>
  <c r="F421" i="3" s="1"/>
  <c r="F422" i="3" s="1"/>
  <c r="F423" i="3" s="1"/>
  <c r="C422" i="3"/>
  <c r="AM422" i="3" s="1"/>
  <c r="Y421" i="3"/>
  <c r="AP420" i="3" s="1"/>
  <c r="X421" i="3"/>
  <c r="U421" i="3"/>
  <c r="Q421" i="3"/>
  <c r="C421" i="3"/>
  <c r="Q420" i="3"/>
  <c r="C420" i="3"/>
  <c r="B420" i="3"/>
  <c r="Y418" i="3"/>
  <c r="X418" i="3"/>
  <c r="U418" i="3"/>
  <c r="AC415" i="3" s="1"/>
  <c r="AC416" i="3" s="1"/>
  <c r="C418" i="3"/>
  <c r="Y417" i="3"/>
  <c r="X417" i="3"/>
  <c r="U417" i="3"/>
  <c r="F415" i="3" s="1"/>
  <c r="F416" i="3" s="1"/>
  <c r="F417" i="3" s="1"/>
  <c r="F418" i="3" s="1"/>
  <c r="C417" i="3"/>
  <c r="AM417" i="3" s="1"/>
  <c r="Y416" i="3"/>
  <c r="AP415" i="3" s="1"/>
  <c r="X416" i="3"/>
  <c r="U416" i="3"/>
  <c r="Q416" i="3"/>
  <c r="C416" i="3"/>
  <c r="Q415" i="3"/>
  <c r="C415" i="3"/>
  <c r="B415" i="3"/>
  <c r="Y413" i="3"/>
  <c r="X413" i="3"/>
  <c r="U413" i="3"/>
  <c r="AC410" i="3" s="1"/>
  <c r="AC411" i="3" s="1"/>
  <c r="C413" i="3"/>
  <c r="Y412" i="3"/>
  <c r="X412" i="3"/>
  <c r="U412" i="3"/>
  <c r="F410" i="3" s="1"/>
  <c r="F411" i="3" s="1"/>
  <c r="F412" i="3" s="1"/>
  <c r="F413" i="3" s="1"/>
  <c r="C412" i="3"/>
  <c r="AM412" i="3" s="1"/>
  <c r="Y411" i="3"/>
  <c r="AP410" i="3" s="1"/>
  <c r="X411" i="3"/>
  <c r="U411" i="3"/>
  <c r="Q411" i="3"/>
  <c r="C411" i="3"/>
  <c r="Q410" i="3"/>
  <c r="C410" i="3"/>
  <c r="B410" i="3"/>
  <c r="Y408" i="3"/>
  <c r="X408" i="3"/>
  <c r="U408" i="3"/>
  <c r="AC405" i="3" s="1"/>
  <c r="AC406" i="3" s="1"/>
  <c r="C408" i="3"/>
  <c r="AM408" i="3" s="1"/>
  <c r="Y407" i="3"/>
  <c r="X407" i="3"/>
  <c r="U407" i="3"/>
  <c r="AD405" i="3" s="1"/>
  <c r="AD406" i="3" s="1"/>
  <c r="AD407" i="3" s="1"/>
  <c r="AD408" i="3" s="1"/>
  <c r="C407" i="3"/>
  <c r="AM407" i="3" s="1"/>
  <c r="Y406" i="3"/>
  <c r="AP405" i="3" s="1"/>
  <c r="X406" i="3"/>
  <c r="U406" i="3"/>
  <c r="Q406" i="3"/>
  <c r="C406" i="3"/>
  <c r="Q405" i="3"/>
  <c r="C405" i="3"/>
  <c r="B405" i="3"/>
  <c r="Y403" i="3"/>
  <c r="X403" i="3"/>
  <c r="U403" i="3"/>
  <c r="E400" i="3" s="1"/>
  <c r="E401" i="3" s="1"/>
  <c r="E402" i="3" s="1"/>
  <c r="E403" i="3" s="1"/>
  <c r="C403" i="3"/>
  <c r="Y402" i="3"/>
  <c r="X402" i="3"/>
  <c r="U402" i="3"/>
  <c r="AD400" i="3" s="1"/>
  <c r="AD401" i="3" s="1"/>
  <c r="AD402" i="3" s="1"/>
  <c r="AD403" i="3" s="1"/>
  <c r="C402" i="3"/>
  <c r="AM402" i="3" s="1"/>
  <c r="Y401" i="3"/>
  <c r="AP400" i="3" s="1"/>
  <c r="X401" i="3"/>
  <c r="U401" i="3"/>
  <c r="Q401" i="3"/>
  <c r="C401" i="3"/>
  <c r="Q400" i="3"/>
  <c r="C400" i="3"/>
  <c r="B400" i="3"/>
  <c r="Y398" i="3"/>
  <c r="X398" i="3"/>
  <c r="U398" i="3"/>
  <c r="AC395" i="3" s="1"/>
  <c r="AC396" i="3" s="1"/>
  <c r="C398" i="3"/>
  <c r="Y397" i="3"/>
  <c r="X397" i="3"/>
  <c r="U397" i="3"/>
  <c r="F395" i="3" s="1"/>
  <c r="F396" i="3" s="1"/>
  <c r="F397" i="3" s="1"/>
  <c r="F398" i="3" s="1"/>
  <c r="C397" i="3"/>
  <c r="AM397" i="3" s="1"/>
  <c r="Y396" i="3"/>
  <c r="AP395" i="3" s="1"/>
  <c r="X396" i="3"/>
  <c r="U396" i="3"/>
  <c r="Q396" i="3"/>
  <c r="C396" i="3"/>
  <c r="Q395" i="3"/>
  <c r="C395" i="3"/>
  <c r="B395" i="3"/>
  <c r="Y393" i="3"/>
  <c r="X393" i="3"/>
  <c r="U393" i="3"/>
  <c r="E390" i="3" s="1"/>
  <c r="E391" i="3" s="1"/>
  <c r="E392" i="3" s="1"/>
  <c r="E393" i="3" s="1"/>
  <c r="C393" i="3"/>
  <c r="Y392" i="3"/>
  <c r="X392" i="3"/>
  <c r="U392" i="3"/>
  <c r="AD390" i="3" s="1"/>
  <c r="AD391" i="3" s="1"/>
  <c r="AD392" i="3" s="1"/>
  <c r="AD393" i="3" s="1"/>
  <c r="C392" i="3"/>
  <c r="AM392" i="3" s="1"/>
  <c r="Y391" i="3"/>
  <c r="AP390" i="3" s="1"/>
  <c r="X391" i="3"/>
  <c r="U391" i="3"/>
  <c r="Q391" i="3"/>
  <c r="C391" i="3"/>
  <c r="Q390" i="3"/>
  <c r="C390" i="3"/>
  <c r="B390" i="3"/>
  <c r="Y388" i="3"/>
  <c r="X388" i="3"/>
  <c r="U388" i="3"/>
  <c r="E385" i="3" s="1"/>
  <c r="E386" i="3" s="1"/>
  <c r="E387" i="3" s="1"/>
  <c r="E388" i="3" s="1"/>
  <c r="C388" i="3"/>
  <c r="Y387" i="3"/>
  <c r="X387" i="3"/>
  <c r="U387" i="3"/>
  <c r="AD385" i="3" s="1"/>
  <c r="AD386" i="3" s="1"/>
  <c r="AD387" i="3" s="1"/>
  <c r="AD388" i="3" s="1"/>
  <c r="C387" i="3"/>
  <c r="AM387" i="3" s="1"/>
  <c r="Y386" i="3"/>
  <c r="AP385" i="3" s="1"/>
  <c r="X386" i="3"/>
  <c r="U386" i="3"/>
  <c r="Q386" i="3"/>
  <c r="C386" i="3"/>
  <c r="Q385" i="3"/>
  <c r="C385" i="3"/>
  <c r="B385" i="3"/>
  <c r="Y383" i="3"/>
  <c r="X383" i="3"/>
  <c r="U383" i="3"/>
  <c r="AC380" i="3" s="1"/>
  <c r="AC381" i="3" s="1"/>
  <c r="C383" i="3"/>
  <c r="AM383" i="3" s="1"/>
  <c r="Y382" i="3"/>
  <c r="X382" i="3"/>
  <c r="U382" i="3"/>
  <c r="AD380" i="3" s="1"/>
  <c r="AD381" i="3" s="1"/>
  <c r="AD382" i="3" s="1"/>
  <c r="AD383" i="3" s="1"/>
  <c r="C382" i="3"/>
  <c r="AM382" i="3" s="1"/>
  <c r="Y381" i="3"/>
  <c r="AP380" i="3" s="1"/>
  <c r="X381" i="3"/>
  <c r="U381" i="3"/>
  <c r="Q381" i="3"/>
  <c r="C381" i="3"/>
  <c r="Q380" i="3"/>
  <c r="C380" i="3"/>
  <c r="B380" i="3"/>
  <c r="Y378" i="3"/>
  <c r="X378" i="3"/>
  <c r="U378" i="3"/>
  <c r="AC375" i="3" s="1"/>
  <c r="AC376" i="3" s="1"/>
  <c r="C378" i="3"/>
  <c r="Y377" i="3"/>
  <c r="X377" i="3"/>
  <c r="U377" i="3"/>
  <c r="F375" i="3" s="1"/>
  <c r="F376" i="3" s="1"/>
  <c r="F377" i="3" s="1"/>
  <c r="F378" i="3" s="1"/>
  <c r="C377" i="3"/>
  <c r="AM377" i="3" s="1"/>
  <c r="Y376" i="3"/>
  <c r="AP375" i="3" s="1"/>
  <c r="X376" i="3"/>
  <c r="U376" i="3"/>
  <c r="Q376" i="3"/>
  <c r="C376" i="3"/>
  <c r="Q375" i="3"/>
  <c r="C375" i="3"/>
  <c r="B375" i="3"/>
  <c r="Y373" i="3"/>
  <c r="X373" i="3"/>
  <c r="U373" i="3"/>
  <c r="AC370" i="3" s="1"/>
  <c r="AC371" i="3" s="1"/>
  <c r="C373" i="3"/>
  <c r="Y372" i="3"/>
  <c r="X372" i="3"/>
  <c r="U372" i="3"/>
  <c r="F370" i="3" s="1"/>
  <c r="F371" i="3" s="1"/>
  <c r="F372" i="3" s="1"/>
  <c r="F373" i="3" s="1"/>
  <c r="C372" i="3"/>
  <c r="AM372" i="3" s="1"/>
  <c r="Y371" i="3"/>
  <c r="AP370" i="3" s="1"/>
  <c r="X371" i="3"/>
  <c r="U371" i="3"/>
  <c r="Q371" i="3"/>
  <c r="C371" i="3"/>
  <c r="Q370" i="3"/>
  <c r="E370" i="3"/>
  <c r="E371" i="3" s="1"/>
  <c r="E372" i="3" s="1"/>
  <c r="E373" i="3" s="1"/>
  <c r="C370" i="3"/>
  <c r="B370" i="3"/>
  <c r="Y368" i="3"/>
  <c r="X368" i="3"/>
  <c r="U368" i="3"/>
  <c r="AC365" i="3" s="1"/>
  <c r="AC366" i="3" s="1"/>
  <c r="C368" i="3"/>
  <c r="AM368" i="3" s="1"/>
  <c r="Y367" i="3"/>
  <c r="X367" i="3"/>
  <c r="U367" i="3"/>
  <c r="AD365" i="3" s="1"/>
  <c r="AD366" i="3" s="1"/>
  <c r="AD367" i="3" s="1"/>
  <c r="AD368" i="3" s="1"/>
  <c r="C367" i="3"/>
  <c r="AM367" i="3" s="1"/>
  <c r="Y366" i="3"/>
  <c r="AP365" i="3" s="1"/>
  <c r="X366" i="3"/>
  <c r="U366" i="3"/>
  <c r="Q366" i="3"/>
  <c r="C366" i="3"/>
  <c r="Q365" i="3"/>
  <c r="C365" i="3"/>
  <c r="B365" i="3"/>
  <c r="Y363" i="3"/>
  <c r="X363" i="3"/>
  <c r="U363" i="3"/>
  <c r="AC360" i="3" s="1"/>
  <c r="AC361" i="3" s="1"/>
  <c r="C363" i="3"/>
  <c r="AM363" i="3" s="1"/>
  <c r="Y362" i="3"/>
  <c r="X362" i="3"/>
  <c r="U362" i="3"/>
  <c r="AD360" i="3" s="1"/>
  <c r="AD361" i="3" s="1"/>
  <c r="AD362" i="3" s="1"/>
  <c r="AD363" i="3" s="1"/>
  <c r="C362" i="3"/>
  <c r="AM362" i="3" s="1"/>
  <c r="Y361" i="3"/>
  <c r="AP360" i="3" s="1"/>
  <c r="X361" i="3"/>
  <c r="U361" i="3"/>
  <c r="Q361" i="3"/>
  <c r="C361" i="3"/>
  <c r="Q360" i="3"/>
  <c r="E360" i="3"/>
  <c r="E361" i="3" s="1"/>
  <c r="E362" i="3" s="1"/>
  <c r="E363" i="3" s="1"/>
  <c r="C360" i="3"/>
  <c r="B360" i="3"/>
  <c r="Y358" i="3"/>
  <c r="X358" i="3"/>
  <c r="U358" i="3"/>
  <c r="AC355" i="3" s="1"/>
  <c r="AC356" i="3" s="1"/>
  <c r="C358" i="3"/>
  <c r="AM358" i="3" s="1"/>
  <c r="Y357" i="3"/>
  <c r="X357" i="3"/>
  <c r="U357" i="3"/>
  <c r="AD355" i="3" s="1"/>
  <c r="AD356" i="3" s="1"/>
  <c r="AD357" i="3" s="1"/>
  <c r="AD358" i="3" s="1"/>
  <c r="C357" i="3"/>
  <c r="AM357" i="3" s="1"/>
  <c r="Y356" i="3"/>
  <c r="AP355" i="3" s="1"/>
  <c r="X356" i="3"/>
  <c r="U356" i="3"/>
  <c r="Q356" i="3"/>
  <c r="C356" i="3"/>
  <c r="Q355" i="3"/>
  <c r="E355" i="3"/>
  <c r="E356" i="3" s="1"/>
  <c r="E357" i="3" s="1"/>
  <c r="E358" i="3" s="1"/>
  <c r="C355" i="3"/>
  <c r="B355" i="3"/>
  <c r="Y353" i="3"/>
  <c r="X353" i="3"/>
  <c r="U353" i="3"/>
  <c r="AC350" i="3" s="1"/>
  <c r="AC351" i="3" s="1"/>
  <c r="C353" i="3"/>
  <c r="AM353" i="3" s="1"/>
  <c r="Y352" i="3"/>
  <c r="X352" i="3"/>
  <c r="U352" i="3"/>
  <c r="AD350" i="3" s="1"/>
  <c r="AD351" i="3" s="1"/>
  <c r="AD352" i="3" s="1"/>
  <c r="AD353" i="3" s="1"/>
  <c r="C352" i="3"/>
  <c r="AM352" i="3" s="1"/>
  <c r="Y351" i="3"/>
  <c r="AP350" i="3" s="1"/>
  <c r="X351" i="3"/>
  <c r="U351" i="3"/>
  <c r="Q351" i="3"/>
  <c r="C351" i="3"/>
  <c r="Q350" i="3"/>
  <c r="E350" i="3"/>
  <c r="E351" i="3" s="1"/>
  <c r="E352" i="3" s="1"/>
  <c r="E353" i="3" s="1"/>
  <c r="C350" i="3"/>
  <c r="B350" i="3"/>
  <c r="Y348" i="3"/>
  <c r="X348" i="3"/>
  <c r="U348" i="3"/>
  <c r="AC345" i="3" s="1"/>
  <c r="AC346" i="3" s="1"/>
  <c r="C348" i="3"/>
  <c r="AM348" i="3" s="1"/>
  <c r="Y347" i="3"/>
  <c r="X347" i="3"/>
  <c r="U347" i="3"/>
  <c r="AD345" i="3" s="1"/>
  <c r="AD346" i="3" s="1"/>
  <c r="AD347" i="3" s="1"/>
  <c r="AD348" i="3" s="1"/>
  <c r="C347" i="3"/>
  <c r="AM347" i="3" s="1"/>
  <c r="Y346" i="3"/>
  <c r="AP345" i="3" s="1"/>
  <c r="X346" i="3"/>
  <c r="U346" i="3"/>
  <c r="Q346" i="3"/>
  <c r="C346" i="3"/>
  <c r="Q345" i="3"/>
  <c r="C345" i="3"/>
  <c r="B345" i="3"/>
  <c r="Y343" i="3"/>
  <c r="X343" i="3"/>
  <c r="U343" i="3"/>
  <c r="AC340" i="3" s="1"/>
  <c r="AC341" i="3" s="1"/>
  <c r="C343" i="3"/>
  <c r="AM343" i="3" s="1"/>
  <c r="Y342" i="3"/>
  <c r="X342" i="3"/>
  <c r="U342" i="3"/>
  <c r="AD340" i="3" s="1"/>
  <c r="AD341" i="3" s="1"/>
  <c r="AD342" i="3" s="1"/>
  <c r="AD343" i="3" s="1"/>
  <c r="C342" i="3"/>
  <c r="AM342" i="3" s="1"/>
  <c r="Y341" i="3"/>
  <c r="AP340" i="3" s="1"/>
  <c r="X341" i="3"/>
  <c r="U341" i="3"/>
  <c r="Q341" i="3"/>
  <c r="C341" i="3"/>
  <c r="Q340" i="3"/>
  <c r="C340" i="3"/>
  <c r="B340" i="3"/>
  <c r="Y338" i="3"/>
  <c r="X338" i="3"/>
  <c r="U338" i="3"/>
  <c r="AC335" i="3" s="1"/>
  <c r="AC336" i="3" s="1"/>
  <c r="C338" i="3"/>
  <c r="AM338" i="3" s="1"/>
  <c r="Y337" i="3"/>
  <c r="X337" i="3"/>
  <c r="U337" i="3"/>
  <c r="AD335" i="3" s="1"/>
  <c r="AD336" i="3" s="1"/>
  <c r="AD337" i="3" s="1"/>
  <c r="AD338" i="3" s="1"/>
  <c r="C337" i="3"/>
  <c r="AM337" i="3" s="1"/>
  <c r="Y336" i="3"/>
  <c r="AP335" i="3" s="1"/>
  <c r="X336" i="3"/>
  <c r="U336" i="3"/>
  <c r="Q336" i="3"/>
  <c r="C336" i="3"/>
  <c r="Q335" i="3"/>
  <c r="C335" i="3"/>
  <c r="B335" i="3"/>
  <c r="Y333" i="3"/>
  <c r="X333" i="3"/>
  <c r="U333" i="3"/>
  <c r="AC330" i="3" s="1"/>
  <c r="AC331" i="3" s="1"/>
  <c r="C333" i="3"/>
  <c r="AM333" i="3" s="1"/>
  <c r="Y332" i="3"/>
  <c r="X332" i="3"/>
  <c r="U332" i="3"/>
  <c r="AD330" i="3" s="1"/>
  <c r="AD331" i="3" s="1"/>
  <c r="AD332" i="3" s="1"/>
  <c r="AD333" i="3" s="1"/>
  <c r="C332" i="3"/>
  <c r="AM332" i="3" s="1"/>
  <c r="Y331" i="3"/>
  <c r="AP330" i="3" s="1"/>
  <c r="X331" i="3"/>
  <c r="U331" i="3"/>
  <c r="Q331" i="3"/>
  <c r="C331" i="3"/>
  <c r="Q330" i="3"/>
  <c r="C330" i="3"/>
  <c r="B330" i="3"/>
  <c r="Y328" i="3"/>
  <c r="X328" i="3"/>
  <c r="U328" i="3"/>
  <c r="AC325" i="3" s="1"/>
  <c r="AC326" i="3" s="1"/>
  <c r="C328" i="3"/>
  <c r="AM328" i="3" s="1"/>
  <c r="Y327" i="3"/>
  <c r="X327" i="3"/>
  <c r="U327" i="3"/>
  <c r="AD325" i="3" s="1"/>
  <c r="AD326" i="3" s="1"/>
  <c r="AD327" i="3" s="1"/>
  <c r="AD328" i="3" s="1"/>
  <c r="C327" i="3"/>
  <c r="AM327" i="3" s="1"/>
  <c r="Y326" i="3"/>
  <c r="AP325" i="3" s="1"/>
  <c r="X326" i="3"/>
  <c r="U326" i="3"/>
  <c r="Q326" i="3"/>
  <c r="C326" i="3"/>
  <c r="Q325" i="3"/>
  <c r="C325" i="3"/>
  <c r="B325" i="3"/>
  <c r="Y323" i="3"/>
  <c r="X323" i="3"/>
  <c r="U323" i="3"/>
  <c r="AC320" i="3" s="1"/>
  <c r="AC321" i="3" s="1"/>
  <c r="C323" i="3"/>
  <c r="AM323" i="3" s="1"/>
  <c r="Y322" i="3"/>
  <c r="X322" i="3"/>
  <c r="U322" i="3"/>
  <c r="AD320" i="3" s="1"/>
  <c r="AD321" i="3" s="1"/>
  <c r="AD322" i="3" s="1"/>
  <c r="AD323" i="3" s="1"/>
  <c r="C322" i="3"/>
  <c r="AM322" i="3" s="1"/>
  <c r="Y321" i="3"/>
  <c r="AP320" i="3" s="1"/>
  <c r="X321" i="3"/>
  <c r="U321" i="3"/>
  <c r="Q321" i="3"/>
  <c r="C321" i="3"/>
  <c r="Q320" i="3"/>
  <c r="C320" i="3"/>
  <c r="B320" i="3"/>
  <c r="Y318" i="3"/>
  <c r="X318" i="3"/>
  <c r="U318" i="3"/>
  <c r="AC315" i="3" s="1"/>
  <c r="AC316" i="3" s="1"/>
  <c r="C318" i="3"/>
  <c r="AM318" i="3" s="1"/>
  <c r="Y317" i="3"/>
  <c r="X317" i="3"/>
  <c r="U317" i="3"/>
  <c r="AD315" i="3" s="1"/>
  <c r="AD316" i="3" s="1"/>
  <c r="AD317" i="3" s="1"/>
  <c r="AD318" i="3" s="1"/>
  <c r="C317" i="3"/>
  <c r="AM317" i="3" s="1"/>
  <c r="Y316" i="3"/>
  <c r="AP315" i="3" s="1"/>
  <c r="X316" i="3"/>
  <c r="U316" i="3"/>
  <c r="Q316" i="3"/>
  <c r="C316" i="3"/>
  <c r="Q315" i="3"/>
  <c r="C315" i="3"/>
  <c r="B315" i="3"/>
  <c r="Y313" i="3"/>
  <c r="X313" i="3"/>
  <c r="U313" i="3"/>
  <c r="AC310" i="3" s="1"/>
  <c r="AC311" i="3" s="1"/>
  <c r="C313" i="3"/>
  <c r="AM313" i="3" s="1"/>
  <c r="Y312" i="3"/>
  <c r="X312" i="3"/>
  <c r="U312" i="3"/>
  <c r="AD310" i="3" s="1"/>
  <c r="AD311" i="3" s="1"/>
  <c r="AD312" i="3" s="1"/>
  <c r="AD313" i="3" s="1"/>
  <c r="C312" i="3"/>
  <c r="AM312" i="3" s="1"/>
  <c r="Y311" i="3"/>
  <c r="AP310" i="3" s="1"/>
  <c r="X311" i="3"/>
  <c r="U311" i="3"/>
  <c r="Q311" i="3"/>
  <c r="C311" i="3"/>
  <c r="Q310" i="3"/>
  <c r="C310" i="3"/>
  <c r="B310" i="3"/>
  <c r="Y308" i="3"/>
  <c r="X308" i="3"/>
  <c r="U308" i="3"/>
  <c r="AC305" i="3" s="1"/>
  <c r="AC306" i="3" s="1"/>
  <c r="C308" i="3"/>
  <c r="AM308" i="3" s="1"/>
  <c r="Y307" i="3"/>
  <c r="X307" i="3"/>
  <c r="U307" i="3"/>
  <c r="AD305" i="3" s="1"/>
  <c r="AD306" i="3" s="1"/>
  <c r="AD307" i="3" s="1"/>
  <c r="AD308" i="3" s="1"/>
  <c r="C307" i="3"/>
  <c r="AM307" i="3" s="1"/>
  <c r="Y306" i="3"/>
  <c r="AP305" i="3" s="1"/>
  <c r="X306" i="3"/>
  <c r="U306" i="3"/>
  <c r="Q306" i="3"/>
  <c r="C306" i="3"/>
  <c r="Q305" i="3"/>
  <c r="C305" i="3"/>
  <c r="B305" i="3"/>
  <c r="Y303" i="3"/>
  <c r="X303" i="3"/>
  <c r="U303" i="3"/>
  <c r="AC300" i="3" s="1"/>
  <c r="AC301" i="3" s="1"/>
  <c r="C303" i="3"/>
  <c r="AM303" i="3" s="1"/>
  <c r="Y302" i="3"/>
  <c r="X302" i="3"/>
  <c r="U302" i="3"/>
  <c r="AD300" i="3" s="1"/>
  <c r="AD301" i="3" s="1"/>
  <c r="AD302" i="3" s="1"/>
  <c r="AD303" i="3" s="1"/>
  <c r="C302" i="3"/>
  <c r="AM302" i="3" s="1"/>
  <c r="Y301" i="3"/>
  <c r="AP300" i="3" s="1"/>
  <c r="X301" i="3"/>
  <c r="U301" i="3"/>
  <c r="Q301" i="3"/>
  <c r="C301" i="3"/>
  <c r="Q300" i="3"/>
  <c r="C300" i="3"/>
  <c r="B300" i="3"/>
  <c r="Y298" i="3"/>
  <c r="X298" i="3"/>
  <c r="U298" i="3"/>
  <c r="AC295" i="3" s="1"/>
  <c r="AC296" i="3" s="1"/>
  <c r="C298" i="3"/>
  <c r="AM298" i="3" s="1"/>
  <c r="Y297" i="3"/>
  <c r="X297" i="3"/>
  <c r="U297" i="3"/>
  <c r="AD295" i="3" s="1"/>
  <c r="AD296" i="3" s="1"/>
  <c r="AD297" i="3" s="1"/>
  <c r="AD298" i="3" s="1"/>
  <c r="C297" i="3"/>
  <c r="AM297" i="3" s="1"/>
  <c r="Y296" i="3"/>
  <c r="AP295" i="3" s="1"/>
  <c r="X296" i="3"/>
  <c r="U296" i="3"/>
  <c r="Q296" i="3"/>
  <c r="C296" i="3"/>
  <c r="Q295" i="3"/>
  <c r="C295" i="3"/>
  <c r="B295" i="3"/>
  <c r="Y293" i="3"/>
  <c r="X293" i="3"/>
  <c r="U293" i="3"/>
  <c r="AC290" i="3" s="1"/>
  <c r="AC291" i="3" s="1"/>
  <c r="C293" i="3"/>
  <c r="AM293" i="3" s="1"/>
  <c r="Y292" i="3"/>
  <c r="X292" i="3"/>
  <c r="U292" i="3"/>
  <c r="AD290" i="3" s="1"/>
  <c r="AD291" i="3" s="1"/>
  <c r="AD292" i="3" s="1"/>
  <c r="AD293" i="3" s="1"/>
  <c r="C292" i="3"/>
  <c r="AM292" i="3" s="1"/>
  <c r="Y291" i="3"/>
  <c r="AP290" i="3" s="1"/>
  <c r="X291" i="3"/>
  <c r="U291" i="3"/>
  <c r="Q291" i="3"/>
  <c r="C291" i="3"/>
  <c r="Q290" i="3"/>
  <c r="C290" i="3"/>
  <c r="B290" i="3"/>
  <c r="Y288" i="3"/>
  <c r="X288" i="3"/>
  <c r="U288" i="3"/>
  <c r="AC285" i="3" s="1"/>
  <c r="AC286" i="3" s="1"/>
  <c r="C288" i="3"/>
  <c r="AM288" i="3" s="1"/>
  <c r="Y287" i="3"/>
  <c r="X287" i="3"/>
  <c r="U287" i="3"/>
  <c r="AD285" i="3" s="1"/>
  <c r="AD286" i="3" s="1"/>
  <c r="AD287" i="3" s="1"/>
  <c r="AD288" i="3" s="1"/>
  <c r="C287" i="3"/>
  <c r="AM287" i="3" s="1"/>
  <c r="Y286" i="3"/>
  <c r="AP285" i="3" s="1"/>
  <c r="X286" i="3"/>
  <c r="U286" i="3"/>
  <c r="Q286" i="3"/>
  <c r="C286" i="3"/>
  <c r="Q285" i="3"/>
  <c r="C285" i="3"/>
  <c r="B285" i="3"/>
  <c r="Y283" i="3"/>
  <c r="X283" i="3"/>
  <c r="U283" i="3"/>
  <c r="AC280" i="3" s="1"/>
  <c r="AC281" i="3" s="1"/>
  <c r="C283" i="3"/>
  <c r="AM283" i="3" s="1"/>
  <c r="Y282" i="3"/>
  <c r="X282" i="3"/>
  <c r="U282" i="3"/>
  <c r="AD280" i="3" s="1"/>
  <c r="AD281" i="3" s="1"/>
  <c r="AD282" i="3" s="1"/>
  <c r="AD283" i="3" s="1"/>
  <c r="C282" i="3"/>
  <c r="AM282" i="3" s="1"/>
  <c r="Y281" i="3"/>
  <c r="AP280" i="3" s="1"/>
  <c r="X281" i="3"/>
  <c r="U281" i="3"/>
  <c r="Q281" i="3"/>
  <c r="C281" i="3"/>
  <c r="Q280" i="3"/>
  <c r="E280" i="3"/>
  <c r="E281" i="3" s="1"/>
  <c r="E282" i="3" s="1"/>
  <c r="E283" i="3" s="1"/>
  <c r="C280" i="3"/>
  <c r="B280" i="3"/>
  <c r="Y278" i="3"/>
  <c r="X278" i="3"/>
  <c r="U278" i="3"/>
  <c r="AC275" i="3" s="1"/>
  <c r="AC276" i="3" s="1"/>
  <c r="C278" i="3"/>
  <c r="AM278" i="3" s="1"/>
  <c r="Y277" i="3"/>
  <c r="X277" i="3"/>
  <c r="U277" i="3"/>
  <c r="AD275" i="3" s="1"/>
  <c r="AD276" i="3" s="1"/>
  <c r="AD277" i="3" s="1"/>
  <c r="AD278" i="3" s="1"/>
  <c r="C277" i="3"/>
  <c r="AM277" i="3" s="1"/>
  <c r="Y276" i="3"/>
  <c r="AP275" i="3" s="1"/>
  <c r="X276" i="3"/>
  <c r="U276" i="3"/>
  <c r="Q276" i="3"/>
  <c r="C276" i="3"/>
  <c r="Q275" i="3"/>
  <c r="E275" i="3"/>
  <c r="E276" i="3" s="1"/>
  <c r="E277" i="3" s="1"/>
  <c r="E278" i="3" s="1"/>
  <c r="C275" i="3"/>
  <c r="B275" i="3"/>
  <c r="Y273" i="3"/>
  <c r="X273" i="3"/>
  <c r="U273" i="3"/>
  <c r="AC270" i="3" s="1"/>
  <c r="AC271" i="3" s="1"/>
  <c r="C273" i="3"/>
  <c r="AM273" i="3" s="1"/>
  <c r="Y272" i="3"/>
  <c r="X272" i="3"/>
  <c r="U272" i="3"/>
  <c r="AD270" i="3" s="1"/>
  <c r="AD271" i="3" s="1"/>
  <c r="AD272" i="3" s="1"/>
  <c r="AD273" i="3" s="1"/>
  <c r="C272" i="3"/>
  <c r="AM272" i="3" s="1"/>
  <c r="Y271" i="3"/>
  <c r="AP270" i="3" s="1"/>
  <c r="X271" i="3"/>
  <c r="U271" i="3"/>
  <c r="Q271" i="3"/>
  <c r="C271" i="3"/>
  <c r="Q270" i="3"/>
  <c r="C270" i="3"/>
  <c r="B270" i="3"/>
  <c r="Y268" i="3"/>
  <c r="X268" i="3"/>
  <c r="U268" i="3"/>
  <c r="AC265" i="3" s="1"/>
  <c r="AC266" i="3" s="1"/>
  <c r="C268" i="3"/>
  <c r="AM268" i="3" s="1"/>
  <c r="Y267" i="3"/>
  <c r="X267" i="3"/>
  <c r="U267" i="3"/>
  <c r="AD265" i="3" s="1"/>
  <c r="AD266" i="3" s="1"/>
  <c r="AD267" i="3" s="1"/>
  <c r="AD268" i="3" s="1"/>
  <c r="C267" i="3"/>
  <c r="AM267" i="3" s="1"/>
  <c r="Y266" i="3"/>
  <c r="AP265" i="3" s="1"/>
  <c r="X266" i="3"/>
  <c r="U266" i="3"/>
  <c r="Q266" i="3"/>
  <c r="C266" i="3"/>
  <c r="Q265" i="3"/>
  <c r="C265" i="3"/>
  <c r="B265" i="3"/>
  <c r="Y263" i="3"/>
  <c r="X263" i="3"/>
  <c r="U263" i="3"/>
  <c r="AC260" i="3" s="1"/>
  <c r="AC261" i="3" s="1"/>
  <c r="C263" i="3"/>
  <c r="AM263" i="3" s="1"/>
  <c r="Y262" i="3"/>
  <c r="X262" i="3"/>
  <c r="U262" i="3"/>
  <c r="AD260" i="3" s="1"/>
  <c r="AD261" i="3" s="1"/>
  <c r="AD262" i="3" s="1"/>
  <c r="AD263" i="3" s="1"/>
  <c r="C262" i="3"/>
  <c r="AM262" i="3" s="1"/>
  <c r="Y261" i="3"/>
  <c r="AP260" i="3" s="1"/>
  <c r="X261" i="3"/>
  <c r="U261" i="3"/>
  <c r="Q261" i="3"/>
  <c r="C261" i="3"/>
  <c r="Q260" i="3"/>
  <c r="C260" i="3"/>
  <c r="B260" i="3"/>
  <c r="Y258" i="3"/>
  <c r="X258" i="3"/>
  <c r="U258" i="3"/>
  <c r="AC255" i="3" s="1"/>
  <c r="AC256" i="3" s="1"/>
  <c r="C258" i="3"/>
  <c r="AM258" i="3" s="1"/>
  <c r="Y257" i="3"/>
  <c r="X257" i="3"/>
  <c r="U257" i="3"/>
  <c r="AD255" i="3" s="1"/>
  <c r="AD256" i="3" s="1"/>
  <c r="AD257" i="3" s="1"/>
  <c r="AD258" i="3" s="1"/>
  <c r="C257" i="3"/>
  <c r="AM257" i="3" s="1"/>
  <c r="Y256" i="3"/>
  <c r="AP255" i="3" s="1"/>
  <c r="X256" i="3"/>
  <c r="U256" i="3"/>
  <c r="Q256" i="3"/>
  <c r="C256" i="3"/>
  <c r="Q255" i="3"/>
  <c r="C255" i="3"/>
  <c r="B255" i="3"/>
  <c r="Y253" i="3"/>
  <c r="X253" i="3"/>
  <c r="U253" i="3"/>
  <c r="AC250" i="3" s="1"/>
  <c r="AC251" i="3" s="1"/>
  <c r="C253" i="3"/>
  <c r="AM253" i="3" s="1"/>
  <c r="Y252" i="3"/>
  <c r="X252" i="3"/>
  <c r="U252" i="3"/>
  <c r="AD250" i="3" s="1"/>
  <c r="AD251" i="3" s="1"/>
  <c r="AD252" i="3" s="1"/>
  <c r="AD253" i="3" s="1"/>
  <c r="C252" i="3"/>
  <c r="AM252" i="3" s="1"/>
  <c r="Y251" i="3"/>
  <c r="AP250" i="3" s="1"/>
  <c r="X251" i="3"/>
  <c r="U251" i="3"/>
  <c r="Q251" i="3"/>
  <c r="C251" i="3"/>
  <c r="Q250" i="3"/>
  <c r="C250" i="3"/>
  <c r="B250" i="3"/>
  <c r="Y248" i="3"/>
  <c r="X248" i="3"/>
  <c r="U248" i="3"/>
  <c r="AC245" i="3" s="1"/>
  <c r="AC246" i="3" s="1"/>
  <c r="C248" i="3"/>
  <c r="AM248" i="3" s="1"/>
  <c r="Y247" i="3"/>
  <c r="X247" i="3"/>
  <c r="U247" i="3"/>
  <c r="AD245" i="3" s="1"/>
  <c r="AD246" i="3" s="1"/>
  <c r="AD247" i="3" s="1"/>
  <c r="AD248" i="3" s="1"/>
  <c r="C247" i="3"/>
  <c r="AM247" i="3" s="1"/>
  <c r="Y246" i="3"/>
  <c r="AP245" i="3" s="1"/>
  <c r="X246" i="3"/>
  <c r="U246" i="3"/>
  <c r="Q246" i="3"/>
  <c r="C246" i="3"/>
  <c r="Q245" i="3"/>
  <c r="C245" i="3"/>
  <c r="B245" i="3"/>
  <c r="Y243" i="3"/>
  <c r="X243" i="3"/>
  <c r="U243" i="3"/>
  <c r="AC240" i="3" s="1"/>
  <c r="AC241" i="3" s="1"/>
  <c r="C243" i="3"/>
  <c r="AM243" i="3" s="1"/>
  <c r="Y242" i="3"/>
  <c r="X242" i="3"/>
  <c r="U242" i="3"/>
  <c r="AD240" i="3" s="1"/>
  <c r="AD241" i="3" s="1"/>
  <c r="AD242" i="3" s="1"/>
  <c r="AD243" i="3" s="1"/>
  <c r="C242" i="3"/>
  <c r="AM242" i="3" s="1"/>
  <c r="Y241" i="3"/>
  <c r="AP240" i="3" s="1"/>
  <c r="X241" i="3"/>
  <c r="U241" i="3"/>
  <c r="Q241" i="3"/>
  <c r="C241" i="3"/>
  <c r="Q240" i="3"/>
  <c r="C240" i="3"/>
  <c r="B240" i="3"/>
  <c r="Y238" i="3"/>
  <c r="X238" i="3"/>
  <c r="U238" i="3"/>
  <c r="AC235" i="3" s="1"/>
  <c r="AC236" i="3" s="1"/>
  <c r="C238" i="3"/>
  <c r="AM238" i="3" s="1"/>
  <c r="Y237" i="3"/>
  <c r="X237" i="3"/>
  <c r="U237" i="3"/>
  <c r="AD235" i="3" s="1"/>
  <c r="AD236" i="3" s="1"/>
  <c r="AD237" i="3" s="1"/>
  <c r="AD238" i="3" s="1"/>
  <c r="C237" i="3"/>
  <c r="AM237" i="3" s="1"/>
  <c r="Y236" i="3"/>
  <c r="AP235" i="3" s="1"/>
  <c r="X236" i="3"/>
  <c r="U236" i="3"/>
  <c r="Q236" i="3"/>
  <c r="C236" i="3"/>
  <c r="Q235" i="3"/>
  <c r="C235" i="3"/>
  <c r="B235" i="3"/>
  <c r="Y233" i="3"/>
  <c r="X233" i="3"/>
  <c r="U233" i="3"/>
  <c r="AC230" i="3" s="1"/>
  <c r="AC231" i="3" s="1"/>
  <c r="C233" i="3"/>
  <c r="AM233" i="3" s="1"/>
  <c r="Y232" i="3"/>
  <c r="X232" i="3"/>
  <c r="U232" i="3"/>
  <c r="AD230" i="3" s="1"/>
  <c r="AD231" i="3" s="1"/>
  <c r="AD232" i="3" s="1"/>
  <c r="AD233" i="3" s="1"/>
  <c r="C232" i="3"/>
  <c r="AM232" i="3" s="1"/>
  <c r="Y231" i="3"/>
  <c r="AP230" i="3" s="1"/>
  <c r="X231" i="3"/>
  <c r="U231" i="3"/>
  <c r="Q231" i="3"/>
  <c r="C231" i="3"/>
  <c r="Q230" i="3"/>
  <c r="C230" i="3"/>
  <c r="B230" i="3"/>
  <c r="Y228" i="3"/>
  <c r="X228" i="3"/>
  <c r="U228" i="3"/>
  <c r="AC225" i="3" s="1"/>
  <c r="AC226" i="3" s="1"/>
  <c r="C228" i="3"/>
  <c r="AM228" i="3" s="1"/>
  <c r="Y227" i="3"/>
  <c r="X227" i="3"/>
  <c r="U227" i="3"/>
  <c r="AD225" i="3" s="1"/>
  <c r="AD226" i="3" s="1"/>
  <c r="AD227" i="3" s="1"/>
  <c r="AD228" i="3" s="1"/>
  <c r="C227" i="3"/>
  <c r="AM227" i="3" s="1"/>
  <c r="Y226" i="3"/>
  <c r="AP225" i="3" s="1"/>
  <c r="X226" i="3"/>
  <c r="U226" i="3"/>
  <c r="Q226" i="3"/>
  <c r="C226" i="3"/>
  <c r="Q225" i="3"/>
  <c r="C225" i="3"/>
  <c r="B225" i="3"/>
  <c r="Y223" i="3"/>
  <c r="X223" i="3"/>
  <c r="U223" i="3"/>
  <c r="AC220" i="3" s="1"/>
  <c r="AC221" i="3" s="1"/>
  <c r="C223" i="3"/>
  <c r="AM223" i="3" s="1"/>
  <c r="Y222" i="3"/>
  <c r="X222" i="3"/>
  <c r="U222" i="3"/>
  <c r="AD220" i="3" s="1"/>
  <c r="AD221" i="3" s="1"/>
  <c r="AD222" i="3" s="1"/>
  <c r="AD223" i="3" s="1"/>
  <c r="C222" i="3"/>
  <c r="AM222" i="3" s="1"/>
  <c r="Y221" i="3"/>
  <c r="AP220" i="3" s="1"/>
  <c r="X221" i="3"/>
  <c r="U221" i="3"/>
  <c r="Q221" i="3"/>
  <c r="C221" i="3"/>
  <c r="Q220" i="3"/>
  <c r="C220" i="3"/>
  <c r="B220" i="3"/>
  <c r="Y218" i="3"/>
  <c r="X218" i="3"/>
  <c r="U218" i="3"/>
  <c r="AC215" i="3" s="1"/>
  <c r="AC216" i="3" s="1"/>
  <c r="C218" i="3"/>
  <c r="AM218" i="3" s="1"/>
  <c r="Y217" i="3"/>
  <c r="X217" i="3"/>
  <c r="U217" i="3"/>
  <c r="AD215" i="3" s="1"/>
  <c r="AD216" i="3" s="1"/>
  <c r="AD217" i="3" s="1"/>
  <c r="AD218" i="3" s="1"/>
  <c r="C217" i="3"/>
  <c r="AM217" i="3" s="1"/>
  <c r="Y216" i="3"/>
  <c r="AP215" i="3" s="1"/>
  <c r="X216" i="3"/>
  <c r="U216" i="3"/>
  <c r="Q216" i="3"/>
  <c r="C216" i="3"/>
  <c r="Q215" i="3"/>
  <c r="C215" i="3"/>
  <c r="B215" i="3"/>
  <c r="Y213" i="3"/>
  <c r="X213" i="3"/>
  <c r="U213" i="3"/>
  <c r="AC210" i="3" s="1"/>
  <c r="AC211" i="3" s="1"/>
  <c r="C213" i="3"/>
  <c r="AM213" i="3" s="1"/>
  <c r="Y212" i="3"/>
  <c r="X212" i="3"/>
  <c r="U212" i="3"/>
  <c r="AD210" i="3" s="1"/>
  <c r="AD211" i="3" s="1"/>
  <c r="AD212" i="3" s="1"/>
  <c r="AD213" i="3" s="1"/>
  <c r="C212" i="3"/>
  <c r="AM212" i="3" s="1"/>
  <c r="Y211" i="3"/>
  <c r="AP210" i="3" s="1"/>
  <c r="X211" i="3"/>
  <c r="U211" i="3"/>
  <c r="Q211" i="3"/>
  <c r="C211" i="3"/>
  <c r="Q210" i="3"/>
  <c r="C210" i="3"/>
  <c r="B210" i="3"/>
  <c r="Y208" i="3"/>
  <c r="X208" i="3"/>
  <c r="U208" i="3"/>
  <c r="AC205" i="3" s="1"/>
  <c r="AC206" i="3" s="1"/>
  <c r="C208" i="3"/>
  <c r="AM208" i="3" s="1"/>
  <c r="Y207" i="3"/>
  <c r="X207" i="3"/>
  <c r="U207" i="3"/>
  <c r="AD205" i="3" s="1"/>
  <c r="AD206" i="3" s="1"/>
  <c r="AD207" i="3" s="1"/>
  <c r="AD208" i="3" s="1"/>
  <c r="C207" i="3"/>
  <c r="AM207" i="3" s="1"/>
  <c r="Y206" i="3"/>
  <c r="AP205" i="3" s="1"/>
  <c r="X206" i="3"/>
  <c r="U206" i="3"/>
  <c r="Q206" i="3"/>
  <c r="C206" i="3"/>
  <c r="Q205" i="3"/>
  <c r="C205" i="3"/>
  <c r="B205" i="3"/>
  <c r="Y203" i="3"/>
  <c r="X203" i="3"/>
  <c r="U203" i="3"/>
  <c r="E200" i="3" s="1"/>
  <c r="E201" i="3" s="1"/>
  <c r="E202" i="3" s="1"/>
  <c r="E203" i="3" s="1"/>
  <c r="C203" i="3"/>
  <c r="Y202" i="3"/>
  <c r="X202" i="3"/>
  <c r="U202" i="3"/>
  <c r="AD200" i="3" s="1"/>
  <c r="AD201" i="3" s="1"/>
  <c r="AD202" i="3" s="1"/>
  <c r="AD203" i="3" s="1"/>
  <c r="C202" i="3"/>
  <c r="AM202" i="3" s="1"/>
  <c r="Y201" i="3"/>
  <c r="AP200" i="3" s="1"/>
  <c r="X201" i="3"/>
  <c r="U201" i="3"/>
  <c r="Q201" i="3"/>
  <c r="C201" i="3"/>
  <c r="Q200" i="3"/>
  <c r="C200" i="3"/>
  <c r="B200" i="3"/>
  <c r="Y198" i="3"/>
  <c r="X198" i="3"/>
  <c r="U198" i="3"/>
  <c r="AC195" i="3" s="1"/>
  <c r="AC196" i="3" s="1"/>
  <c r="C198" i="3"/>
  <c r="AM198" i="3" s="1"/>
  <c r="Y197" i="3"/>
  <c r="X197" i="3"/>
  <c r="U197" i="3"/>
  <c r="AD195" i="3" s="1"/>
  <c r="AD196" i="3" s="1"/>
  <c r="AD197" i="3" s="1"/>
  <c r="AD198" i="3" s="1"/>
  <c r="C197" i="3"/>
  <c r="AM197" i="3" s="1"/>
  <c r="Y196" i="3"/>
  <c r="AP195" i="3" s="1"/>
  <c r="X196" i="3"/>
  <c r="U196" i="3"/>
  <c r="Q196" i="3"/>
  <c r="C196" i="3"/>
  <c r="Q195" i="3"/>
  <c r="C195" i="3"/>
  <c r="B195" i="3"/>
  <c r="Y193" i="3"/>
  <c r="X193" i="3"/>
  <c r="U193" i="3"/>
  <c r="AC190" i="3" s="1"/>
  <c r="AC191" i="3" s="1"/>
  <c r="C193" i="3"/>
  <c r="AM193" i="3" s="1"/>
  <c r="Y192" i="3"/>
  <c r="X192" i="3"/>
  <c r="U192" i="3"/>
  <c r="AD190" i="3" s="1"/>
  <c r="AD191" i="3" s="1"/>
  <c r="AD192" i="3" s="1"/>
  <c r="AD193" i="3" s="1"/>
  <c r="C192" i="3"/>
  <c r="AM192" i="3" s="1"/>
  <c r="Y191" i="3"/>
  <c r="AP190" i="3" s="1"/>
  <c r="X191" i="3"/>
  <c r="U191" i="3"/>
  <c r="Q191" i="3"/>
  <c r="C191" i="3"/>
  <c r="Q190" i="3"/>
  <c r="C190" i="3"/>
  <c r="B190" i="3"/>
  <c r="Y188" i="3"/>
  <c r="X188" i="3"/>
  <c r="U188" i="3"/>
  <c r="AC185" i="3" s="1"/>
  <c r="AC186" i="3" s="1"/>
  <c r="C188" i="3"/>
  <c r="AM188" i="3" s="1"/>
  <c r="Y187" i="3"/>
  <c r="X187" i="3"/>
  <c r="U187" i="3"/>
  <c r="AD185" i="3" s="1"/>
  <c r="AD186" i="3" s="1"/>
  <c r="AD187" i="3" s="1"/>
  <c r="AD188" i="3" s="1"/>
  <c r="C187" i="3"/>
  <c r="AM187" i="3" s="1"/>
  <c r="Y186" i="3"/>
  <c r="AP185" i="3" s="1"/>
  <c r="X186" i="3"/>
  <c r="U186" i="3"/>
  <c r="Q186" i="3"/>
  <c r="C186" i="3"/>
  <c r="Q185" i="3"/>
  <c r="C185" i="3"/>
  <c r="B185" i="3"/>
  <c r="Y183" i="3"/>
  <c r="X183" i="3"/>
  <c r="U183" i="3"/>
  <c r="AC180" i="3" s="1"/>
  <c r="AC181" i="3" s="1"/>
  <c r="C183" i="3"/>
  <c r="AM183" i="3" s="1"/>
  <c r="Y182" i="3"/>
  <c r="X182" i="3"/>
  <c r="U182" i="3"/>
  <c r="AD180" i="3" s="1"/>
  <c r="AD181" i="3" s="1"/>
  <c r="AD182" i="3" s="1"/>
  <c r="AD183" i="3" s="1"/>
  <c r="C182" i="3"/>
  <c r="AM182" i="3" s="1"/>
  <c r="Y181" i="3"/>
  <c r="AP180" i="3" s="1"/>
  <c r="X181" i="3"/>
  <c r="U181" i="3"/>
  <c r="Q181" i="3"/>
  <c r="C181" i="3"/>
  <c r="Q180" i="3"/>
  <c r="E180" i="3"/>
  <c r="E181" i="3" s="1"/>
  <c r="E182" i="3" s="1"/>
  <c r="E183" i="3" s="1"/>
  <c r="C180" i="3"/>
  <c r="B180" i="3"/>
  <c r="Y178" i="3"/>
  <c r="X178" i="3"/>
  <c r="U178" i="3"/>
  <c r="AC175" i="3" s="1"/>
  <c r="AC176" i="3" s="1"/>
  <c r="C178" i="3"/>
  <c r="AM178" i="3" s="1"/>
  <c r="Y177" i="3"/>
  <c r="X177" i="3"/>
  <c r="U177" i="3"/>
  <c r="AD175" i="3" s="1"/>
  <c r="AD176" i="3" s="1"/>
  <c r="AD177" i="3" s="1"/>
  <c r="AD178" i="3" s="1"/>
  <c r="C177" i="3"/>
  <c r="AM177" i="3" s="1"/>
  <c r="Y176" i="3"/>
  <c r="AP175" i="3" s="1"/>
  <c r="X176" i="3"/>
  <c r="U176" i="3"/>
  <c r="Q176" i="3"/>
  <c r="C176" i="3"/>
  <c r="Q175" i="3"/>
  <c r="C175" i="3"/>
  <c r="B175" i="3"/>
  <c r="Y173" i="3"/>
  <c r="X173" i="3"/>
  <c r="U173" i="3"/>
  <c r="AC170" i="3" s="1"/>
  <c r="AC171" i="3" s="1"/>
  <c r="C173" i="3"/>
  <c r="AM173" i="3" s="1"/>
  <c r="Y172" i="3"/>
  <c r="X172" i="3"/>
  <c r="U172" i="3"/>
  <c r="AD170" i="3" s="1"/>
  <c r="AD171" i="3" s="1"/>
  <c r="AD172" i="3" s="1"/>
  <c r="AD173" i="3" s="1"/>
  <c r="C172" i="3"/>
  <c r="AM172" i="3" s="1"/>
  <c r="Y171" i="3"/>
  <c r="AP170" i="3" s="1"/>
  <c r="X171" i="3"/>
  <c r="U171" i="3"/>
  <c r="Q171" i="3"/>
  <c r="C171" i="3"/>
  <c r="Q170" i="3"/>
  <c r="C170" i="3"/>
  <c r="B170" i="3"/>
  <c r="Y168" i="3"/>
  <c r="X168" i="3"/>
  <c r="U168" i="3"/>
  <c r="AC165" i="3" s="1"/>
  <c r="AC166" i="3" s="1"/>
  <c r="C168" i="3"/>
  <c r="AM168" i="3" s="1"/>
  <c r="Y167" i="3"/>
  <c r="X167" i="3"/>
  <c r="U167" i="3"/>
  <c r="AD165" i="3" s="1"/>
  <c r="AD166" i="3" s="1"/>
  <c r="AD167" i="3" s="1"/>
  <c r="AD168" i="3" s="1"/>
  <c r="C167" i="3"/>
  <c r="AM167" i="3" s="1"/>
  <c r="Y166" i="3"/>
  <c r="AP165" i="3" s="1"/>
  <c r="X166" i="3"/>
  <c r="U166" i="3"/>
  <c r="Q166" i="3"/>
  <c r="C166" i="3"/>
  <c r="Q165" i="3"/>
  <c r="C165" i="3"/>
  <c r="B165" i="3"/>
  <c r="Y163" i="3"/>
  <c r="X163" i="3"/>
  <c r="U163" i="3"/>
  <c r="AC160" i="3" s="1"/>
  <c r="AC161" i="3" s="1"/>
  <c r="C163" i="3"/>
  <c r="AM163" i="3" s="1"/>
  <c r="Y162" i="3"/>
  <c r="X162" i="3"/>
  <c r="U162" i="3"/>
  <c r="AD160" i="3" s="1"/>
  <c r="AD161" i="3" s="1"/>
  <c r="AD162" i="3" s="1"/>
  <c r="AD163" i="3" s="1"/>
  <c r="C162" i="3"/>
  <c r="AM162" i="3" s="1"/>
  <c r="Y161" i="3"/>
  <c r="AP160" i="3" s="1"/>
  <c r="X161" i="3"/>
  <c r="U161" i="3"/>
  <c r="Q161" i="3"/>
  <c r="C161" i="3"/>
  <c r="Q160" i="3"/>
  <c r="C160" i="3"/>
  <c r="B160" i="3"/>
  <c r="Y158" i="3"/>
  <c r="X158" i="3"/>
  <c r="U158" i="3"/>
  <c r="AC155" i="3" s="1"/>
  <c r="AC156" i="3" s="1"/>
  <c r="C158" i="3"/>
  <c r="AM158" i="3" s="1"/>
  <c r="Y157" i="3"/>
  <c r="X157" i="3"/>
  <c r="U157" i="3"/>
  <c r="AD155" i="3" s="1"/>
  <c r="AD156" i="3" s="1"/>
  <c r="AD157" i="3" s="1"/>
  <c r="AD158" i="3" s="1"/>
  <c r="C157" i="3"/>
  <c r="AM157" i="3" s="1"/>
  <c r="Y156" i="3"/>
  <c r="AP155" i="3" s="1"/>
  <c r="X156" i="3"/>
  <c r="U156" i="3"/>
  <c r="Q156" i="3"/>
  <c r="C156" i="3"/>
  <c r="Q155" i="3"/>
  <c r="C155" i="3"/>
  <c r="B155" i="3"/>
  <c r="Y153" i="3"/>
  <c r="X153" i="3"/>
  <c r="U153" i="3"/>
  <c r="AC150" i="3" s="1"/>
  <c r="AC151" i="3" s="1"/>
  <c r="C153" i="3"/>
  <c r="AM153" i="3" s="1"/>
  <c r="Y152" i="3"/>
  <c r="X152" i="3"/>
  <c r="U152" i="3"/>
  <c r="AD150" i="3" s="1"/>
  <c r="AD151" i="3" s="1"/>
  <c r="AD152" i="3" s="1"/>
  <c r="AD153" i="3" s="1"/>
  <c r="C152" i="3"/>
  <c r="AM152" i="3" s="1"/>
  <c r="Y151" i="3"/>
  <c r="AP150" i="3" s="1"/>
  <c r="X151" i="3"/>
  <c r="U151" i="3"/>
  <c r="Q151" i="3"/>
  <c r="C151" i="3"/>
  <c r="Q150" i="3"/>
  <c r="C150" i="3"/>
  <c r="B150" i="3"/>
  <c r="Y148" i="3"/>
  <c r="X148" i="3"/>
  <c r="U148" i="3"/>
  <c r="AC145" i="3" s="1"/>
  <c r="AC146" i="3" s="1"/>
  <c r="C148" i="3"/>
  <c r="AM148" i="3" s="1"/>
  <c r="Y147" i="3"/>
  <c r="X147" i="3"/>
  <c r="U147" i="3"/>
  <c r="AD145" i="3" s="1"/>
  <c r="AD146" i="3" s="1"/>
  <c r="AD147" i="3" s="1"/>
  <c r="AD148" i="3" s="1"/>
  <c r="C147" i="3"/>
  <c r="AM147" i="3" s="1"/>
  <c r="Y146" i="3"/>
  <c r="AP145" i="3" s="1"/>
  <c r="X146" i="3"/>
  <c r="U146" i="3"/>
  <c r="Q146" i="3"/>
  <c r="C146" i="3"/>
  <c r="Q145" i="3"/>
  <c r="C145" i="3"/>
  <c r="B145" i="3"/>
  <c r="Y143" i="3"/>
  <c r="X143" i="3"/>
  <c r="U143" i="3"/>
  <c r="AC140" i="3" s="1"/>
  <c r="AC141" i="3" s="1"/>
  <c r="C143" i="3"/>
  <c r="AM143" i="3" s="1"/>
  <c r="Y142" i="3"/>
  <c r="X142" i="3"/>
  <c r="U142" i="3"/>
  <c r="AD140" i="3" s="1"/>
  <c r="AD141" i="3" s="1"/>
  <c r="AD142" i="3" s="1"/>
  <c r="AD143" i="3" s="1"/>
  <c r="C142" i="3"/>
  <c r="AM142" i="3" s="1"/>
  <c r="Y141" i="3"/>
  <c r="AP140" i="3" s="1"/>
  <c r="X141" i="3"/>
  <c r="U141" i="3"/>
  <c r="Q141" i="3"/>
  <c r="C141" i="3"/>
  <c r="Q140" i="3"/>
  <c r="C140" i="3"/>
  <c r="B140" i="3"/>
  <c r="Y138" i="3"/>
  <c r="X138" i="3"/>
  <c r="U138" i="3"/>
  <c r="AC135" i="3" s="1"/>
  <c r="AC136" i="3" s="1"/>
  <c r="C138" i="3"/>
  <c r="AM138" i="3" s="1"/>
  <c r="Y137" i="3"/>
  <c r="X137" i="3"/>
  <c r="U137" i="3"/>
  <c r="AD135" i="3" s="1"/>
  <c r="AD136" i="3" s="1"/>
  <c r="AD137" i="3" s="1"/>
  <c r="AD138" i="3" s="1"/>
  <c r="C137" i="3"/>
  <c r="AM137" i="3" s="1"/>
  <c r="Y136" i="3"/>
  <c r="AP135" i="3" s="1"/>
  <c r="X136" i="3"/>
  <c r="U136" i="3"/>
  <c r="Q136" i="3"/>
  <c r="C136" i="3"/>
  <c r="Q135" i="3"/>
  <c r="C135" i="3"/>
  <c r="B135" i="3"/>
  <c r="Y133" i="3"/>
  <c r="X133" i="3"/>
  <c r="U133" i="3"/>
  <c r="AC130" i="3" s="1"/>
  <c r="AC131" i="3" s="1"/>
  <c r="C133" i="3"/>
  <c r="AM133" i="3" s="1"/>
  <c r="Y132" i="3"/>
  <c r="X132" i="3"/>
  <c r="U132" i="3"/>
  <c r="AD130" i="3" s="1"/>
  <c r="AD131" i="3" s="1"/>
  <c r="AD132" i="3" s="1"/>
  <c r="AD133" i="3" s="1"/>
  <c r="C132" i="3"/>
  <c r="AM132" i="3" s="1"/>
  <c r="Y131" i="3"/>
  <c r="AP130" i="3" s="1"/>
  <c r="X131" i="3"/>
  <c r="U131" i="3"/>
  <c r="Q131" i="3"/>
  <c r="C131" i="3"/>
  <c r="Q130" i="3"/>
  <c r="E130" i="3"/>
  <c r="E131" i="3" s="1"/>
  <c r="E132" i="3" s="1"/>
  <c r="E133" i="3" s="1"/>
  <c r="C130" i="3"/>
  <c r="B130" i="3"/>
  <c r="Y128" i="3"/>
  <c r="X128" i="3"/>
  <c r="U128" i="3"/>
  <c r="AC125" i="3" s="1"/>
  <c r="AC126" i="3" s="1"/>
  <c r="C128" i="3"/>
  <c r="AM128" i="3" s="1"/>
  <c r="Y127" i="3"/>
  <c r="X127" i="3"/>
  <c r="U127" i="3"/>
  <c r="AD125" i="3" s="1"/>
  <c r="AD126" i="3" s="1"/>
  <c r="AD127" i="3" s="1"/>
  <c r="AD128" i="3" s="1"/>
  <c r="C127" i="3"/>
  <c r="AM127" i="3" s="1"/>
  <c r="Y126" i="3"/>
  <c r="AP125" i="3" s="1"/>
  <c r="X126" i="3"/>
  <c r="U126" i="3"/>
  <c r="Q126" i="3"/>
  <c r="C126" i="3"/>
  <c r="Q125" i="3"/>
  <c r="E125" i="3"/>
  <c r="E126" i="3" s="1"/>
  <c r="E127" i="3" s="1"/>
  <c r="E128" i="3" s="1"/>
  <c r="C125" i="3"/>
  <c r="B125" i="3"/>
  <c r="Y123" i="3"/>
  <c r="X123" i="3"/>
  <c r="U123" i="3"/>
  <c r="AC120" i="3" s="1"/>
  <c r="AC121" i="3" s="1"/>
  <c r="C123" i="3"/>
  <c r="AM123" i="3" s="1"/>
  <c r="Y122" i="3"/>
  <c r="X122" i="3"/>
  <c r="U122" i="3"/>
  <c r="AD120" i="3" s="1"/>
  <c r="AD121" i="3" s="1"/>
  <c r="AD122" i="3" s="1"/>
  <c r="AD123" i="3" s="1"/>
  <c r="C122" i="3"/>
  <c r="AM122" i="3" s="1"/>
  <c r="Y121" i="3"/>
  <c r="AP120" i="3" s="1"/>
  <c r="X121" i="3"/>
  <c r="U121" i="3"/>
  <c r="Q121" i="3"/>
  <c r="C121" i="3"/>
  <c r="Q120" i="3"/>
  <c r="C120" i="3"/>
  <c r="B120" i="3"/>
  <c r="Y118" i="3"/>
  <c r="X118" i="3"/>
  <c r="U118" i="3"/>
  <c r="AC115" i="3" s="1"/>
  <c r="AC116" i="3" s="1"/>
  <c r="C118" i="3"/>
  <c r="AM118" i="3" s="1"/>
  <c r="Y117" i="3"/>
  <c r="X117" i="3"/>
  <c r="U117" i="3"/>
  <c r="AD115" i="3" s="1"/>
  <c r="AD116" i="3" s="1"/>
  <c r="AD117" i="3" s="1"/>
  <c r="AD118" i="3" s="1"/>
  <c r="C117" i="3"/>
  <c r="AM117" i="3" s="1"/>
  <c r="Y116" i="3"/>
  <c r="AP115" i="3" s="1"/>
  <c r="X116" i="3"/>
  <c r="U116" i="3"/>
  <c r="Q116" i="3"/>
  <c r="C116" i="3"/>
  <c r="Q115" i="3"/>
  <c r="C115" i="3"/>
  <c r="B115" i="3"/>
  <c r="Y113" i="3"/>
  <c r="X113" i="3"/>
  <c r="U113" i="3"/>
  <c r="E110" i="3" s="1"/>
  <c r="E111" i="3" s="1"/>
  <c r="E112" i="3" s="1"/>
  <c r="E113" i="3" s="1"/>
  <c r="C113" i="3"/>
  <c r="Y112" i="3"/>
  <c r="X112" i="3"/>
  <c r="U112" i="3"/>
  <c r="AD110" i="3" s="1"/>
  <c r="AD111" i="3" s="1"/>
  <c r="AD112" i="3" s="1"/>
  <c r="AD113" i="3" s="1"/>
  <c r="C112" i="3"/>
  <c r="AM112" i="3" s="1"/>
  <c r="Y111" i="3"/>
  <c r="AP110" i="3" s="1"/>
  <c r="X111" i="3"/>
  <c r="U111" i="3"/>
  <c r="Q111" i="3"/>
  <c r="C111" i="3"/>
  <c r="Q110" i="3"/>
  <c r="C110" i="3"/>
  <c r="B110" i="3"/>
  <c r="Y108" i="3"/>
  <c r="X108" i="3"/>
  <c r="U108" i="3"/>
  <c r="AC105" i="3" s="1"/>
  <c r="AC106" i="3" s="1"/>
  <c r="C108" i="3"/>
  <c r="AM108" i="3" s="1"/>
  <c r="Y107" i="3"/>
  <c r="X107" i="3"/>
  <c r="U107" i="3"/>
  <c r="AD105" i="3" s="1"/>
  <c r="AD106" i="3" s="1"/>
  <c r="AD107" i="3" s="1"/>
  <c r="AD108" i="3" s="1"/>
  <c r="C107" i="3"/>
  <c r="AM107" i="3" s="1"/>
  <c r="Y106" i="3"/>
  <c r="AP105" i="3" s="1"/>
  <c r="X106" i="3"/>
  <c r="U106" i="3"/>
  <c r="Q106" i="3"/>
  <c r="C106" i="3"/>
  <c r="Q105" i="3"/>
  <c r="C105" i="3"/>
  <c r="B105" i="3"/>
  <c r="Y103" i="3"/>
  <c r="X103" i="3"/>
  <c r="U103" i="3"/>
  <c r="AC100" i="3" s="1"/>
  <c r="AC101" i="3" s="1"/>
  <c r="C103" i="3"/>
  <c r="Y102" i="3"/>
  <c r="X102" i="3"/>
  <c r="U102" i="3"/>
  <c r="F100" i="3" s="1"/>
  <c r="F101" i="3" s="1"/>
  <c r="F102" i="3" s="1"/>
  <c r="F103" i="3" s="1"/>
  <c r="C102" i="3"/>
  <c r="AM102" i="3" s="1"/>
  <c r="Y101" i="3"/>
  <c r="AP100" i="3" s="1"/>
  <c r="X101" i="3"/>
  <c r="U101" i="3"/>
  <c r="Q101" i="3"/>
  <c r="C101" i="3"/>
  <c r="Q100" i="3"/>
  <c r="C100" i="3"/>
  <c r="B100" i="3"/>
  <c r="Y98" i="3"/>
  <c r="X98" i="3"/>
  <c r="U98" i="3"/>
  <c r="E95" i="3" s="1"/>
  <c r="E96" i="3" s="1"/>
  <c r="E97" i="3" s="1"/>
  <c r="E98" i="3" s="1"/>
  <c r="C98" i="3"/>
  <c r="AM98" i="3" s="1"/>
  <c r="Y97" i="3"/>
  <c r="X97" i="3"/>
  <c r="U97" i="3"/>
  <c r="AD95" i="3" s="1"/>
  <c r="AD96" i="3" s="1"/>
  <c r="AD97" i="3" s="1"/>
  <c r="AD98" i="3" s="1"/>
  <c r="C97" i="3"/>
  <c r="AM97" i="3" s="1"/>
  <c r="Y96" i="3"/>
  <c r="AP95" i="3" s="1"/>
  <c r="X96" i="3"/>
  <c r="U96" i="3"/>
  <c r="Q96" i="3"/>
  <c r="C96" i="3"/>
  <c r="Q95" i="3"/>
  <c r="C95" i="3"/>
  <c r="B95" i="3"/>
  <c r="Y93" i="3"/>
  <c r="X93" i="3"/>
  <c r="U93" i="3"/>
  <c r="E90" i="3" s="1"/>
  <c r="E91" i="3" s="1"/>
  <c r="E92" i="3" s="1"/>
  <c r="E93" i="3" s="1"/>
  <c r="C93" i="3"/>
  <c r="Y92" i="3"/>
  <c r="X92" i="3"/>
  <c r="U92" i="3"/>
  <c r="AD90" i="3" s="1"/>
  <c r="AD91" i="3" s="1"/>
  <c r="AD92" i="3" s="1"/>
  <c r="AD93" i="3" s="1"/>
  <c r="C92" i="3"/>
  <c r="AM92" i="3" s="1"/>
  <c r="Y91" i="3"/>
  <c r="AP90" i="3" s="1"/>
  <c r="X91" i="3"/>
  <c r="U91" i="3"/>
  <c r="Q91" i="3"/>
  <c r="C91" i="3"/>
  <c r="Q90" i="3"/>
  <c r="C90" i="3"/>
  <c r="B90" i="3"/>
  <c r="Y88" i="3"/>
  <c r="X88" i="3"/>
  <c r="U88" i="3"/>
  <c r="AC85" i="3" s="1"/>
  <c r="AC86" i="3" s="1"/>
  <c r="C88" i="3"/>
  <c r="Y87" i="3"/>
  <c r="X87" i="3"/>
  <c r="U87" i="3"/>
  <c r="F85" i="3" s="1"/>
  <c r="F86" i="3" s="1"/>
  <c r="F87" i="3" s="1"/>
  <c r="F88" i="3" s="1"/>
  <c r="C87" i="3"/>
  <c r="AM87" i="3" s="1"/>
  <c r="Y86" i="3"/>
  <c r="AP85" i="3" s="1"/>
  <c r="X86" i="3"/>
  <c r="U86" i="3"/>
  <c r="Q86" i="3"/>
  <c r="C86" i="3"/>
  <c r="Q85" i="3"/>
  <c r="C85" i="3"/>
  <c r="B85" i="3"/>
  <c r="Y83" i="3"/>
  <c r="X83" i="3"/>
  <c r="U83" i="3"/>
  <c r="AC80" i="3" s="1"/>
  <c r="AC81" i="3" s="1"/>
  <c r="C83" i="3"/>
  <c r="Y82" i="3"/>
  <c r="X82" i="3"/>
  <c r="U82" i="3"/>
  <c r="AD80" i="3" s="1"/>
  <c r="AD81" i="3" s="1"/>
  <c r="AD82" i="3" s="1"/>
  <c r="AD83" i="3" s="1"/>
  <c r="C82" i="3"/>
  <c r="AM82" i="3" s="1"/>
  <c r="Y81" i="3"/>
  <c r="AP80" i="3" s="1"/>
  <c r="X81" i="3"/>
  <c r="U81" i="3"/>
  <c r="Q81" i="3"/>
  <c r="C81" i="3"/>
  <c r="Q80" i="3"/>
  <c r="E80" i="3"/>
  <c r="E81" i="3" s="1"/>
  <c r="E82" i="3" s="1"/>
  <c r="E83" i="3" s="1"/>
  <c r="C80" i="3"/>
  <c r="B80" i="3"/>
  <c r="Y78" i="3"/>
  <c r="X78" i="3"/>
  <c r="U78" i="3"/>
  <c r="AC75" i="3" s="1"/>
  <c r="AC76" i="3" s="1"/>
  <c r="C78" i="3"/>
  <c r="AM78" i="3" s="1"/>
  <c r="Y77" i="3"/>
  <c r="X77" i="3"/>
  <c r="U77" i="3"/>
  <c r="AD75" i="3" s="1"/>
  <c r="AD76" i="3" s="1"/>
  <c r="AD77" i="3" s="1"/>
  <c r="AD78" i="3" s="1"/>
  <c r="C77" i="3"/>
  <c r="AM77" i="3" s="1"/>
  <c r="Y76" i="3"/>
  <c r="AP75" i="3" s="1"/>
  <c r="X76" i="3"/>
  <c r="U76" i="3"/>
  <c r="Q76" i="3"/>
  <c r="C76" i="3"/>
  <c r="Q75" i="3"/>
  <c r="C75" i="3"/>
  <c r="B75" i="3"/>
  <c r="Y73" i="3"/>
  <c r="X73" i="3"/>
  <c r="U73" i="3"/>
  <c r="AC70" i="3" s="1"/>
  <c r="AC71" i="3" s="1"/>
  <c r="C73" i="3"/>
  <c r="AM73" i="3" s="1"/>
  <c r="Y72" i="3"/>
  <c r="X72" i="3"/>
  <c r="U72" i="3"/>
  <c r="AD70" i="3" s="1"/>
  <c r="AD71" i="3" s="1"/>
  <c r="AD72" i="3" s="1"/>
  <c r="AD73" i="3" s="1"/>
  <c r="C72" i="3"/>
  <c r="AM72" i="3" s="1"/>
  <c r="Y71" i="3"/>
  <c r="AP70" i="3" s="1"/>
  <c r="X71" i="3"/>
  <c r="U71" i="3"/>
  <c r="Q71" i="3"/>
  <c r="C71" i="3"/>
  <c r="Q70" i="3"/>
  <c r="E70" i="3"/>
  <c r="E71" i="3" s="1"/>
  <c r="E72" i="3" s="1"/>
  <c r="E73" i="3" s="1"/>
  <c r="C70" i="3"/>
  <c r="B70" i="3"/>
  <c r="Y68" i="3"/>
  <c r="X68" i="3"/>
  <c r="U68" i="3"/>
  <c r="E65" i="3" s="1"/>
  <c r="E66" i="3" s="1"/>
  <c r="E67" i="3" s="1"/>
  <c r="E68" i="3" s="1"/>
  <c r="C68" i="3"/>
  <c r="Y67" i="3"/>
  <c r="X67" i="3"/>
  <c r="U67" i="3"/>
  <c r="AD65" i="3" s="1"/>
  <c r="AD66" i="3" s="1"/>
  <c r="AD67" i="3" s="1"/>
  <c r="AD68" i="3" s="1"/>
  <c r="C67" i="3"/>
  <c r="AM67" i="3" s="1"/>
  <c r="Y66" i="3"/>
  <c r="AP65" i="3" s="1"/>
  <c r="X66" i="3"/>
  <c r="U66" i="3"/>
  <c r="Q66" i="3"/>
  <c r="C66" i="3"/>
  <c r="Q65" i="3"/>
  <c r="C65" i="3"/>
  <c r="B65" i="3"/>
  <c r="Y63" i="3"/>
  <c r="X63" i="3"/>
  <c r="U63" i="3"/>
  <c r="E60" i="3" s="1"/>
  <c r="E61" i="3" s="1"/>
  <c r="E62" i="3" s="1"/>
  <c r="E63" i="3" s="1"/>
  <c r="C63" i="3"/>
  <c r="Y62" i="3"/>
  <c r="X62" i="3"/>
  <c r="U62" i="3"/>
  <c r="AD60" i="3" s="1"/>
  <c r="AD61" i="3" s="1"/>
  <c r="AD62" i="3" s="1"/>
  <c r="AD63" i="3" s="1"/>
  <c r="C62" i="3"/>
  <c r="AM62" i="3" s="1"/>
  <c r="Y61" i="3"/>
  <c r="AP60" i="3" s="1"/>
  <c r="X61" i="3"/>
  <c r="U61" i="3"/>
  <c r="Q61" i="3"/>
  <c r="C61" i="3"/>
  <c r="Q60" i="3"/>
  <c r="C60" i="3"/>
  <c r="B60" i="3"/>
  <c r="Y58" i="3"/>
  <c r="X58" i="3"/>
  <c r="U58" i="3"/>
  <c r="E55" i="3" s="1"/>
  <c r="E56" i="3" s="1"/>
  <c r="E57" i="3" s="1"/>
  <c r="E58" i="3" s="1"/>
  <c r="C58" i="3"/>
  <c r="Y57" i="3"/>
  <c r="X57" i="3"/>
  <c r="U57" i="3"/>
  <c r="AD55" i="3" s="1"/>
  <c r="AD56" i="3" s="1"/>
  <c r="AD57" i="3" s="1"/>
  <c r="AD58" i="3" s="1"/>
  <c r="C57" i="3"/>
  <c r="AM57" i="3" s="1"/>
  <c r="Y56" i="3"/>
  <c r="AP55" i="3" s="1"/>
  <c r="X56" i="3"/>
  <c r="U56" i="3"/>
  <c r="Q56" i="3"/>
  <c r="C56" i="3"/>
  <c r="Q55" i="3"/>
  <c r="C55" i="3"/>
  <c r="B55" i="3"/>
  <c r="Y53" i="3"/>
  <c r="X53" i="3"/>
  <c r="U53" i="3"/>
  <c r="AC50" i="3" s="1"/>
  <c r="AC51" i="3" s="1"/>
  <c r="C53" i="3"/>
  <c r="AM53" i="3" s="1"/>
  <c r="Y52" i="3"/>
  <c r="X52" i="3"/>
  <c r="U52" i="3"/>
  <c r="AD50" i="3" s="1"/>
  <c r="AD51" i="3" s="1"/>
  <c r="AD52" i="3" s="1"/>
  <c r="AD53" i="3" s="1"/>
  <c r="C52" i="3"/>
  <c r="AM52" i="3" s="1"/>
  <c r="Y51" i="3"/>
  <c r="AP50" i="3" s="1"/>
  <c r="X51" i="3"/>
  <c r="U51" i="3"/>
  <c r="Q51" i="3"/>
  <c r="C51" i="3"/>
  <c r="Q50" i="3"/>
  <c r="E50" i="3"/>
  <c r="E51" i="3" s="1"/>
  <c r="E52" i="3" s="1"/>
  <c r="E53" i="3" s="1"/>
  <c r="C50" i="3"/>
  <c r="B50" i="3"/>
  <c r="Y48" i="3"/>
  <c r="X48" i="3"/>
  <c r="U48" i="3"/>
  <c r="E45" i="3" s="1"/>
  <c r="E46" i="3" s="1"/>
  <c r="E47" i="3" s="1"/>
  <c r="E48" i="3" s="1"/>
  <c r="C48" i="3"/>
  <c r="Y47" i="3"/>
  <c r="X47" i="3"/>
  <c r="U47" i="3"/>
  <c r="AD45" i="3" s="1"/>
  <c r="AD46" i="3" s="1"/>
  <c r="AD47" i="3" s="1"/>
  <c r="AD48" i="3" s="1"/>
  <c r="C47" i="3"/>
  <c r="AM47" i="3" s="1"/>
  <c r="Y46" i="3"/>
  <c r="AP45" i="3" s="1"/>
  <c r="X46" i="3"/>
  <c r="U46" i="3"/>
  <c r="Q46" i="3"/>
  <c r="C46" i="3"/>
  <c r="Q45" i="3"/>
  <c r="C45" i="3"/>
  <c r="B45" i="3"/>
  <c r="Y43" i="3"/>
  <c r="X43" i="3"/>
  <c r="U43" i="3"/>
  <c r="E40" i="3" s="1"/>
  <c r="E41" i="3" s="1"/>
  <c r="E42" i="3" s="1"/>
  <c r="E43" i="3" s="1"/>
  <c r="C43" i="3"/>
  <c r="Y42" i="3"/>
  <c r="X42" i="3"/>
  <c r="U42" i="3"/>
  <c r="AD40" i="3" s="1"/>
  <c r="AD41" i="3" s="1"/>
  <c r="AD42" i="3" s="1"/>
  <c r="AD43" i="3" s="1"/>
  <c r="C42" i="3"/>
  <c r="AM42" i="3" s="1"/>
  <c r="Y41" i="3"/>
  <c r="AP40" i="3" s="1"/>
  <c r="X41" i="3"/>
  <c r="U41" i="3"/>
  <c r="Q41" i="3"/>
  <c r="C41" i="3"/>
  <c r="Q40" i="3"/>
  <c r="C40" i="3"/>
  <c r="B40" i="3"/>
  <c r="Y38" i="3"/>
  <c r="X38" i="3"/>
  <c r="U38" i="3"/>
  <c r="AC35" i="3" s="1"/>
  <c r="AC36" i="3" s="1"/>
  <c r="C38" i="3"/>
  <c r="Y37" i="3"/>
  <c r="X37" i="3"/>
  <c r="U37" i="3"/>
  <c r="F35" i="3" s="1"/>
  <c r="F36" i="3" s="1"/>
  <c r="F37" i="3" s="1"/>
  <c r="F38" i="3" s="1"/>
  <c r="C37" i="3"/>
  <c r="AM37" i="3" s="1"/>
  <c r="Y36" i="3"/>
  <c r="AP35" i="3" s="1"/>
  <c r="X36" i="3"/>
  <c r="U36" i="3"/>
  <c r="Q36" i="3"/>
  <c r="C36" i="3"/>
  <c r="Q35" i="3"/>
  <c r="C35" i="3"/>
  <c r="B35" i="3"/>
  <c r="Y33" i="3"/>
  <c r="X33" i="3"/>
  <c r="U33" i="3"/>
  <c r="AC30" i="3" s="1"/>
  <c r="AC31" i="3" s="1"/>
  <c r="C33" i="3"/>
  <c r="AM33" i="3" s="1"/>
  <c r="Y32" i="3"/>
  <c r="X32" i="3"/>
  <c r="U32" i="3"/>
  <c r="AD30" i="3" s="1"/>
  <c r="AD31" i="3" s="1"/>
  <c r="AD32" i="3" s="1"/>
  <c r="AD33" i="3" s="1"/>
  <c r="C32" i="3"/>
  <c r="AM32" i="3" s="1"/>
  <c r="Y31" i="3"/>
  <c r="AP30" i="3" s="1"/>
  <c r="X31" i="3"/>
  <c r="U31" i="3"/>
  <c r="Q31" i="3"/>
  <c r="C31" i="3"/>
  <c r="Q30" i="3"/>
  <c r="C30" i="3"/>
  <c r="B30" i="3"/>
  <c r="Y28" i="3"/>
  <c r="X28" i="3"/>
  <c r="U28" i="3"/>
  <c r="AC25" i="3" s="1"/>
  <c r="AC26" i="3" s="1"/>
  <c r="C28" i="3"/>
  <c r="AM28" i="3" s="1"/>
  <c r="Y27" i="3"/>
  <c r="X27" i="3"/>
  <c r="U27" i="3"/>
  <c r="AD25" i="3" s="1"/>
  <c r="AD26" i="3" s="1"/>
  <c r="AD27" i="3" s="1"/>
  <c r="AD28" i="3" s="1"/>
  <c r="C27" i="3"/>
  <c r="AM27" i="3" s="1"/>
  <c r="Y26" i="3"/>
  <c r="AP25" i="3" s="1"/>
  <c r="X26" i="3"/>
  <c r="U26" i="3"/>
  <c r="Q26" i="3"/>
  <c r="C26" i="3"/>
  <c r="Q25" i="3"/>
  <c r="C25" i="3"/>
  <c r="B25" i="3"/>
  <c r="Y23" i="3"/>
  <c r="X23" i="3"/>
  <c r="U23" i="3"/>
  <c r="E20" i="3" s="1"/>
  <c r="E21" i="3" s="1"/>
  <c r="E22" i="3" s="1"/>
  <c r="E23" i="3" s="1"/>
  <c r="C23" i="3"/>
  <c r="Y22" i="3"/>
  <c r="X22" i="3"/>
  <c r="U22" i="3"/>
  <c r="AD20" i="3" s="1"/>
  <c r="AD21" i="3" s="1"/>
  <c r="AD22" i="3" s="1"/>
  <c r="AD23" i="3" s="1"/>
  <c r="C22" i="3"/>
  <c r="AM22" i="3" s="1"/>
  <c r="Y21" i="3"/>
  <c r="AP20" i="3" s="1"/>
  <c r="X21" i="3"/>
  <c r="U21" i="3"/>
  <c r="Q21" i="3"/>
  <c r="C21" i="3"/>
  <c r="Q20" i="3"/>
  <c r="C20" i="3"/>
  <c r="B20" i="3"/>
  <c r="Y18" i="3"/>
  <c r="X18" i="3"/>
  <c r="U18" i="3"/>
  <c r="AC15" i="3" s="1"/>
  <c r="AC16" i="3" s="1"/>
  <c r="C18" i="3"/>
  <c r="Y17" i="3"/>
  <c r="X17" i="3"/>
  <c r="U17" i="3"/>
  <c r="F15" i="3" s="1"/>
  <c r="F16" i="3" s="1"/>
  <c r="F17" i="3" s="1"/>
  <c r="F18" i="3" s="1"/>
  <c r="C17" i="3"/>
  <c r="AM17" i="3" s="1"/>
  <c r="Y16" i="3"/>
  <c r="AP15" i="3" s="1"/>
  <c r="X16" i="3"/>
  <c r="U16" i="3"/>
  <c r="Q16" i="3"/>
  <c r="C16" i="3"/>
  <c r="Q15" i="3"/>
  <c r="E15" i="3"/>
  <c r="E16" i="3" s="1"/>
  <c r="E17" i="3" s="1"/>
  <c r="E18" i="3" s="1"/>
  <c r="C15" i="3"/>
  <c r="B15" i="3"/>
  <c r="Y13" i="3"/>
  <c r="X13" i="3"/>
  <c r="U13" i="3"/>
  <c r="E10" i="3" s="1"/>
  <c r="E11" i="3" s="1"/>
  <c r="E12" i="3" s="1"/>
  <c r="E13" i="3" s="1"/>
  <c r="C13" i="3"/>
  <c r="Y12" i="3"/>
  <c r="X12" i="3"/>
  <c r="U12" i="3"/>
  <c r="AD10" i="3" s="1"/>
  <c r="AD11" i="3" s="1"/>
  <c r="AD12" i="3" s="1"/>
  <c r="AD13" i="3" s="1"/>
  <c r="C12" i="3"/>
  <c r="AM12" i="3" s="1"/>
  <c r="Y11" i="3"/>
  <c r="AP10" i="3" s="1"/>
  <c r="X11" i="3"/>
  <c r="U11" i="3"/>
  <c r="Q11" i="3"/>
  <c r="C11" i="3"/>
  <c r="Q10" i="3"/>
  <c r="C10" i="3"/>
  <c r="B10" i="3"/>
  <c r="Y8" i="3"/>
  <c r="Y7" i="3"/>
  <c r="Y6" i="3"/>
  <c r="X8" i="3"/>
  <c r="X7" i="3"/>
  <c r="X6" i="3"/>
  <c r="U8" i="3"/>
  <c r="U7" i="3"/>
  <c r="U6" i="3"/>
  <c r="Q6" i="3"/>
  <c r="Q5" i="3"/>
  <c r="C8" i="3"/>
  <c r="C7" i="3"/>
  <c r="C6" i="3"/>
  <c r="C5" i="3"/>
  <c r="B5" i="3"/>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O25" i="7"/>
  <c r="Z107" i="3" s="1"/>
  <c r="M25" i="7"/>
  <c r="AA106" i="3" s="1"/>
  <c r="L25" i="7"/>
  <c r="Z106" i="3" s="1"/>
  <c r="Z104" i="7"/>
  <c r="Y104" i="7"/>
  <c r="AB104" i="7" s="1"/>
  <c r="Q104" i="7"/>
  <c r="Z503" i="3" s="1"/>
  <c r="O104" i="7"/>
  <c r="Z502" i="3" s="1"/>
  <c r="M104" i="7"/>
  <c r="AA501" i="3" s="1"/>
  <c r="L104" i="7"/>
  <c r="Z501" i="3" s="1"/>
  <c r="Z103" i="7"/>
  <c r="Y103" i="7"/>
  <c r="AB103" i="7" s="1"/>
  <c r="Q103" i="7"/>
  <c r="Z498" i="3" s="1"/>
  <c r="O103" i="7"/>
  <c r="Z497" i="3" s="1"/>
  <c r="M103" i="7"/>
  <c r="AA496" i="3" s="1"/>
  <c r="L103" i="7"/>
  <c r="Z496" i="3" s="1"/>
  <c r="Z102" i="7"/>
  <c r="Y102" i="7"/>
  <c r="AB102" i="7" s="1"/>
  <c r="Q102" i="7"/>
  <c r="Z493" i="3" s="1"/>
  <c r="O102" i="7"/>
  <c r="Z492" i="3" s="1"/>
  <c r="M102" i="7"/>
  <c r="AA491" i="3" s="1"/>
  <c r="L102" i="7"/>
  <c r="Z491" i="3" s="1"/>
  <c r="Z101" i="7"/>
  <c r="Y101" i="7"/>
  <c r="AB101" i="7" s="1"/>
  <c r="Q101" i="7"/>
  <c r="Z488" i="3" s="1"/>
  <c r="O101" i="7"/>
  <c r="Z487" i="3" s="1"/>
  <c r="M101" i="7"/>
  <c r="AA486" i="3" s="1"/>
  <c r="L101" i="7"/>
  <c r="Z486" i="3" s="1"/>
  <c r="Z100" i="7"/>
  <c r="Y100" i="7"/>
  <c r="AB100" i="7" s="1"/>
  <c r="Q100" i="7"/>
  <c r="Z483" i="3" s="1"/>
  <c r="O100" i="7"/>
  <c r="Z482" i="3" s="1"/>
  <c r="M100" i="7"/>
  <c r="AA481" i="3" s="1"/>
  <c r="L100" i="7"/>
  <c r="Z481" i="3" s="1"/>
  <c r="Z99" i="7"/>
  <c r="Y99" i="7"/>
  <c r="AB99" i="7" s="1"/>
  <c r="Q99" i="7"/>
  <c r="Z478" i="3" s="1"/>
  <c r="O99" i="7"/>
  <c r="Z477" i="3" s="1"/>
  <c r="M99" i="7"/>
  <c r="AA476" i="3" s="1"/>
  <c r="L99" i="7"/>
  <c r="Z476" i="3" s="1"/>
  <c r="Z98" i="7"/>
  <c r="Y98" i="7"/>
  <c r="AB98" i="7" s="1"/>
  <c r="Q98" i="7"/>
  <c r="Z473" i="3" s="1"/>
  <c r="O98" i="7"/>
  <c r="Z472" i="3" s="1"/>
  <c r="M98" i="7"/>
  <c r="AA471" i="3" s="1"/>
  <c r="L98" i="7"/>
  <c r="Z471" i="3" s="1"/>
  <c r="Z97" i="7"/>
  <c r="Y97" i="7"/>
  <c r="AB97" i="7" s="1"/>
  <c r="Q97" i="7"/>
  <c r="Z468" i="3" s="1"/>
  <c r="O97" i="7"/>
  <c r="Z467" i="3" s="1"/>
  <c r="M97" i="7"/>
  <c r="AA466" i="3" s="1"/>
  <c r="L97" i="7"/>
  <c r="Z466" i="3" s="1"/>
  <c r="Z96" i="7"/>
  <c r="Y96" i="7"/>
  <c r="AB96" i="7" s="1"/>
  <c r="Q96" i="7"/>
  <c r="Z463" i="3" s="1"/>
  <c r="O96" i="7"/>
  <c r="Z462" i="3" s="1"/>
  <c r="M96" i="7"/>
  <c r="AA461" i="3" s="1"/>
  <c r="L96" i="7"/>
  <c r="Z461" i="3" s="1"/>
  <c r="Z95" i="7"/>
  <c r="Y95" i="7"/>
  <c r="AB95" i="7" s="1"/>
  <c r="Q95" i="7"/>
  <c r="Z458" i="3" s="1"/>
  <c r="O95" i="7"/>
  <c r="Z457" i="3" s="1"/>
  <c r="M95" i="7"/>
  <c r="AA456" i="3" s="1"/>
  <c r="L95" i="7"/>
  <c r="Z456" i="3" s="1"/>
  <c r="Z94" i="7"/>
  <c r="Y94" i="7"/>
  <c r="AB94" i="7" s="1"/>
  <c r="Q94" i="7"/>
  <c r="Z453" i="3" s="1"/>
  <c r="O94" i="7"/>
  <c r="Z452" i="3" s="1"/>
  <c r="M94" i="7"/>
  <c r="AA451" i="3" s="1"/>
  <c r="L94" i="7"/>
  <c r="Z451" i="3" s="1"/>
  <c r="Z93" i="7"/>
  <c r="Y93" i="7"/>
  <c r="AB93" i="7" s="1"/>
  <c r="Q93" i="7"/>
  <c r="Z448" i="3" s="1"/>
  <c r="O93" i="7"/>
  <c r="Z447" i="3" s="1"/>
  <c r="M93" i="7"/>
  <c r="AA446" i="3" s="1"/>
  <c r="L93" i="7"/>
  <c r="Z446" i="3" s="1"/>
  <c r="Z92" i="7"/>
  <c r="Y92" i="7"/>
  <c r="AB92" i="7" s="1"/>
  <c r="Q92" i="7"/>
  <c r="Z443" i="3" s="1"/>
  <c r="O92" i="7"/>
  <c r="Z442" i="3" s="1"/>
  <c r="M92" i="7"/>
  <c r="AA441" i="3" s="1"/>
  <c r="L92" i="7"/>
  <c r="Z441" i="3" s="1"/>
  <c r="Z91" i="7"/>
  <c r="Y91" i="7"/>
  <c r="AB91" i="7" s="1"/>
  <c r="Q91" i="7"/>
  <c r="Z438" i="3" s="1"/>
  <c r="O91" i="7"/>
  <c r="Z437" i="3" s="1"/>
  <c r="M91" i="7"/>
  <c r="AA436" i="3" s="1"/>
  <c r="L91" i="7"/>
  <c r="Z436" i="3" s="1"/>
  <c r="Z90" i="7"/>
  <c r="Y90" i="7"/>
  <c r="AB90" i="7" s="1"/>
  <c r="Q90" i="7"/>
  <c r="Z433" i="3" s="1"/>
  <c r="O90" i="7"/>
  <c r="Z432" i="3" s="1"/>
  <c r="M90" i="7"/>
  <c r="AA431" i="3" s="1"/>
  <c r="L90" i="7"/>
  <c r="Z431" i="3" s="1"/>
  <c r="Z89" i="7"/>
  <c r="Y89" i="7"/>
  <c r="AB89" i="7" s="1"/>
  <c r="Q89" i="7"/>
  <c r="Z428" i="3" s="1"/>
  <c r="O89" i="7"/>
  <c r="Z427" i="3" s="1"/>
  <c r="M89" i="7"/>
  <c r="AA426" i="3" s="1"/>
  <c r="L89" i="7"/>
  <c r="Z426" i="3" s="1"/>
  <c r="Z88" i="7"/>
  <c r="Y88" i="7"/>
  <c r="AB88" i="7" s="1"/>
  <c r="Q88" i="7"/>
  <c r="Z423" i="3" s="1"/>
  <c r="O88" i="7"/>
  <c r="Z422" i="3" s="1"/>
  <c r="M88" i="7"/>
  <c r="AA421" i="3" s="1"/>
  <c r="L88" i="7"/>
  <c r="Z421" i="3" s="1"/>
  <c r="Z87" i="7"/>
  <c r="Y87" i="7"/>
  <c r="AB87" i="7" s="1"/>
  <c r="Q87" i="7"/>
  <c r="Z418" i="3" s="1"/>
  <c r="O87" i="7"/>
  <c r="Z417" i="3" s="1"/>
  <c r="M87" i="7"/>
  <c r="AA416" i="3" s="1"/>
  <c r="L87" i="7"/>
  <c r="Z416" i="3" s="1"/>
  <c r="Z86" i="7"/>
  <c r="Y86" i="7"/>
  <c r="AB86" i="7" s="1"/>
  <c r="Q86" i="7"/>
  <c r="Z413" i="3" s="1"/>
  <c r="O86" i="7"/>
  <c r="Z412" i="3" s="1"/>
  <c r="M86" i="7"/>
  <c r="AA411" i="3" s="1"/>
  <c r="L86" i="7"/>
  <c r="Z411" i="3" s="1"/>
  <c r="Z85" i="7"/>
  <c r="Y85" i="7"/>
  <c r="AB85" i="7" s="1"/>
  <c r="Q85" i="7"/>
  <c r="Z408" i="3" s="1"/>
  <c r="O85" i="7"/>
  <c r="Z407" i="3" s="1"/>
  <c r="M85" i="7"/>
  <c r="AA406" i="3" s="1"/>
  <c r="L85" i="7"/>
  <c r="Z406" i="3" s="1"/>
  <c r="Z84" i="7"/>
  <c r="Y84" i="7"/>
  <c r="AB84" i="7" s="1"/>
  <c r="Q84" i="7"/>
  <c r="Z403" i="3" s="1"/>
  <c r="O84" i="7"/>
  <c r="Z402" i="3" s="1"/>
  <c r="M84" i="7"/>
  <c r="AA401" i="3" s="1"/>
  <c r="L84" i="7"/>
  <c r="Z401" i="3" s="1"/>
  <c r="Z83" i="7"/>
  <c r="Y83" i="7"/>
  <c r="AB83" i="7" s="1"/>
  <c r="Q83" i="7"/>
  <c r="Z398" i="3" s="1"/>
  <c r="O83" i="7"/>
  <c r="Z397" i="3" s="1"/>
  <c r="M83" i="7"/>
  <c r="AA396" i="3" s="1"/>
  <c r="L83" i="7"/>
  <c r="Z396" i="3" s="1"/>
  <c r="Z82" i="7"/>
  <c r="Y82" i="7"/>
  <c r="AB82" i="7" s="1"/>
  <c r="Q82" i="7"/>
  <c r="Z393" i="3" s="1"/>
  <c r="O82" i="7"/>
  <c r="Z392" i="3" s="1"/>
  <c r="M82" i="7"/>
  <c r="AA391" i="3" s="1"/>
  <c r="L82" i="7"/>
  <c r="Z391" i="3" s="1"/>
  <c r="Z81" i="7"/>
  <c r="Y81" i="7"/>
  <c r="AB81" i="7" s="1"/>
  <c r="Q81" i="7"/>
  <c r="Z388" i="3" s="1"/>
  <c r="O81" i="7"/>
  <c r="Z387" i="3" s="1"/>
  <c r="M81" i="7"/>
  <c r="AA386" i="3" s="1"/>
  <c r="L81" i="7"/>
  <c r="Z386" i="3" s="1"/>
  <c r="Z80" i="7"/>
  <c r="Y80" i="7"/>
  <c r="AB80" i="7" s="1"/>
  <c r="Q80" i="7"/>
  <c r="Z383" i="3" s="1"/>
  <c r="O80" i="7"/>
  <c r="Z382" i="3" s="1"/>
  <c r="M80" i="7"/>
  <c r="AA381" i="3" s="1"/>
  <c r="L80" i="7"/>
  <c r="Z381" i="3" s="1"/>
  <c r="Z79" i="7"/>
  <c r="Y79" i="7"/>
  <c r="AB79" i="7" s="1"/>
  <c r="Q79" i="7"/>
  <c r="Z378" i="3" s="1"/>
  <c r="O79" i="7"/>
  <c r="Z377" i="3" s="1"/>
  <c r="M79" i="7"/>
  <c r="AA376" i="3" s="1"/>
  <c r="L79" i="7"/>
  <c r="Z376" i="3" s="1"/>
  <c r="Z78" i="7"/>
  <c r="Y78" i="7"/>
  <c r="AB78" i="7" s="1"/>
  <c r="Q78" i="7"/>
  <c r="Z373" i="3" s="1"/>
  <c r="O78" i="7"/>
  <c r="Z372" i="3" s="1"/>
  <c r="M78" i="7"/>
  <c r="AA371" i="3" s="1"/>
  <c r="L78" i="7"/>
  <c r="Z371" i="3" s="1"/>
  <c r="Z77" i="7"/>
  <c r="Y77" i="7"/>
  <c r="AB77" i="7" s="1"/>
  <c r="Q77" i="7"/>
  <c r="Z368" i="3" s="1"/>
  <c r="O77" i="7"/>
  <c r="Z367" i="3" s="1"/>
  <c r="M77" i="7"/>
  <c r="AA366" i="3" s="1"/>
  <c r="L77" i="7"/>
  <c r="Z366" i="3" s="1"/>
  <c r="Z76" i="7"/>
  <c r="Y76" i="7"/>
  <c r="AB76" i="7" s="1"/>
  <c r="Q76" i="7"/>
  <c r="Z363" i="3" s="1"/>
  <c r="O76" i="7"/>
  <c r="Z362" i="3" s="1"/>
  <c r="M76" i="7"/>
  <c r="AA361" i="3" s="1"/>
  <c r="L76" i="7"/>
  <c r="Z361" i="3" s="1"/>
  <c r="Z75" i="7"/>
  <c r="Y75" i="7"/>
  <c r="AB75" i="7" s="1"/>
  <c r="Q75" i="7"/>
  <c r="Z358" i="3" s="1"/>
  <c r="O75" i="7"/>
  <c r="Z357" i="3" s="1"/>
  <c r="M75" i="7"/>
  <c r="AA356" i="3" s="1"/>
  <c r="L75" i="7"/>
  <c r="Z356" i="3" s="1"/>
  <c r="Z74" i="7"/>
  <c r="Y74" i="7"/>
  <c r="AB74" i="7" s="1"/>
  <c r="Q74" i="7"/>
  <c r="Z353" i="3" s="1"/>
  <c r="O74" i="7"/>
  <c r="Z352" i="3" s="1"/>
  <c r="M74" i="7"/>
  <c r="AA351" i="3" s="1"/>
  <c r="L74" i="7"/>
  <c r="Z351" i="3" s="1"/>
  <c r="Z73" i="7"/>
  <c r="Y73" i="7"/>
  <c r="AB73" i="7" s="1"/>
  <c r="Q73" i="7"/>
  <c r="Z348" i="3" s="1"/>
  <c r="O73" i="7"/>
  <c r="Z347" i="3" s="1"/>
  <c r="M73" i="7"/>
  <c r="AA346" i="3" s="1"/>
  <c r="L73" i="7"/>
  <c r="Z346" i="3" s="1"/>
  <c r="Z72" i="7"/>
  <c r="Y72" i="7"/>
  <c r="AB72" i="7" s="1"/>
  <c r="Q72" i="7"/>
  <c r="Z343" i="3" s="1"/>
  <c r="O72" i="7"/>
  <c r="Z342" i="3" s="1"/>
  <c r="M72" i="7"/>
  <c r="AA341" i="3" s="1"/>
  <c r="L72" i="7"/>
  <c r="Z341" i="3" s="1"/>
  <c r="Z71" i="7"/>
  <c r="Y71" i="7"/>
  <c r="AB71" i="7" s="1"/>
  <c r="Q71" i="7"/>
  <c r="Z338" i="3" s="1"/>
  <c r="O71" i="7"/>
  <c r="Z337" i="3" s="1"/>
  <c r="M71" i="7"/>
  <c r="AA336" i="3" s="1"/>
  <c r="L71" i="7"/>
  <c r="Z336" i="3" s="1"/>
  <c r="Z70" i="7"/>
  <c r="Y70" i="7"/>
  <c r="AB70" i="7" s="1"/>
  <c r="Q70" i="7"/>
  <c r="Z333" i="3" s="1"/>
  <c r="O70" i="7"/>
  <c r="Z332" i="3" s="1"/>
  <c r="M70" i="7"/>
  <c r="AA331" i="3" s="1"/>
  <c r="L70" i="7"/>
  <c r="Z331" i="3" s="1"/>
  <c r="Z69" i="7"/>
  <c r="Y69" i="7"/>
  <c r="AB69" i="7" s="1"/>
  <c r="Q69" i="7"/>
  <c r="Z328" i="3" s="1"/>
  <c r="O69" i="7"/>
  <c r="Z327" i="3" s="1"/>
  <c r="M69" i="7"/>
  <c r="AA326" i="3" s="1"/>
  <c r="L69" i="7"/>
  <c r="Z326" i="3" s="1"/>
  <c r="Z68" i="7"/>
  <c r="Y68" i="7"/>
  <c r="AB68" i="7" s="1"/>
  <c r="Q68" i="7"/>
  <c r="Z323" i="3" s="1"/>
  <c r="O68" i="7"/>
  <c r="Z322" i="3" s="1"/>
  <c r="M68" i="7"/>
  <c r="AA321" i="3" s="1"/>
  <c r="L68" i="7"/>
  <c r="Z321" i="3" s="1"/>
  <c r="Z67" i="7"/>
  <c r="Y67" i="7"/>
  <c r="AB67" i="7" s="1"/>
  <c r="Q67" i="7"/>
  <c r="Z318" i="3" s="1"/>
  <c r="O67" i="7"/>
  <c r="Z317" i="3" s="1"/>
  <c r="M67" i="7"/>
  <c r="AA316" i="3" s="1"/>
  <c r="L67" i="7"/>
  <c r="Z316" i="3" s="1"/>
  <c r="Z66" i="7"/>
  <c r="Y66" i="7"/>
  <c r="AB66" i="7" s="1"/>
  <c r="Q66" i="7"/>
  <c r="Z313" i="3" s="1"/>
  <c r="O66" i="7"/>
  <c r="Z312" i="3" s="1"/>
  <c r="M66" i="7"/>
  <c r="AA311" i="3" s="1"/>
  <c r="L66" i="7"/>
  <c r="Z311" i="3" s="1"/>
  <c r="Z65" i="7"/>
  <c r="Y65" i="7"/>
  <c r="AB65" i="7" s="1"/>
  <c r="Q65" i="7"/>
  <c r="Z308" i="3" s="1"/>
  <c r="O65" i="7"/>
  <c r="Z307" i="3" s="1"/>
  <c r="M65" i="7"/>
  <c r="AA306" i="3" s="1"/>
  <c r="L65" i="7"/>
  <c r="Z306" i="3" s="1"/>
  <c r="Z64" i="7"/>
  <c r="Y64" i="7"/>
  <c r="AB64" i="7" s="1"/>
  <c r="Q64" i="7"/>
  <c r="Z303" i="3" s="1"/>
  <c r="O64" i="7"/>
  <c r="Z302" i="3" s="1"/>
  <c r="M64" i="7"/>
  <c r="AA301" i="3" s="1"/>
  <c r="L64" i="7"/>
  <c r="Z301" i="3" s="1"/>
  <c r="Z63" i="7"/>
  <c r="Y63" i="7"/>
  <c r="AB63" i="7" s="1"/>
  <c r="Q63" i="7"/>
  <c r="Z298" i="3" s="1"/>
  <c r="O63" i="7"/>
  <c r="Z297" i="3" s="1"/>
  <c r="M63" i="7"/>
  <c r="AA296" i="3" s="1"/>
  <c r="L63" i="7"/>
  <c r="Z296" i="3" s="1"/>
  <c r="Z62" i="7"/>
  <c r="Y62" i="7"/>
  <c r="AB62" i="7" s="1"/>
  <c r="Q62" i="7"/>
  <c r="Z293" i="3" s="1"/>
  <c r="O62" i="7"/>
  <c r="Z292" i="3" s="1"/>
  <c r="M62" i="7"/>
  <c r="AA291" i="3" s="1"/>
  <c r="L62" i="7"/>
  <c r="Z291" i="3" s="1"/>
  <c r="Z61" i="7"/>
  <c r="Y61" i="7"/>
  <c r="AB61" i="7" s="1"/>
  <c r="Q61" i="7"/>
  <c r="Z288" i="3" s="1"/>
  <c r="O61" i="7"/>
  <c r="Z287" i="3" s="1"/>
  <c r="M61" i="7"/>
  <c r="AA286" i="3" s="1"/>
  <c r="L61" i="7"/>
  <c r="Z286" i="3" s="1"/>
  <c r="Z60" i="7"/>
  <c r="Y60" i="7"/>
  <c r="AB60" i="7" s="1"/>
  <c r="Q60" i="7"/>
  <c r="Z283" i="3" s="1"/>
  <c r="O60" i="7"/>
  <c r="Z282" i="3" s="1"/>
  <c r="M60" i="7"/>
  <c r="AA281" i="3" s="1"/>
  <c r="L60" i="7"/>
  <c r="Z281" i="3" s="1"/>
  <c r="Z59" i="7"/>
  <c r="Y59" i="7"/>
  <c r="AB59" i="7" s="1"/>
  <c r="Q59" i="7"/>
  <c r="Z278" i="3" s="1"/>
  <c r="O59" i="7"/>
  <c r="Z277" i="3" s="1"/>
  <c r="M59" i="7"/>
  <c r="AA276" i="3" s="1"/>
  <c r="L59" i="7"/>
  <c r="Z276" i="3" s="1"/>
  <c r="Z58" i="7"/>
  <c r="Y58" i="7"/>
  <c r="AB58" i="7" s="1"/>
  <c r="Q58" i="7"/>
  <c r="Z273" i="3" s="1"/>
  <c r="O58" i="7"/>
  <c r="Z272" i="3" s="1"/>
  <c r="M58" i="7"/>
  <c r="AA271" i="3" s="1"/>
  <c r="L58" i="7"/>
  <c r="Z271" i="3" s="1"/>
  <c r="Z57" i="7"/>
  <c r="Y57" i="7"/>
  <c r="AB57" i="7" s="1"/>
  <c r="Q57" i="7"/>
  <c r="Z268" i="3" s="1"/>
  <c r="O57" i="7"/>
  <c r="Z267" i="3" s="1"/>
  <c r="M57" i="7"/>
  <c r="AA266" i="3" s="1"/>
  <c r="L57" i="7"/>
  <c r="Z266" i="3" s="1"/>
  <c r="Z56" i="7"/>
  <c r="Y56" i="7"/>
  <c r="AB56" i="7" s="1"/>
  <c r="Q56" i="7"/>
  <c r="Z263" i="3" s="1"/>
  <c r="O56" i="7"/>
  <c r="Z262" i="3" s="1"/>
  <c r="M56" i="7"/>
  <c r="AA261" i="3" s="1"/>
  <c r="L56" i="7"/>
  <c r="Z261" i="3" s="1"/>
  <c r="Z55" i="7"/>
  <c r="Y55" i="7"/>
  <c r="AB55" i="7" s="1"/>
  <c r="Q55" i="7"/>
  <c r="Z258" i="3" s="1"/>
  <c r="O55" i="7"/>
  <c r="Z257" i="3" s="1"/>
  <c r="M55" i="7"/>
  <c r="AA256" i="3" s="1"/>
  <c r="L55" i="7"/>
  <c r="Z256" i="3" s="1"/>
  <c r="Z54" i="7"/>
  <c r="Y54" i="7"/>
  <c r="AB54" i="7" s="1"/>
  <c r="Q54" i="7"/>
  <c r="Z253" i="3" s="1"/>
  <c r="O54" i="7"/>
  <c r="Z252" i="3" s="1"/>
  <c r="M54" i="7"/>
  <c r="AA251" i="3" s="1"/>
  <c r="L54" i="7"/>
  <c r="Z251" i="3" s="1"/>
  <c r="Z53" i="7"/>
  <c r="Y53" i="7"/>
  <c r="AB53" i="7" s="1"/>
  <c r="Q53" i="7"/>
  <c r="Z248" i="3" s="1"/>
  <c r="O53" i="7"/>
  <c r="Z247" i="3" s="1"/>
  <c r="M53" i="7"/>
  <c r="AA246" i="3" s="1"/>
  <c r="L53" i="7"/>
  <c r="Z246" i="3" s="1"/>
  <c r="Z52" i="7"/>
  <c r="Y52" i="7"/>
  <c r="AB52" i="7" s="1"/>
  <c r="Q52" i="7"/>
  <c r="Z243" i="3" s="1"/>
  <c r="O52" i="7"/>
  <c r="Z242" i="3" s="1"/>
  <c r="M52" i="7"/>
  <c r="AA241" i="3" s="1"/>
  <c r="L52" i="7"/>
  <c r="Z241" i="3" s="1"/>
  <c r="Z51" i="7"/>
  <c r="Y51" i="7"/>
  <c r="AB51" i="7" s="1"/>
  <c r="Q51" i="7"/>
  <c r="Z238" i="3" s="1"/>
  <c r="O51" i="7"/>
  <c r="Z237" i="3" s="1"/>
  <c r="M51" i="7"/>
  <c r="AA236" i="3" s="1"/>
  <c r="L51" i="7"/>
  <c r="Z236" i="3" s="1"/>
  <c r="Z50" i="7"/>
  <c r="Y50" i="7"/>
  <c r="AB50" i="7" s="1"/>
  <c r="Q50" i="7"/>
  <c r="Z233" i="3" s="1"/>
  <c r="O50" i="7"/>
  <c r="Z232" i="3" s="1"/>
  <c r="M50" i="7"/>
  <c r="AA231" i="3" s="1"/>
  <c r="L50" i="7"/>
  <c r="Z231" i="3" s="1"/>
  <c r="Z49" i="7"/>
  <c r="Y49" i="7"/>
  <c r="AB49" i="7" s="1"/>
  <c r="Q49" i="7"/>
  <c r="Z228" i="3" s="1"/>
  <c r="O49" i="7"/>
  <c r="Z227" i="3" s="1"/>
  <c r="M49" i="7"/>
  <c r="AA226" i="3" s="1"/>
  <c r="L49" i="7"/>
  <c r="Z226" i="3" s="1"/>
  <c r="Z48" i="7"/>
  <c r="Y48" i="7"/>
  <c r="AB48" i="7" s="1"/>
  <c r="Q48" i="7"/>
  <c r="Z223" i="3" s="1"/>
  <c r="O48" i="7"/>
  <c r="Z222" i="3" s="1"/>
  <c r="M48" i="7"/>
  <c r="AA221" i="3" s="1"/>
  <c r="L48" i="7"/>
  <c r="Z221" i="3" s="1"/>
  <c r="Z47" i="7"/>
  <c r="Y47" i="7"/>
  <c r="AB47" i="7" s="1"/>
  <c r="Q47" i="7"/>
  <c r="Z218" i="3" s="1"/>
  <c r="O47" i="7"/>
  <c r="Z217" i="3" s="1"/>
  <c r="M47" i="7"/>
  <c r="AA216" i="3" s="1"/>
  <c r="L47" i="7"/>
  <c r="Z216" i="3" s="1"/>
  <c r="Z46" i="7"/>
  <c r="Y46" i="7"/>
  <c r="AB46" i="7" s="1"/>
  <c r="Q46" i="7"/>
  <c r="Z213" i="3" s="1"/>
  <c r="O46" i="7"/>
  <c r="Z212" i="3" s="1"/>
  <c r="M46" i="7"/>
  <c r="AA211" i="3" s="1"/>
  <c r="L46" i="7"/>
  <c r="Z211" i="3" s="1"/>
  <c r="Z45" i="7"/>
  <c r="Y45" i="7"/>
  <c r="AB45" i="7" s="1"/>
  <c r="Q45" i="7"/>
  <c r="Z208" i="3" s="1"/>
  <c r="O45" i="7"/>
  <c r="Z207" i="3" s="1"/>
  <c r="M45" i="7"/>
  <c r="AA206" i="3" s="1"/>
  <c r="L45" i="7"/>
  <c r="Z206" i="3" s="1"/>
  <c r="Z44" i="7"/>
  <c r="Y44" i="7"/>
  <c r="AB44" i="7" s="1"/>
  <c r="Q44" i="7"/>
  <c r="Z203" i="3" s="1"/>
  <c r="O44" i="7"/>
  <c r="Z202" i="3" s="1"/>
  <c r="M44" i="7"/>
  <c r="AA201" i="3" s="1"/>
  <c r="L44" i="7"/>
  <c r="Z201" i="3" s="1"/>
  <c r="Z43" i="7"/>
  <c r="Y43" i="7"/>
  <c r="AB43" i="7" s="1"/>
  <c r="Q43" i="7"/>
  <c r="Z198" i="3" s="1"/>
  <c r="O43" i="7"/>
  <c r="Z197" i="3" s="1"/>
  <c r="M43" i="7"/>
  <c r="AA196" i="3" s="1"/>
  <c r="L43" i="7"/>
  <c r="Z196" i="3" s="1"/>
  <c r="Z42" i="7"/>
  <c r="Y42" i="7"/>
  <c r="AB42" i="7" s="1"/>
  <c r="Q42" i="7"/>
  <c r="Z193" i="3" s="1"/>
  <c r="O42" i="7"/>
  <c r="Z192" i="3" s="1"/>
  <c r="M42" i="7"/>
  <c r="AA191" i="3" s="1"/>
  <c r="L42" i="7"/>
  <c r="Z191" i="3" s="1"/>
  <c r="Z41" i="7"/>
  <c r="Y41" i="7"/>
  <c r="AB41" i="7" s="1"/>
  <c r="Q41" i="7"/>
  <c r="Z188" i="3" s="1"/>
  <c r="O41" i="7"/>
  <c r="Z187" i="3" s="1"/>
  <c r="M41" i="7"/>
  <c r="AA186" i="3" s="1"/>
  <c r="L41" i="7"/>
  <c r="Z186" i="3" s="1"/>
  <c r="Z40" i="7"/>
  <c r="Y40" i="7"/>
  <c r="AB40" i="7" s="1"/>
  <c r="Q40" i="7"/>
  <c r="Z183" i="3" s="1"/>
  <c r="O40" i="7"/>
  <c r="Z182" i="3" s="1"/>
  <c r="M40" i="7"/>
  <c r="AA181" i="3" s="1"/>
  <c r="L40" i="7"/>
  <c r="Z181" i="3" s="1"/>
  <c r="Z39" i="7"/>
  <c r="Y39" i="7"/>
  <c r="AB39" i="7" s="1"/>
  <c r="Q39" i="7"/>
  <c r="Z178" i="3" s="1"/>
  <c r="O39" i="7"/>
  <c r="Z177" i="3" s="1"/>
  <c r="M39" i="7"/>
  <c r="AA176" i="3" s="1"/>
  <c r="L39" i="7"/>
  <c r="Z176" i="3" s="1"/>
  <c r="Z38" i="7"/>
  <c r="Y38" i="7"/>
  <c r="AB38" i="7" s="1"/>
  <c r="Q38" i="7"/>
  <c r="Z173" i="3" s="1"/>
  <c r="O38" i="7"/>
  <c r="Z172" i="3" s="1"/>
  <c r="M38" i="7"/>
  <c r="AA171" i="3" s="1"/>
  <c r="L38" i="7"/>
  <c r="Z171" i="3" s="1"/>
  <c r="Z37" i="7"/>
  <c r="Y37" i="7"/>
  <c r="AB37" i="7" s="1"/>
  <c r="Q37" i="7"/>
  <c r="Z168" i="3" s="1"/>
  <c r="O37" i="7"/>
  <c r="Z167" i="3" s="1"/>
  <c r="M37" i="7"/>
  <c r="AA166" i="3" s="1"/>
  <c r="L37" i="7"/>
  <c r="Z166" i="3" s="1"/>
  <c r="Z36" i="7"/>
  <c r="Y36" i="7"/>
  <c r="AB36" i="7" s="1"/>
  <c r="Q36" i="7"/>
  <c r="Z163" i="3" s="1"/>
  <c r="O36" i="7"/>
  <c r="Z162" i="3" s="1"/>
  <c r="M36" i="7"/>
  <c r="AA161" i="3" s="1"/>
  <c r="L36" i="7"/>
  <c r="Z161" i="3" s="1"/>
  <c r="Z35" i="7"/>
  <c r="Y35" i="7"/>
  <c r="AB35" i="7" s="1"/>
  <c r="Q35" i="7"/>
  <c r="Z158" i="3" s="1"/>
  <c r="O35" i="7"/>
  <c r="Z157" i="3" s="1"/>
  <c r="M35" i="7"/>
  <c r="AA156" i="3" s="1"/>
  <c r="L35" i="7"/>
  <c r="Z156" i="3" s="1"/>
  <c r="Z34" i="7"/>
  <c r="Y34" i="7"/>
  <c r="AB34" i="7" s="1"/>
  <c r="Q34" i="7"/>
  <c r="Z153" i="3" s="1"/>
  <c r="O34" i="7"/>
  <c r="Z152" i="3" s="1"/>
  <c r="M34" i="7"/>
  <c r="AA151" i="3" s="1"/>
  <c r="L34" i="7"/>
  <c r="Z151" i="3" s="1"/>
  <c r="Z33" i="7"/>
  <c r="Y33" i="7"/>
  <c r="AB33" i="7" s="1"/>
  <c r="Q33" i="7"/>
  <c r="Z148" i="3" s="1"/>
  <c r="O33" i="7"/>
  <c r="Z147" i="3" s="1"/>
  <c r="M33" i="7"/>
  <c r="AA146" i="3" s="1"/>
  <c r="L33" i="7"/>
  <c r="Z146" i="3" s="1"/>
  <c r="Z32" i="7"/>
  <c r="Y32" i="7"/>
  <c r="AB32" i="7" s="1"/>
  <c r="Q32" i="7"/>
  <c r="Z143" i="3" s="1"/>
  <c r="O32" i="7"/>
  <c r="Z142" i="3" s="1"/>
  <c r="M32" i="7"/>
  <c r="AA141" i="3" s="1"/>
  <c r="L32" i="7"/>
  <c r="Z141" i="3" s="1"/>
  <c r="Z31" i="7"/>
  <c r="Y31" i="7"/>
  <c r="AB31" i="7" s="1"/>
  <c r="Q31" i="7"/>
  <c r="Z138" i="3" s="1"/>
  <c r="O31" i="7"/>
  <c r="Z137" i="3" s="1"/>
  <c r="M31" i="7"/>
  <c r="AA136" i="3" s="1"/>
  <c r="L31" i="7"/>
  <c r="Z136" i="3" s="1"/>
  <c r="Z30" i="7"/>
  <c r="Y30" i="7"/>
  <c r="AB30" i="7" s="1"/>
  <c r="Q30" i="7"/>
  <c r="Z133" i="3" s="1"/>
  <c r="O30" i="7"/>
  <c r="Z132" i="3" s="1"/>
  <c r="M30" i="7"/>
  <c r="AA131" i="3" s="1"/>
  <c r="L30" i="7"/>
  <c r="Z131" i="3" s="1"/>
  <c r="Z29" i="7"/>
  <c r="Y29" i="7"/>
  <c r="AB29" i="7" s="1"/>
  <c r="Q29" i="7"/>
  <c r="Z128" i="3" s="1"/>
  <c r="O29" i="7"/>
  <c r="Z127" i="3" s="1"/>
  <c r="M29" i="7"/>
  <c r="AA126" i="3" s="1"/>
  <c r="L29" i="7"/>
  <c r="Z126" i="3" s="1"/>
  <c r="Z28" i="7"/>
  <c r="Y28" i="7"/>
  <c r="AB28" i="7" s="1"/>
  <c r="Q28" i="7"/>
  <c r="Z123" i="3" s="1"/>
  <c r="O28" i="7"/>
  <c r="Z122" i="3" s="1"/>
  <c r="M28" i="7"/>
  <c r="AA121" i="3" s="1"/>
  <c r="L28" i="7"/>
  <c r="Z121" i="3" s="1"/>
  <c r="Z27" i="7"/>
  <c r="Y27" i="7"/>
  <c r="AB27" i="7" s="1"/>
  <c r="Q27" i="7"/>
  <c r="Z118" i="3" s="1"/>
  <c r="O27" i="7"/>
  <c r="Z117" i="3" s="1"/>
  <c r="M27" i="7"/>
  <c r="AA116" i="3" s="1"/>
  <c r="L27" i="7"/>
  <c r="Z116" i="3" s="1"/>
  <c r="Z26" i="7"/>
  <c r="Y26" i="7"/>
  <c r="AB26" i="7" s="1"/>
  <c r="Q26" i="7"/>
  <c r="Z113" i="3" s="1"/>
  <c r="O26" i="7"/>
  <c r="Z112" i="3" s="1"/>
  <c r="M26" i="7"/>
  <c r="AA111" i="3" s="1"/>
  <c r="L26" i="7"/>
  <c r="Z111" i="3" s="1"/>
  <c r="Z25" i="7"/>
  <c r="Y25" i="7"/>
  <c r="AB25" i="7" s="1"/>
  <c r="Q25" i="7"/>
  <c r="Z108" i="3" s="1"/>
  <c r="Q65" i="2"/>
  <c r="R65" i="2"/>
  <c r="S65" i="2"/>
  <c r="T65" i="2"/>
  <c r="U65" i="2"/>
  <c r="V65" i="2"/>
  <c r="W65" i="2"/>
  <c r="X65" i="2"/>
  <c r="Y65" i="2"/>
  <c r="Z65" i="2"/>
  <c r="AA65" i="2"/>
  <c r="AB65" i="2"/>
  <c r="AC65" i="2"/>
  <c r="AD65" i="2"/>
  <c r="AE65" i="2"/>
  <c r="AF65" i="2"/>
  <c r="AG65" i="2"/>
  <c r="AH65" i="2"/>
  <c r="AI65" i="2"/>
  <c r="AJ65" i="2"/>
  <c r="AK65" i="2"/>
  <c r="AL65" i="2"/>
  <c r="AM65" i="2"/>
  <c r="AN65" i="2"/>
  <c r="AO65" i="2"/>
  <c r="AP65" i="2"/>
  <c r="AQ65" i="2"/>
  <c r="AR65" i="2"/>
  <c r="AS65" i="2"/>
  <c r="AT65" i="2"/>
  <c r="AU65" i="2"/>
  <c r="AV65" i="2"/>
  <c r="AW65" i="2"/>
  <c r="AX65" i="2"/>
  <c r="AY65" i="2"/>
  <c r="N65" i="2"/>
  <c r="O65" i="2"/>
  <c r="Q53" i="2"/>
  <c r="R53" i="2"/>
  <c r="S53" i="2"/>
  <c r="T53" i="2"/>
  <c r="U53" i="2"/>
  <c r="V53" i="2"/>
  <c r="W53" i="2"/>
  <c r="X53" i="2"/>
  <c r="Y53" i="2"/>
  <c r="Z53" i="2"/>
  <c r="AA53" i="2"/>
  <c r="AB53" i="2"/>
  <c r="AC53" i="2"/>
  <c r="AD53" i="2"/>
  <c r="AE53" i="2"/>
  <c r="AF53" i="2"/>
  <c r="AG53" i="2"/>
  <c r="AH53" i="2"/>
  <c r="AI53" i="2"/>
  <c r="AJ53" i="2"/>
  <c r="AK53" i="2"/>
  <c r="AL53" i="2"/>
  <c r="AM53" i="2"/>
  <c r="AN53" i="2"/>
  <c r="AO53" i="2"/>
  <c r="AP53" i="2"/>
  <c r="AQ53" i="2"/>
  <c r="AR53" i="2"/>
  <c r="AS53" i="2"/>
  <c r="AT53" i="2"/>
  <c r="AU53" i="2"/>
  <c r="AV53" i="2"/>
  <c r="AW53" i="2"/>
  <c r="AX53" i="2"/>
  <c r="AY53" i="2"/>
  <c r="N53" i="2"/>
  <c r="O53" i="2"/>
  <c r="N3" i="2" l="1"/>
  <c r="D19" i="2"/>
  <c r="D5" i="2"/>
  <c r="O3" i="2"/>
  <c r="D18" i="2"/>
  <c r="D20" i="2"/>
  <c r="E10" i="2"/>
  <c r="D14" i="2"/>
  <c r="D15" i="2"/>
  <c r="D13" i="2"/>
  <c r="E7" i="2"/>
  <c r="E6" i="2"/>
  <c r="L76" i="8"/>
  <c r="F252" i="9" s="1"/>
  <c r="L78" i="8"/>
  <c r="F260" i="9" s="1"/>
  <c r="L80" i="8"/>
  <c r="F268" i="9" s="1"/>
  <c r="L82" i="8"/>
  <c r="F276" i="9" s="1"/>
  <c r="L84" i="8"/>
  <c r="F284" i="9" s="1"/>
  <c r="Y97" i="8"/>
  <c r="D97" i="8"/>
  <c r="Q111" i="8"/>
  <c r="F393" i="9" s="1"/>
  <c r="E111" i="8"/>
  <c r="D76" i="8"/>
  <c r="L77" i="8"/>
  <c r="F256" i="9" s="1"/>
  <c r="D78" i="8"/>
  <c r="L79" i="8"/>
  <c r="F264" i="9" s="1"/>
  <c r="D80" i="8"/>
  <c r="L81" i="8"/>
  <c r="F272" i="9" s="1"/>
  <c r="D82" i="8"/>
  <c r="L83" i="8"/>
  <c r="F280" i="9" s="1"/>
  <c r="D84" i="8"/>
  <c r="F85" i="8"/>
  <c r="D85" i="8"/>
  <c r="F87" i="8"/>
  <c r="D87" i="8"/>
  <c r="F89" i="8"/>
  <c r="D89" i="8"/>
  <c r="Q107" i="8"/>
  <c r="F377" i="9" s="1"/>
  <c r="E107" i="8"/>
  <c r="L86" i="8"/>
  <c r="F292" i="9" s="1"/>
  <c r="L88" i="8"/>
  <c r="F300" i="9" s="1"/>
  <c r="H90" i="8"/>
  <c r="J90" i="8"/>
  <c r="L90" i="8"/>
  <c r="F308" i="9" s="1"/>
  <c r="H92" i="8"/>
  <c r="J92" i="8"/>
  <c r="L92" i="8"/>
  <c r="F316" i="9" s="1"/>
  <c r="H94" i="8"/>
  <c r="J94" i="8"/>
  <c r="L94" i="8"/>
  <c r="F324" i="9" s="1"/>
  <c r="H96" i="8"/>
  <c r="J96" i="8"/>
  <c r="L96" i="8"/>
  <c r="F332" i="9" s="1"/>
  <c r="I258" i="9"/>
  <c r="I257" i="9"/>
  <c r="I256" i="9"/>
  <c r="I255" i="9"/>
  <c r="I266" i="9"/>
  <c r="I265" i="9"/>
  <c r="I264" i="9"/>
  <c r="I263" i="9"/>
  <c r="I274" i="9"/>
  <c r="I273" i="9"/>
  <c r="I272" i="9"/>
  <c r="I271" i="9"/>
  <c r="I282" i="9"/>
  <c r="I281" i="9"/>
  <c r="I280" i="9"/>
  <c r="I279" i="9"/>
  <c r="I290" i="9"/>
  <c r="I289" i="9"/>
  <c r="I288" i="9"/>
  <c r="I287" i="9"/>
  <c r="I298" i="9"/>
  <c r="I297" i="9"/>
  <c r="I296" i="9"/>
  <c r="I295" i="9"/>
  <c r="I306" i="9"/>
  <c r="I305" i="9"/>
  <c r="I304" i="9"/>
  <c r="I303" i="9"/>
  <c r="G366" i="9"/>
  <c r="G365" i="9"/>
  <c r="G364" i="9"/>
  <c r="G363" i="9"/>
  <c r="G382" i="9"/>
  <c r="G381" i="9"/>
  <c r="G380" i="9"/>
  <c r="G379" i="9"/>
  <c r="G398" i="9"/>
  <c r="G397" i="9"/>
  <c r="G396" i="9"/>
  <c r="G395" i="9"/>
  <c r="I254" i="9"/>
  <c r="I253" i="9"/>
  <c r="I252" i="9"/>
  <c r="I251" i="9"/>
  <c r="I262" i="9"/>
  <c r="I261" i="9"/>
  <c r="I260" i="9"/>
  <c r="I259" i="9"/>
  <c r="I270" i="9"/>
  <c r="I269" i="9"/>
  <c r="I268" i="9"/>
  <c r="I267" i="9"/>
  <c r="I278" i="9"/>
  <c r="I277" i="9"/>
  <c r="I276" i="9"/>
  <c r="I275" i="9"/>
  <c r="I286" i="9"/>
  <c r="I285" i="9"/>
  <c r="I284" i="9"/>
  <c r="I283" i="9"/>
  <c r="I294" i="9"/>
  <c r="I293" i="9"/>
  <c r="I292" i="9"/>
  <c r="I291" i="9"/>
  <c r="I302" i="9"/>
  <c r="I301" i="9"/>
  <c r="I300" i="9"/>
  <c r="I299" i="9"/>
  <c r="G374" i="9"/>
  <c r="G373" i="9"/>
  <c r="G372" i="9"/>
  <c r="G371" i="9"/>
  <c r="G390" i="9"/>
  <c r="G389" i="9"/>
  <c r="G388" i="9"/>
  <c r="G387" i="9"/>
  <c r="D254" i="9"/>
  <c r="B254" i="9" s="1"/>
  <c r="D253" i="9"/>
  <c r="B253" i="9" s="1"/>
  <c r="D252" i="9"/>
  <c r="B252" i="9" s="1"/>
  <c r="D251" i="9"/>
  <c r="B251" i="9" s="1"/>
  <c r="D258" i="9"/>
  <c r="B258" i="9" s="1"/>
  <c r="D257" i="9"/>
  <c r="B257" i="9" s="1"/>
  <c r="D256" i="9"/>
  <c r="B256" i="9" s="1"/>
  <c r="D255" i="9"/>
  <c r="B255" i="9" s="1"/>
  <c r="D262" i="9"/>
  <c r="B262" i="9" s="1"/>
  <c r="D261" i="9"/>
  <c r="B261" i="9" s="1"/>
  <c r="D260" i="9"/>
  <c r="B260" i="9" s="1"/>
  <c r="D259" i="9"/>
  <c r="B259" i="9" s="1"/>
  <c r="D266" i="9"/>
  <c r="B266" i="9" s="1"/>
  <c r="D265" i="9"/>
  <c r="B265" i="9" s="1"/>
  <c r="D264" i="9"/>
  <c r="B264" i="9" s="1"/>
  <c r="D263" i="9"/>
  <c r="B263" i="9" s="1"/>
  <c r="D270" i="9"/>
  <c r="B270" i="9" s="1"/>
  <c r="D269" i="9"/>
  <c r="B269" i="9" s="1"/>
  <c r="D268" i="9"/>
  <c r="B268" i="9" s="1"/>
  <c r="D267" i="9"/>
  <c r="B267" i="9" s="1"/>
  <c r="D274" i="9"/>
  <c r="B274" i="9" s="1"/>
  <c r="D273" i="9"/>
  <c r="B273" i="9" s="1"/>
  <c r="D272" i="9"/>
  <c r="B272" i="9" s="1"/>
  <c r="D271" i="9"/>
  <c r="B271" i="9" s="1"/>
  <c r="D278" i="9"/>
  <c r="B278" i="9" s="1"/>
  <c r="D277" i="9"/>
  <c r="B277" i="9" s="1"/>
  <c r="D276" i="9"/>
  <c r="B276" i="9" s="1"/>
  <c r="D275" i="9"/>
  <c r="B275" i="9" s="1"/>
  <c r="D282" i="9"/>
  <c r="B282" i="9" s="1"/>
  <c r="D281" i="9"/>
  <c r="B281" i="9" s="1"/>
  <c r="D280" i="9"/>
  <c r="B280" i="9" s="1"/>
  <c r="D279" i="9"/>
  <c r="B279" i="9" s="1"/>
  <c r="D286" i="9"/>
  <c r="B286" i="9" s="1"/>
  <c r="D285" i="9"/>
  <c r="B285" i="9" s="1"/>
  <c r="D284" i="9"/>
  <c r="B284" i="9" s="1"/>
  <c r="D283" i="9"/>
  <c r="B283" i="9" s="1"/>
  <c r="D290" i="9"/>
  <c r="B290" i="9" s="1"/>
  <c r="D289" i="9"/>
  <c r="B289" i="9" s="1"/>
  <c r="D288" i="9"/>
  <c r="B288" i="9" s="1"/>
  <c r="D287" i="9"/>
  <c r="B287" i="9" s="1"/>
  <c r="D294" i="9"/>
  <c r="B294" i="9" s="1"/>
  <c r="D293" i="9"/>
  <c r="B293" i="9" s="1"/>
  <c r="D292" i="9"/>
  <c r="B292" i="9" s="1"/>
  <c r="D291" i="9"/>
  <c r="B291" i="9" s="1"/>
  <c r="D298" i="9"/>
  <c r="B298" i="9" s="1"/>
  <c r="D297" i="9"/>
  <c r="B297" i="9" s="1"/>
  <c r="D296" i="9"/>
  <c r="B296" i="9" s="1"/>
  <c r="D295" i="9"/>
  <c r="B295" i="9" s="1"/>
  <c r="D302" i="9"/>
  <c r="B302" i="9" s="1"/>
  <c r="D301" i="9"/>
  <c r="B301" i="9" s="1"/>
  <c r="D300" i="9"/>
  <c r="B300" i="9" s="1"/>
  <c r="D299" i="9"/>
  <c r="B299" i="9" s="1"/>
  <c r="D306" i="9"/>
  <c r="B306" i="9" s="1"/>
  <c r="D305" i="9"/>
  <c r="B305" i="9" s="1"/>
  <c r="D304" i="9"/>
  <c r="B304" i="9" s="1"/>
  <c r="D303" i="9"/>
  <c r="B303" i="9" s="1"/>
  <c r="D310" i="9"/>
  <c r="B310" i="9" s="1"/>
  <c r="D309" i="9"/>
  <c r="B309" i="9" s="1"/>
  <c r="D308" i="9"/>
  <c r="B308" i="9" s="1"/>
  <c r="D307" i="9"/>
  <c r="B307" i="9" s="1"/>
  <c r="F91" i="8"/>
  <c r="R91" i="8"/>
  <c r="T91" i="8"/>
  <c r="V91" i="8"/>
  <c r="F314" i="9" s="1"/>
  <c r="D318" i="9"/>
  <c r="B318" i="9" s="1"/>
  <c r="D317" i="9"/>
  <c r="B317" i="9" s="1"/>
  <c r="D316" i="9"/>
  <c r="B316" i="9" s="1"/>
  <c r="D315" i="9"/>
  <c r="B315" i="9" s="1"/>
  <c r="F93" i="8"/>
  <c r="R93" i="8"/>
  <c r="T93" i="8"/>
  <c r="V93" i="8"/>
  <c r="F322" i="9" s="1"/>
  <c r="D326" i="9"/>
  <c r="B326" i="9" s="1"/>
  <c r="D325" i="9"/>
  <c r="B325" i="9" s="1"/>
  <c r="D324" i="9"/>
  <c r="B324" i="9" s="1"/>
  <c r="D323" i="9"/>
  <c r="B323" i="9" s="1"/>
  <c r="F95" i="8"/>
  <c r="R95" i="8"/>
  <c r="T95" i="8"/>
  <c r="V95" i="8"/>
  <c r="F330" i="9" s="1"/>
  <c r="D334" i="9"/>
  <c r="B334" i="9" s="1"/>
  <c r="D333" i="9"/>
  <c r="B333" i="9" s="1"/>
  <c r="D332" i="9"/>
  <c r="B332" i="9" s="1"/>
  <c r="D331" i="9"/>
  <c r="B331" i="9" s="1"/>
  <c r="D338" i="9"/>
  <c r="B338" i="9" s="1"/>
  <c r="D337" i="9"/>
  <c r="B337" i="9" s="1"/>
  <c r="D336" i="9"/>
  <c r="B336" i="9" s="1"/>
  <c r="D335" i="9"/>
  <c r="B335" i="9" s="1"/>
  <c r="M104" i="8"/>
  <c r="O104" i="8"/>
  <c r="Q104" i="8"/>
  <c r="F365" i="9" s="1"/>
  <c r="G370" i="9"/>
  <c r="G369" i="9"/>
  <c r="G368" i="9"/>
  <c r="G367" i="9"/>
  <c r="M106" i="8"/>
  <c r="O106" i="8"/>
  <c r="Q106" i="8"/>
  <c r="F373" i="9" s="1"/>
  <c r="G378" i="9"/>
  <c r="G377" i="9"/>
  <c r="G376" i="9"/>
  <c r="G375" i="9"/>
  <c r="M108" i="8"/>
  <c r="O108" i="8"/>
  <c r="Q108" i="8"/>
  <c r="F381" i="9" s="1"/>
  <c r="G386" i="9"/>
  <c r="G385" i="9"/>
  <c r="G384" i="9"/>
  <c r="G383" i="9"/>
  <c r="M110" i="8"/>
  <c r="O110" i="8"/>
  <c r="Q110" i="8"/>
  <c r="F389" i="9" s="1"/>
  <c r="G394" i="9"/>
  <c r="G393" i="9"/>
  <c r="G392" i="9"/>
  <c r="G391" i="9"/>
  <c r="M112" i="8"/>
  <c r="O112" i="8"/>
  <c r="Q112" i="8"/>
  <c r="F397" i="9" s="1"/>
  <c r="G402" i="9"/>
  <c r="G401" i="9"/>
  <c r="G400" i="9"/>
  <c r="G399" i="9"/>
  <c r="G198" i="9"/>
  <c r="G197" i="9"/>
  <c r="G196" i="9"/>
  <c r="G195" i="9"/>
  <c r="F90" i="8"/>
  <c r="R90" i="8"/>
  <c r="T90" i="8"/>
  <c r="V90" i="8"/>
  <c r="F310" i="9" s="1"/>
  <c r="D91" i="8"/>
  <c r="H91" i="8"/>
  <c r="J91" i="8"/>
  <c r="L91" i="8"/>
  <c r="F312" i="9" s="1"/>
  <c r="F92" i="8"/>
  <c r="R92" i="8"/>
  <c r="T92" i="8"/>
  <c r="V92" i="8"/>
  <c r="F318" i="9" s="1"/>
  <c r="D93" i="8"/>
  <c r="H93" i="8"/>
  <c r="J93" i="8"/>
  <c r="L93" i="8"/>
  <c r="F320" i="9" s="1"/>
  <c r="F94" i="8"/>
  <c r="R94" i="8"/>
  <c r="T94" i="8"/>
  <c r="V94" i="8"/>
  <c r="F326" i="9" s="1"/>
  <c r="D95" i="8"/>
  <c r="H95" i="8"/>
  <c r="J95" i="8"/>
  <c r="L95" i="8"/>
  <c r="F328" i="9" s="1"/>
  <c r="F96" i="8"/>
  <c r="G97" i="8"/>
  <c r="F335" i="9" s="1"/>
  <c r="M105" i="8"/>
  <c r="O105" i="8"/>
  <c r="M107" i="8"/>
  <c r="O107" i="8"/>
  <c r="M109" i="8"/>
  <c r="O109" i="8"/>
  <c r="M111" i="8"/>
  <c r="O111" i="8"/>
  <c r="D34" i="8"/>
  <c r="F34" i="8"/>
  <c r="L34" i="8"/>
  <c r="F84" i="9" s="1"/>
  <c r="D35" i="8"/>
  <c r="F35" i="8"/>
  <c r="L35" i="8"/>
  <c r="F88" i="9" s="1"/>
  <c r="D36" i="8"/>
  <c r="F36" i="8"/>
  <c r="L36" i="8"/>
  <c r="F92" i="9" s="1"/>
  <c r="D37" i="8"/>
  <c r="F37" i="8"/>
  <c r="L37" i="8"/>
  <c r="F96" i="9" s="1"/>
  <c r="D38" i="8"/>
  <c r="F38" i="8"/>
  <c r="L38" i="8"/>
  <c r="F100" i="9" s="1"/>
  <c r="D39" i="8"/>
  <c r="F39" i="8"/>
  <c r="L39" i="8"/>
  <c r="F104" i="9" s="1"/>
  <c r="D40" i="8"/>
  <c r="F40" i="8"/>
  <c r="L40" i="8"/>
  <c r="F108" i="9" s="1"/>
  <c r="D41" i="8"/>
  <c r="F41" i="8"/>
  <c r="L41" i="8"/>
  <c r="F112" i="9" s="1"/>
  <c r="D42" i="8"/>
  <c r="F42" i="8"/>
  <c r="L42" i="8"/>
  <c r="F116" i="9" s="1"/>
  <c r="D43" i="8"/>
  <c r="F43" i="8"/>
  <c r="L43" i="8"/>
  <c r="F120" i="9" s="1"/>
  <c r="D44" i="8"/>
  <c r="F44" i="8"/>
  <c r="L44" i="8"/>
  <c r="F124" i="9" s="1"/>
  <c r="D45" i="8"/>
  <c r="F45" i="8"/>
  <c r="L45" i="8"/>
  <c r="F128" i="9" s="1"/>
  <c r="D46" i="8"/>
  <c r="F46" i="8"/>
  <c r="L46" i="8"/>
  <c r="F132" i="9" s="1"/>
  <c r="D47" i="8"/>
  <c r="F47" i="8"/>
  <c r="L47" i="8"/>
  <c r="F136" i="9" s="1"/>
  <c r="D48" i="8"/>
  <c r="F48" i="8"/>
  <c r="L48" i="8"/>
  <c r="F140" i="9" s="1"/>
  <c r="D49" i="8"/>
  <c r="F49" i="8"/>
  <c r="L49" i="8"/>
  <c r="F144" i="9" s="1"/>
  <c r="D50" i="8"/>
  <c r="F50" i="8"/>
  <c r="L50" i="8"/>
  <c r="F148" i="9" s="1"/>
  <c r="D51" i="8"/>
  <c r="F51" i="8"/>
  <c r="L51" i="8"/>
  <c r="F152" i="9" s="1"/>
  <c r="D52" i="8"/>
  <c r="F52" i="8"/>
  <c r="L52" i="8"/>
  <c r="F156" i="9" s="1"/>
  <c r="D53" i="8"/>
  <c r="F53" i="8"/>
  <c r="L53" i="8"/>
  <c r="F160" i="9" s="1"/>
  <c r="D54" i="8"/>
  <c r="F54" i="8"/>
  <c r="L54" i="8"/>
  <c r="F164" i="9" s="1"/>
  <c r="D55" i="8"/>
  <c r="F55" i="8"/>
  <c r="L55" i="8"/>
  <c r="F168" i="9" s="1"/>
  <c r="D56" i="8"/>
  <c r="F56" i="8"/>
  <c r="L56" i="8"/>
  <c r="F172" i="9" s="1"/>
  <c r="D57" i="8"/>
  <c r="F57" i="8"/>
  <c r="L57" i="8"/>
  <c r="F176" i="9" s="1"/>
  <c r="E58" i="8"/>
  <c r="E59" i="8"/>
  <c r="E60" i="8"/>
  <c r="E61" i="8"/>
  <c r="E34" i="8"/>
  <c r="G34" i="8"/>
  <c r="M34" i="8"/>
  <c r="O34" i="8"/>
  <c r="Q34" i="8"/>
  <c r="E35" i="8"/>
  <c r="G35" i="8"/>
  <c r="M35" i="8"/>
  <c r="O35" i="8"/>
  <c r="Q35" i="8"/>
  <c r="E36" i="8"/>
  <c r="G36" i="8"/>
  <c r="M36" i="8"/>
  <c r="O36" i="8"/>
  <c r="Q36" i="8"/>
  <c r="E37" i="8"/>
  <c r="G37" i="8"/>
  <c r="M37" i="8"/>
  <c r="O37" i="8"/>
  <c r="Q37" i="8"/>
  <c r="E38" i="8"/>
  <c r="G38" i="8"/>
  <c r="M38" i="8"/>
  <c r="O38" i="8"/>
  <c r="Q38" i="8"/>
  <c r="E39" i="8"/>
  <c r="G39" i="8"/>
  <c r="M39" i="8"/>
  <c r="O39" i="8"/>
  <c r="Q39" i="8"/>
  <c r="E40" i="8"/>
  <c r="G40" i="8"/>
  <c r="M40" i="8"/>
  <c r="O40" i="8"/>
  <c r="Q40" i="8"/>
  <c r="E41" i="8"/>
  <c r="G41" i="8"/>
  <c r="M41" i="8"/>
  <c r="O41" i="8"/>
  <c r="Q41" i="8"/>
  <c r="E42" i="8"/>
  <c r="G42" i="8"/>
  <c r="M42" i="8"/>
  <c r="O42" i="8"/>
  <c r="Q42" i="8"/>
  <c r="E43" i="8"/>
  <c r="G43" i="8"/>
  <c r="M43" i="8"/>
  <c r="O43" i="8"/>
  <c r="Q43" i="8"/>
  <c r="E44" i="8"/>
  <c r="G44" i="8"/>
  <c r="M44" i="8"/>
  <c r="O44" i="8"/>
  <c r="Q44" i="8"/>
  <c r="E45" i="8"/>
  <c r="G45" i="8"/>
  <c r="M45" i="8"/>
  <c r="O45" i="8"/>
  <c r="Q45" i="8"/>
  <c r="E46" i="8"/>
  <c r="G46" i="8"/>
  <c r="M46" i="8"/>
  <c r="O46" i="8"/>
  <c r="Q46" i="8"/>
  <c r="E47" i="8"/>
  <c r="G47" i="8"/>
  <c r="M47" i="8"/>
  <c r="O47" i="8"/>
  <c r="Q47" i="8"/>
  <c r="E48" i="8"/>
  <c r="G48" i="8"/>
  <c r="M48" i="8"/>
  <c r="O48" i="8"/>
  <c r="Q48" i="8"/>
  <c r="E49" i="8"/>
  <c r="G49" i="8"/>
  <c r="M49" i="8"/>
  <c r="O49" i="8"/>
  <c r="Q49" i="8"/>
  <c r="E50" i="8"/>
  <c r="G50" i="8"/>
  <c r="M50" i="8"/>
  <c r="O50" i="8"/>
  <c r="Q50" i="8"/>
  <c r="E51" i="8"/>
  <c r="G51" i="8"/>
  <c r="M51" i="8"/>
  <c r="O51" i="8"/>
  <c r="Q51" i="8"/>
  <c r="E52" i="8"/>
  <c r="G52" i="8"/>
  <c r="M52" i="8"/>
  <c r="O52" i="8"/>
  <c r="Q52" i="8"/>
  <c r="E53" i="8"/>
  <c r="G53" i="8"/>
  <c r="M53" i="8"/>
  <c r="O53" i="8"/>
  <c r="Q53" i="8"/>
  <c r="E54" i="8"/>
  <c r="G54" i="8"/>
  <c r="M54" i="8"/>
  <c r="O54" i="8"/>
  <c r="Q54" i="8"/>
  <c r="E55" i="8"/>
  <c r="G55" i="8"/>
  <c r="M55" i="8"/>
  <c r="O55" i="8"/>
  <c r="Q55" i="8"/>
  <c r="E56" i="8"/>
  <c r="G56" i="8"/>
  <c r="M56" i="8"/>
  <c r="O56" i="8"/>
  <c r="Q56" i="8"/>
  <c r="E57" i="8"/>
  <c r="G57" i="8"/>
  <c r="M57" i="8"/>
  <c r="O57" i="8"/>
  <c r="Q57" i="8"/>
  <c r="T58" i="8"/>
  <c r="R58" i="8"/>
  <c r="L58" i="8"/>
  <c r="H58" i="8"/>
  <c r="F58" i="8"/>
  <c r="D58" i="8"/>
  <c r="G58" i="8"/>
  <c r="T59" i="8"/>
  <c r="R59" i="8"/>
  <c r="L59" i="8"/>
  <c r="F59" i="8"/>
  <c r="D59" i="8"/>
  <c r="G59" i="8"/>
  <c r="T60" i="8"/>
  <c r="R60" i="8"/>
  <c r="L60" i="8"/>
  <c r="H60" i="8"/>
  <c r="F60" i="8"/>
  <c r="D60" i="8"/>
  <c r="G60" i="8"/>
  <c r="T61" i="8"/>
  <c r="R61" i="8"/>
  <c r="L61" i="8"/>
  <c r="F61" i="8"/>
  <c r="D61" i="8"/>
  <c r="G61" i="8"/>
  <c r="F191" i="9" s="1"/>
  <c r="Q62" i="8"/>
  <c r="T62" i="8"/>
  <c r="L62" i="8"/>
  <c r="F62" i="8"/>
  <c r="D62" i="8"/>
  <c r="G62" i="8"/>
  <c r="F195" i="9" s="1"/>
  <c r="D63" i="8"/>
  <c r="F63" i="8"/>
  <c r="L63" i="8"/>
  <c r="D64" i="8"/>
  <c r="F64" i="8"/>
  <c r="L64" i="8"/>
  <c r="F204" i="9" s="1"/>
  <c r="D65" i="8"/>
  <c r="F65" i="8"/>
  <c r="L65" i="8"/>
  <c r="D66" i="8"/>
  <c r="F66" i="8"/>
  <c r="L66" i="8"/>
  <c r="F212" i="9" s="1"/>
  <c r="D67" i="8"/>
  <c r="F67" i="8"/>
  <c r="L67" i="8"/>
  <c r="D68" i="8"/>
  <c r="F68" i="8"/>
  <c r="L68" i="8"/>
  <c r="F220" i="9" s="1"/>
  <c r="D69" i="8"/>
  <c r="F69" i="8"/>
  <c r="L69" i="8"/>
  <c r="D70" i="8"/>
  <c r="F70" i="8"/>
  <c r="L70" i="8"/>
  <c r="F228" i="9" s="1"/>
  <c r="D71" i="8"/>
  <c r="F71" i="8"/>
  <c r="L71" i="8"/>
  <c r="D72" i="8"/>
  <c r="F72" i="8"/>
  <c r="L72" i="8"/>
  <c r="F236" i="9" s="1"/>
  <c r="D73" i="8"/>
  <c r="F73" i="8"/>
  <c r="L73" i="8"/>
  <c r="D74" i="8"/>
  <c r="F74" i="8"/>
  <c r="L74" i="8"/>
  <c r="F244" i="9" s="1"/>
  <c r="D75" i="8"/>
  <c r="F75" i="8"/>
  <c r="L75" i="8"/>
  <c r="E63" i="8"/>
  <c r="G63" i="8"/>
  <c r="O63" i="8"/>
  <c r="Q63" i="8"/>
  <c r="E64" i="8"/>
  <c r="G64" i="8"/>
  <c r="M64" i="8"/>
  <c r="O64" i="8"/>
  <c r="Q64" i="8"/>
  <c r="E65" i="8"/>
  <c r="G65" i="8"/>
  <c r="O65" i="8"/>
  <c r="Q65" i="8"/>
  <c r="E66" i="8"/>
  <c r="G66" i="8"/>
  <c r="M66" i="8"/>
  <c r="O66" i="8"/>
  <c r="Q66" i="8"/>
  <c r="E67" i="8"/>
  <c r="G67" i="8"/>
  <c r="O67" i="8"/>
  <c r="Q67" i="8"/>
  <c r="E68" i="8"/>
  <c r="G68" i="8"/>
  <c r="M68" i="8"/>
  <c r="O68" i="8"/>
  <c r="Q68" i="8"/>
  <c r="E69" i="8"/>
  <c r="G69" i="8"/>
  <c r="O69" i="8"/>
  <c r="Q69" i="8"/>
  <c r="E70" i="8"/>
  <c r="G70" i="8"/>
  <c r="M70" i="8"/>
  <c r="O70" i="8"/>
  <c r="Q70" i="8"/>
  <c r="E71" i="8"/>
  <c r="G71" i="8"/>
  <c r="O71" i="8"/>
  <c r="Q71" i="8"/>
  <c r="E72" i="8"/>
  <c r="G72" i="8"/>
  <c r="M72" i="8"/>
  <c r="O72" i="8"/>
  <c r="Q72" i="8"/>
  <c r="E73" i="8"/>
  <c r="G73" i="8"/>
  <c r="O73" i="8"/>
  <c r="Q73" i="8"/>
  <c r="E74" i="8"/>
  <c r="G74" i="8"/>
  <c r="M74" i="8"/>
  <c r="O74" i="8"/>
  <c r="Q74" i="8"/>
  <c r="E75" i="8"/>
  <c r="G75" i="8"/>
  <c r="O75" i="8"/>
  <c r="Q75" i="8"/>
  <c r="R96" i="8"/>
  <c r="T96" i="8"/>
  <c r="V96" i="8"/>
  <c r="F334" i="9" s="1"/>
  <c r="W97" i="8"/>
  <c r="V98" i="8"/>
  <c r="F342" i="9" s="1"/>
  <c r="T98" i="8"/>
  <c r="R98" i="8"/>
  <c r="L98" i="8"/>
  <c r="F340" i="9" s="1"/>
  <c r="J98" i="8"/>
  <c r="H98" i="8"/>
  <c r="F98" i="8"/>
  <c r="D98" i="8"/>
  <c r="G98" i="8"/>
  <c r="F339" i="9" s="1"/>
  <c r="W98" i="8"/>
  <c r="Y98" i="8"/>
  <c r="V99" i="8"/>
  <c r="F346" i="9" s="1"/>
  <c r="T99" i="8"/>
  <c r="R99" i="8"/>
  <c r="L99" i="8"/>
  <c r="F344" i="9" s="1"/>
  <c r="J99" i="8"/>
  <c r="H99" i="8"/>
  <c r="F99" i="8"/>
  <c r="D99" i="8"/>
  <c r="G99" i="8"/>
  <c r="F343" i="9" s="1"/>
  <c r="W99" i="8"/>
  <c r="Y99" i="8"/>
  <c r="V100" i="8"/>
  <c r="F350" i="9" s="1"/>
  <c r="T100" i="8"/>
  <c r="R100" i="8"/>
  <c r="L100" i="8"/>
  <c r="F348" i="9" s="1"/>
  <c r="J100" i="8"/>
  <c r="H100" i="8"/>
  <c r="F100" i="8"/>
  <c r="D100" i="8"/>
  <c r="G100" i="8"/>
  <c r="F347" i="9" s="1"/>
  <c r="W100" i="8"/>
  <c r="Y100" i="8"/>
  <c r="V101" i="8"/>
  <c r="F354" i="9" s="1"/>
  <c r="T101" i="8"/>
  <c r="R101" i="8"/>
  <c r="L101" i="8"/>
  <c r="F352" i="9" s="1"/>
  <c r="J101" i="8"/>
  <c r="H101" i="8"/>
  <c r="F101" i="8"/>
  <c r="D101" i="8"/>
  <c r="G101" i="8"/>
  <c r="F351" i="9" s="1"/>
  <c r="W101" i="8"/>
  <c r="Y101" i="8"/>
  <c r="Y102" i="8"/>
  <c r="W102" i="8"/>
  <c r="Q102" i="8"/>
  <c r="F357" i="9" s="1"/>
  <c r="O102" i="8"/>
  <c r="M102" i="8"/>
  <c r="V102" i="8"/>
  <c r="F358" i="9" s="1"/>
  <c r="T102" i="8"/>
  <c r="R102" i="8"/>
  <c r="L102" i="8"/>
  <c r="F356" i="9" s="1"/>
  <c r="J102" i="8"/>
  <c r="H102" i="8"/>
  <c r="F102" i="8"/>
  <c r="D102" i="8"/>
  <c r="G102" i="8"/>
  <c r="F355" i="9" s="1"/>
  <c r="E76" i="8"/>
  <c r="G76" i="8"/>
  <c r="F251" i="9" s="1"/>
  <c r="M76" i="8"/>
  <c r="O76" i="8"/>
  <c r="Q76" i="8"/>
  <c r="F253" i="9" s="1"/>
  <c r="E77" i="8"/>
  <c r="G77" i="8"/>
  <c r="F255" i="9" s="1"/>
  <c r="M77" i="8"/>
  <c r="O77" i="8"/>
  <c r="Q77" i="8"/>
  <c r="F257" i="9" s="1"/>
  <c r="E78" i="8"/>
  <c r="G78" i="8"/>
  <c r="F259" i="9" s="1"/>
  <c r="M78" i="8"/>
  <c r="O78" i="8"/>
  <c r="Q78" i="8"/>
  <c r="F261" i="9" s="1"/>
  <c r="E79" i="8"/>
  <c r="G79" i="8"/>
  <c r="F263" i="9" s="1"/>
  <c r="M79" i="8"/>
  <c r="O79" i="8"/>
  <c r="Q79" i="8"/>
  <c r="F265" i="9" s="1"/>
  <c r="E80" i="8"/>
  <c r="G80" i="8"/>
  <c r="F267" i="9" s="1"/>
  <c r="M80" i="8"/>
  <c r="O80" i="8"/>
  <c r="Q80" i="8"/>
  <c r="F269" i="9" s="1"/>
  <c r="E81" i="8"/>
  <c r="G81" i="8"/>
  <c r="F271" i="9" s="1"/>
  <c r="M81" i="8"/>
  <c r="O81" i="8"/>
  <c r="Q81" i="8"/>
  <c r="F273" i="9" s="1"/>
  <c r="E82" i="8"/>
  <c r="G82" i="8"/>
  <c r="F275" i="9" s="1"/>
  <c r="M82" i="8"/>
  <c r="O82" i="8"/>
  <c r="Q82" i="8"/>
  <c r="F277" i="9" s="1"/>
  <c r="E83" i="8"/>
  <c r="G83" i="8"/>
  <c r="F279" i="9" s="1"/>
  <c r="M83" i="8"/>
  <c r="O83" i="8"/>
  <c r="Q83" i="8"/>
  <c r="F281" i="9" s="1"/>
  <c r="E84" i="8"/>
  <c r="G84" i="8"/>
  <c r="F283" i="9" s="1"/>
  <c r="M84" i="8"/>
  <c r="O84" i="8"/>
  <c r="Q84" i="8"/>
  <c r="F285" i="9" s="1"/>
  <c r="E85" i="8"/>
  <c r="G85" i="8"/>
  <c r="F287" i="9" s="1"/>
  <c r="M85" i="8"/>
  <c r="O85" i="8"/>
  <c r="Q85" i="8"/>
  <c r="F289" i="9" s="1"/>
  <c r="E86" i="8"/>
  <c r="G86" i="8"/>
  <c r="F291" i="9" s="1"/>
  <c r="M86" i="8"/>
  <c r="O86" i="8"/>
  <c r="Q86" i="8"/>
  <c r="F293" i="9" s="1"/>
  <c r="E87" i="8"/>
  <c r="G87" i="8"/>
  <c r="F295" i="9" s="1"/>
  <c r="M87" i="8"/>
  <c r="O87" i="8"/>
  <c r="Q87" i="8"/>
  <c r="F297" i="9" s="1"/>
  <c r="E88" i="8"/>
  <c r="G88" i="8"/>
  <c r="F299" i="9" s="1"/>
  <c r="M88" i="8"/>
  <c r="O88" i="8"/>
  <c r="Q88" i="8"/>
  <c r="F301" i="9" s="1"/>
  <c r="E89" i="8"/>
  <c r="G89" i="8"/>
  <c r="F303" i="9" s="1"/>
  <c r="M89" i="8"/>
  <c r="O89" i="8"/>
  <c r="Q89" i="8"/>
  <c r="F305" i="9" s="1"/>
  <c r="E90" i="8"/>
  <c r="G90" i="8"/>
  <c r="F307" i="9" s="1"/>
  <c r="M90" i="8"/>
  <c r="O90" i="8"/>
  <c r="Q90" i="8"/>
  <c r="F309" i="9" s="1"/>
  <c r="W90" i="8"/>
  <c r="E91" i="8"/>
  <c r="G91" i="8"/>
  <c r="F311" i="9" s="1"/>
  <c r="M91" i="8"/>
  <c r="O91" i="8"/>
  <c r="Q91" i="8"/>
  <c r="F313" i="9" s="1"/>
  <c r="W91" i="8"/>
  <c r="E92" i="8"/>
  <c r="G92" i="8"/>
  <c r="F315" i="9" s="1"/>
  <c r="M92" i="8"/>
  <c r="O92" i="8"/>
  <c r="Q92" i="8"/>
  <c r="F317" i="9" s="1"/>
  <c r="W92" i="8"/>
  <c r="E93" i="8"/>
  <c r="G93" i="8"/>
  <c r="F319" i="9" s="1"/>
  <c r="M93" i="8"/>
  <c r="O93" i="8"/>
  <c r="Q93" i="8"/>
  <c r="F321" i="9" s="1"/>
  <c r="W93" i="8"/>
  <c r="E94" i="8"/>
  <c r="G94" i="8"/>
  <c r="F323" i="9" s="1"/>
  <c r="M94" i="8"/>
  <c r="O94" i="8"/>
  <c r="Q94" i="8"/>
  <c r="F325" i="9" s="1"/>
  <c r="W94" i="8"/>
  <c r="E95" i="8"/>
  <c r="G95" i="8"/>
  <c r="F327" i="9" s="1"/>
  <c r="M95" i="8"/>
  <c r="O95" i="8"/>
  <c r="Q95" i="8"/>
  <c r="F329" i="9" s="1"/>
  <c r="W95" i="8"/>
  <c r="E96" i="8"/>
  <c r="G96" i="8"/>
  <c r="F331" i="9" s="1"/>
  <c r="M96" i="8"/>
  <c r="O96" i="8"/>
  <c r="Q96" i="8"/>
  <c r="F333" i="9" s="1"/>
  <c r="W96" i="8"/>
  <c r="V97" i="8"/>
  <c r="F338" i="9" s="1"/>
  <c r="T97" i="8"/>
  <c r="R97" i="8"/>
  <c r="L97" i="8"/>
  <c r="F336" i="9" s="1"/>
  <c r="J97" i="8"/>
  <c r="H97" i="8"/>
  <c r="F97" i="8"/>
  <c r="E97" i="8"/>
  <c r="M97" i="8"/>
  <c r="O97" i="8"/>
  <c r="Q97" i="8"/>
  <c r="F337" i="9" s="1"/>
  <c r="E98" i="8"/>
  <c r="M98" i="8"/>
  <c r="O98" i="8"/>
  <c r="Q98" i="8"/>
  <c r="F341" i="9" s="1"/>
  <c r="E99" i="8"/>
  <c r="M99" i="8"/>
  <c r="O99" i="8"/>
  <c r="Q99" i="8"/>
  <c r="F345" i="9" s="1"/>
  <c r="E100" i="8"/>
  <c r="M100" i="8"/>
  <c r="O100" i="8"/>
  <c r="Q100" i="8"/>
  <c r="F349" i="9" s="1"/>
  <c r="E101" i="8"/>
  <c r="M101" i="8"/>
  <c r="O101" i="8"/>
  <c r="Q101" i="8"/>
  <c r="F353" i="9" s="1"/>
  <c r="E102" i="8"/>
  <c r="D103" i="8"/>
  <c r="F103" i="8"/>
  <c r="H103" i="8"/>
  <c r="W103" i="8"/>
  <c r="V104" i="8"/>
  <c r="F366" i="9" s="1"/>
  <c r="T104" i="8"/>
  <c r="R104" i="8"/>
  <c r="L104" i="8"/>
  <c r="F364" i="9" s="1"/>
  <c r="J104" i="8"/>
  <c r="H104" i="8"/>
  <c r="F104" i="8"/>
  <c r="D104" i="8"/>
  <c r="G104" i="8"/>
  <c r="F363" i="9" s="1"/>
  <c r="W104" i="8"/>
  <c r="Y104" i="8"/>
  <c r="V105" i="8"/>
  <c r="F370" i="9" s="1"/>
  <c r="T105" i="8"/>
  <c r="R105" i="8"/>
  <c r="L105" i="8"/>
  <c r="F368" i="9" s="1"/>
  <c r="J105" i="8"/>
  <c r="H105" i="8"/>
  <c r="F105" i="8"/>
  <c r="D105" i="8"/>
  <c r="G105" i="8"/>
  <c r="F367" i="9" s="1"/>
  <c r="W105" i="8"/>
  <c r="Y105" i="8"/>
  <c r="V106" i="8"/>
  <c r="F374" i="9" s="1"/>
  <c r="T106" i="8"/>
  <c r="R106" i="8"/>
  <c r="L106" i="8"/>
  <c r="F372" i="9" s="1"/>
  <c r="J106" i="8"/>
  <c r="H106" i="8"/>
  <c r="F106" i="8"/>
  <c r="D106" i="8"/>
  <c r="G106" i="8"/>
  <c r="F371" i="9" s="1"/>
  <c r="W106" i="8"/>
  <c r="Y106" i="8"/>
  <c r="V107" i="8"/>
  <c r="F378" i="9" s="1"/>
  <c r="T107" i="8"/>
  <c r="R107" i="8"/>
  <c r="L107" i="8"/>
  <c r="F376" i="9" s="1"/>
  <c r="J107" i="8"/>
  <c r="H107" i="8"/>
  <c r="F107" i="8"/>
  <c r="D107" i="8"/>
  <c r="G107" i="8"/>
  <c r="F375" i="9" s="1"/>
  <c r="W107" i="8"/>
  <c r="Y107" i="8"/>
  <c r="V108" i="8"/>
  <c r="F382" i="9" s="1"/>
  <c r="T108" i="8"/>
  <c r="R108" i="8"/>
  <c r="L108" i="8"/>
  <c r="F380" i="9" s="1"/>
  <c r="J108" i="8"/>
  <c r="H108" i="8"/>
  <c r="F108" i="8"/>
  <c r="D108" i="8"/>
  <c r="G108" i="8"/>
  <c r="F379" i="9" s="1"/>
  <c r="W108" i="8"/>
  <c r="Y108" i="8"/>
  <c r="V109" i="8"/>
  <c r="F386" i="9" s="1"/>
  <c r="T109" i="8"/>
  <c r="R109" i="8"/>
  <c r="L109" i="8"/>
  <c r="F384" i="9" s="1"/>
  <c r="J109" i="8"/>
  <c r="H109" i="8"/>
  <c r="F109" i="8"/>
  <c r="D109" i="8"/>
  <c r="G109" i="8"/>
  <c r="F383" i="9" s="1"/>
  <c r="W109" i="8"/>
  <c r="Y109" i="8"/>
  <c r="V110" i="8"/>
  <c r="F390" i="9" s="1"/>
  <c r="T110" i="8"/>
  <c r="R110" i="8"/>
  <c r="L110" i="8"/>
  <c r="F388" i="9" s="1"/>
  <c r="J110" i="8"/>
  <c r="H110" i="8"/>
  <c r="F110" i="8"/>
  <c r="D110" i="8"/>
  <c r="G110" i="8"/>
  <c r="F387" i="9" s="1"/>
  <c r="W110" i="8"/>
  <c r="Y110" i="8"/>
  <c r="V111" i="8"/>
  <c r="F394" i="9" s="1"/>
  <c r="T111" i="8"/>
  <c r="R111" i="8"/>
  <c r="L111" i="8"/>
  <c r="F392" i="9" s="1"/>
  <c r="J111" i="8"/>
  <c r="H111" i="8"/>
  <c r="F111" i="8"/>
  <c r="D111" i="8"/>
  <c r="G111" i="8"/>
  <c r="F391" i="9" s="1"/>
  <c r="W111" i="8"/>
  <c r="Y111" i="8"/>
  <c r="V112" i="8"/>
  <c r="F398" i="9" s="1"/>
  <c r="T112" i="8"/>
  <c r="R112" i="8"/>
  <c r="L112" i="8"/>
  <c r="F396" i="9" s="1"/>
  <c r="J112" i="8"/>
  <c r="H112" i="8"/>
  <c r="F112" i="8"/>
  <c r="D112" i="8"/>
  <c r="G112" i="8"/>
  <c r="F395" i="9" s="1"/>
  <c r="W112" i="8"/>
  <c r="Y112" i="8"/>
  <c r="T113" i="8"/>
  <c r="R113" i="8"/>
  <c r="L113" i="8"/>
  <c r="F400" i="9" s="1"/>
  <c r="H113" i="8"/>
  <c r="F113" i="8"/>
  <c r="D113" i="8"/>
  <c r="G113" i="8"/>
  <c r="V103" i="8"/>
  <c r="F362" i="9" s="1"/>
  <c r="T103" i="8"/>
  <c r="R103" i="8"/>
  <c r="L103" i="8"/>
  <c r="F360" i="9" s="1"/>
  <c r="J103" i="8"/>
  <c r="E103" i="8"/>
  <c r="G103" i="8"/>
  <c r="F359" i="9" s="1"/>
  <c r="M103" i="8"/>
  <c r="O103" i="8"/>
  <c r="Q103" i="8"/>
  <c r="F361" i="9" s="1"/>
  <c r="AO495" i="3"/>
  <c r="AO500" i="3"/>
  <c r="AL470" i="3"/>
  <c r="F470" i="3"/>
  <c r="F471" i="3" s="1"/>
  <c r="F472" i="3" s="1"/>
  <c r="F473" i="3" s="1"/>
  <c r="F430" i="3"/>
  <c r="F431" i="3" s="1"/>
  <c r="F432" i="3" s="1"/>
  <c r="F433" i="3" s="1"/>
  <c r="AC430" i="3"/>
  <c r="AC431" i="3" s="1"/>
  <c r="AQ431" i="3" s="1"/>
  <c r="E470" i="3"/>
  <c r="E471" i="3" s="1"/>
  <c r="E472" i="3" s="1"/>
  <c r="E473" i="3" s="1"/>
  <c r="AO470" i="3"/>
  <c r="E475" i="3"/>
  <c r="E476" i="3" s="1"/>
  <c r="E477" i="3" s="1"/>
  <c r="E478" i="3" s="1"/>
  <c r="AO475" i="3"/>
  <c r="E480" i="3"/>
  <c r="E481" i="3" s="1"/>
  <c r="E482" i="3" s="1"/>
  <c r="E483" i="3" s="1"/>
  <c r="AO480" i="3"/>
  <c r="E485" i="3"/>
  <c r="E486" i="3" s="1"/>
  <c r="E487" i="3" s="1"/>
  <c r="E488" i="3" s="1"/>
  <c r="AO485" i="3"/>
  <c r="AO490" i="3"/>
  <c r="AM500" i="3"/>
  <c r="AO430" i="3"/>
  <c r="F435" i="3"/>
  <c r="F436" i="3" s="1"/>
  <c r="F437" i="3" s="1"/>
  <c r="F438" i="3" s="1"/>
  <c r="AO460" i="3"/>
  <c r="AO465" i="3"/>
  <c r="AL500" i="3"/>
  <c r="F500" i="3"/>
  <c r="F501" i="3" s="1"/>
  <c r="F502" i="3" s="1"/>
  <c r="F503" i="3" s="1"/>
  <c r="AC502" i="3"/>
  <c r="AQ501" i="3"/>
  <c r="AO501" i="3"/>
  <c r="AK503" i="3"/>
  <c r="AI503" i="3"/>
  <c r="AK501" i="3"/>
  <c r="AL503" i="3"/>
  <c r="AG500" i="3"/>
  <c r="AI500" i="3"/>
  <c r="AK500" i="3"/>
  <c r="AH501" i="3"/>
  <c r="AJ501" i="3"/>
  <c r="AL501" i="3"/>
  <c r="AH502" i="3"/>
  <c r="AJ502" i="3"/>
  <c r="AL502" i="3"/>
  <c r="AM495" i="3"/>
  <c r="AF500" i="3"/>
  <c r="AH500" i="3"/>
  <c r="AJ500" i="3"/>
  <c r="AE501" i="3"/>
  <c r="AI501" i="3"/>
  <c r="AE502" i="3"/>
  <c r="AI502" i="3"/>
  <c r="AK502" i="3"/>
  <c r="AH503" i="3"/>
  <c r="AJ503" i="3"/>
  <c r="AL495" i="3"/>
  <c r="F495" i="3"/>
  <c r="F496" i="3" s="1"/>
  <c r="F497" i="3" s="1"/>
  <c r="F498" i="3" s="1"/>
  <c r="AC497" i="3"/>
  <c r="AQ496" i="3"/>
  <c r="AO496" i="3"/>
  <c r="AK498" i="3"/>
  <c r="AI498" i="3"/>
  <c r="AG498" i="3"/>
  <c r="AK496" i="3"/>
  <c r="AL498" i="3"/>
  <c r="AG495" i="3"/>
  <c r="AI495" i="3"/>
  <c r="AK495" i="3"/>
  <c r="AF496" i="3"/>
  <c r="AH496" i="3"/>
  <c r="AJ496" i="3"/>
  <c r="AL496" i="3"/>
  <c r="AF497" i="3"/>
  <c r="AH497" i="3"/>
  <c r="AJ497" i="3"/>
  <c r="AL497" i="3"/>
  <c r="AM490" i="3"/>
  <c r="AF495" i="3"/>
  <c r="AH495" i="3"/>
  <c r="AJ495" i="3"/>
  <c r="AE496" i="3"/>
  <c r="AG496" i="3"/>
  <c r="AI496" i="3"/>
  <c r="AE497" i="3"/>
  <c r="AG497" i="3"/>
  <c r="AI497" i="3"/>
  <c r="AK497" i="3"/>
  <c r="AF498" i="3"/>
  <c r="AH498" i="3"/>
  <c r="AJ498" i="3"/>
  <c r="AL490" i="3"/>
  <c r="F490" i="3"/>
  <c r="F491" i="3" s="1"/>
  <c r="F492" i="3" s="1"/>
  <c r="F493" i="3" s="1"/>
  <c r="AC492" i="3"/>
  <c r="AQ491" i="3"/>
  <c r="AO491" i="3"/>
  <c r="AK493" i="3"/>
  <c r="AI493" i="3"/>
  <c r="AG493" i="3"/>
  <c r="AK491" i="3"/>
  <c r="AL493" i="3"/>
  <c r="AG490" i="3"/>
  <c r="AI490" i="3"/>
  <c r="AK490" i="3"/>
  <c r="AF491" i="3"/>
  <c r="AH491" i="3"/>
  <c r="AJ491" i="3"/>
  <c r="AL491" i="3"/>
  <c r="AF492" i="3"/>
  <c r="AH492" i="3"/>
  <c r="AJ492" i="3"/>
  <c r="AL492" i="3"/>
  <c r="AM485" i="3"/>
  <c r="AF490" i="3"/>
  <c r="AH490" i="3"/>
  <c r="AJ490" i="3"/>
  <c r="AE491" i="3"/>
  <c r="AG491" i="3"/>
  <c r="AI491" i="3"/>
  <c r="AE492" i="3"/>
  <c r="AG492" i="3"/>
  <c r="AI492" i="3"/>
  <c r="AK492" i="3"/>
  <c r="AF493" i="3"/>
  <c r="AH493" i="3"/>
  <c r="AJ493" i="3"/>
  <c r="AL485" i="3"/>
  <c r="F485" i="3"/>
  <c r="F486" i="3" s="1"/>
  <c r="F487" i="3" s="1"/>
  <c r="F488" i="3" s="1"/>
  <c r="AC487" i="3"/>
  <c r="AQ486" i="3"/>
  <c r="AO486" i="3"/>
  <c r="AK488" i="3"/>
  <c r="AI488" i="3"/>
  <c r="AG488" i="3"/>
  <c r="AK486" i="3"/>
  <c r="AL488" i="3"/>
  <c r="AG485" i="3"/>
  <c r="AI485" i="3"/>
  <c r="AK485" i="3"/>
  <c r="AF486" i="3"/>
  <c r="AH486" i="3"/>
  <c r="AJ486" i="3"/>
  <c r="AL486" i="3"/>
  <c r="AF487" i="3"/>
  <c r="AH487" i="3"/>
  <c r="AJ487" i="3"/>
  <c r="AL487" i="3"/>
  <c r="AM480" i="3"/>
  <c r="AF485" i="3"/>
  <c r="AH485" i="3"/>
  <c r="AJ485" i="3"/>
  <c r="AE486" i="3"/>
  <c r="AG486" i="3"/>
  <c r="AI486" i="3"/>
  <c r="AE487" i="3"/>
  <c r="AG487" i="3"/>
  <c r="AI487" i="3"/>
  <c r="AK487" i="3"/>
  <c r="AF488" i="3"/>
  <c r="AH488" i="3"/>
  <c r="AJ488" i="3"/>
  <c r="AL480" i="3"/>
  <c r="F480" i="3"/>
  <c r="F481" i="3" s="1"/>
  <c r="F482" i="3" s="1"/>
  <c r="F483" i="3" s="1"/>
  <c r="AC482" i="3"/>
  <c r="AQ481" i="3"/>
  <c r="AO481" i="3"/>
  <c r="AK483" i="3"/>
  <c r="AI483" i="3"/>
  <c r="AG483" i="3"/>
  <c r="AK481" i="3"/>
  <c r="AL483" i="3"/>
  <c r="AG480" i="3"/>
  <c r="AI480" i="3"/>
  <c r="AK480" i="3"/>
  <c r="AF481" i="3"/>
  <c r="AH481" i="3"/>
  <c r="AJ481" i="3"/>
  <c r="AL481" i="3"/>
  <c r="AF482" i="3"/>
  <c r="AH482" i="3"/>
  <c r="AJ482" i="3"/>
  <c r="AL482" i="3"/>
  <c r="AM475" i="3"/>
  <c r="AF480" i="3"/>
  <c r="AH480" i="3"/>
  <c r="AJ480" i="3"/>
  <c r="AE481" i="3"/>
  <c r="AG481" i="3"/>
  <c r="AI481" i="3"/>
  <c r="AE482" i="3"/>
  <c r="AG482" i="3"/>
  <c r="AI482" i="3"/>
  <c r="AK482" i="3"/>
  <c r="AF483" i="3"/>
  <c r="AH483" i="3"/>
  <c r="AJ483" i="3"/>
  <c r="AL475" i="3"/>
  <c r="F475" i="3"/>
  <c r="F476" i="3" s="1"/>
  <c r="F477" i="3" s="1"/>
  <c r="F478" i="3" s="1"/>
  <c r="AC477" i="3"/>
  <c r="AQ476" i="3"/>
  <c r="AO476" i="3"/>
  <c r="AK478" i="3"/>
  <c r="AI478" i="3"/>
  <c r="AG478" i="3"/>
  <c r="AK476" i="3"/>
  <c r="AL478" i="3"/>
  <c r="AG475" i="3"/>
  <c r="AI475" i="3"/>
  <c r="AK475" i="3"/>
  <c r="AF476" i="3"/>
  <c r="AH476" i="3"/>
  <c r="AJ476" i="3"/>
  <c r="AL476" i="3"/>
  <c r="AF477" i="3"/>
  <c r="AH477" i="3"/>
  <c r="AJ477" i="3"/>
  <c r="AL477" i="3"/>
  <c r="E420" i="3"/>
  <c r="E421" i="3" s="1"/>
  <c r="E422" i="3" s="1"/>
  <c r="E423" i="3" s="1"/>
  <c r="AD420" i="3"/>
  <c r="AD421" i="3" s="1"/>
  <c r="AD422" i="3" s="1"/>
  <c r="AD423" i="3" s="1"/>
  <c r="AG423" i="3" s="1"/>
  <c r="AL435" i="3"/>
  <c r="AF475" i="3"/>
  <c r="AH475" i="3"/>
  <c r="AJ475" i="3"/>
  <c r="AE476" i="3"/>
  <c r="AG476" i="3"/>
  <c r="AI476" i="3"/>
  <c r="AE477" i="3"/>
  <c r="AG477" i="3"/>
  <c r="AI477" i="3"/>
  <c r="AK477" i="3"/>
  <c r="AF478" i="3"/>
  <c r="AH478" i="3"/>
  <c r="AJ478" i="3"/>
  <c r="AO420" i="3"/>
  <c r="E425" i="3"/>
  <c r="E426" i="3" s="1"/>
  <c r="E427" i="3" s="1"/>
  <c r="E428" i="3" s="1"/>
  <c r="AO425" i="3"/>
  <c r="E435" i="3"/>
  <c r="E436" i="3" s="1"/>
  <c r="E437" i="3" s="1"/>
  <c r="E438" i="3" s="1"/>
  <c r="AO435" i="3"/>
  <c r="E440" i="3"/>
  <c r="E441" i="3" s="1"/>
  <c r="E442" i="3" s="1"/>
  <c r="E443" i="3" s="1"/>
  <c r="AO440" i="3"/>
  <c r="E445" i="3"/>
  <c r="E446" i="3" s="1"/>
  <c r="E447" i="3" s="1"/>
  <c r="E448" i="3" s="1"/>
  <c r="AO445" i="3"/>
  <c r="AO450" i="3"/>
  <c r="AO455" i="3"/>
  <c r="AM470" i="3"/>
  <c r="AC472" i="3"/>
  <c r="AQ471" i="3"/>
  <c r="AO471" i="3"/>
  <c r="AK473" i="3"/>
  <c r="AI473" i="3"/>
  <c r="AG473" i="3"/>
  <c r="AK471" i="3"/>
  <c r="AL473" i="3"/>
  <c r="AG470" i="3"/>
  <c r="AI470" i="3"/>
  <c r="AK470" i="3"/>
  <c r="AF471" i="3"/>
  <c r="AH471" i="3"/>
  <c r="AJ471" i="3"/>
  <c r="AL471" i="3"/>
  <c r="AF472" i="3"/>
  <c r="AH472" i="3"/>
  <c r="AJ472" i="3"/>
  <c r="AL472" i="3"/>
  <c r="AM465" i="3"/>
  <c r="AF470" i="3"/>
  <c r="AH470" i="3"/>
  <c r="AJ470" i="3"/>
  <c r="AE471" i="3"/>
  <c r="AG471" i="3"/>
  <c r="AI471" i="3"/>
  <c r="AE472" i="3"/>
  <c r="AG472" i="3"/>
  <c r="AI472" i="3"/>
  <c r="AK472" i="3"/>
  <c r="AF473" i="3"/>
  <c r="AH473" i="3"/>
  <c r="AJ473" i="3"/>
  <c r="AL465" i="3"/>
  <c r="F465" i="3"/>
  <c r="F466" i="3" s="1"/>
  <c r="F467" i="3" s="1"/>
  <c r="F468" i="3" s="1"/>
  <c r="AC467" i="3"/>
  <c r="AE467" i="3" s="1"/>
  <c r="AQ466" i="3"/>
  <c r="AO466" i="3"/>
  <c r="AK468" i="3"/>
  <c r="AI468" i="3"/>
  <c r="AG468" i="3"/>
  <c r="AK466" i="3"/>
  <c r="AL468" i="3"/>
  <c r="AG465" i="3"/>
  <c r="AI465" i="3"/>
  <c r="AK465" i="3"/>
  <c r="AF466" i="3"/>
  <c r="AH466" i="3"/>
  <c r="AJ466" i="3"/>
  <c r="AL466" i="3"/>
  <c r="AF467" i="3"/>
  <c r="AH467" i="3"/>
  <c r="AJ467" i="3"/>
  <c r="AL467" i="3"/>
  <c r="AM460" i="3"/>
  <c r="AF465" i="3"/>
  <c r="AH465" i="3"/>
  <c r="AJ465" i="3"/>
  <c r="AE466" i="3"/>
  <c r="AG466" i="3"/>
  <c r="AI466" i="3"/>
  <c r="AG467" i="3"/>
  <c r="AI467" i="3"/>
  <c r="AK467" i="3"/>
  <c r="AF468" i="3"/>
  <c r="AH468" i="3"/>
  <c r="AJ468" i="3"/>
  <c r="AL460" i="3"/>
  <c r="F460" i="3"/>
  <c r="F461" i="3" s="1"/>
  <c r="F462" i="3" s="1"/>
  <c r="F463" i="3" s="1"/>
  <c r="AC462" i="3"/>
  <c r="AQ461" i="3"/>
  <c r="AO461" i="3"/>
  <c r="AK463" i="3"/>
  <c r="AI463" i="3"/>
  <c r="AG463" i="3"/>
  <c r="AK461" i="3"/>
  <c r="AL463" i="3"/>
  <c r="AG460" i="3"/>
  <c r="AI460" i="3"/>
  <c r="AK460" i="3"/>
  <c r="AF461" i="3"/>
  <c r="AH461" i="3"/>
  <c r="AJ461" i="3"/>
  <c r="AL461" i="3"/>
  <c r="AF462" i="3"/>
  <c r="AH462" i="3"/>
  <c r="AJ462" i="3"/>
  <c r="AL462" i="3"/>
  <c r="AM455" i="3"/>
  <c r="AF460" i="3"/>
  <c r="AH460" i="3"/>
  <c r="AJ460" i="3"/>
  <c r="AE461" i="3"/>
  <c r="AG461" i="3"/>
  <c r="AI461" i="3"/>
  <c r="AE462" i="3"/>
  <c r="AG462" i="3"/>
  <c r="AI462" i="3"/>
  <c r="AK462" i="3"/>
  <c r="AF463" i="3"/>
  <c r="AH463" i="3"/>
  <c r="AJ463" i="3"/>
  <c r="AL455" i="3"/>
  <c r="F455" i="3"/>
  <c r="F456" i="3" s="1"/>
  <c r="F457" i="3" s="1"/>
  <c r="F458" i="3" s="1"/>
  <c r="AC457" i="3"/>
  <c r="AQ456" i="3"/>
  <c r="AO456" i="3"/>
  <c r="AK458" i="3"/>
  <c r="AI458" i="3"/>
  <c r="AG458" i="3"/>
  <c r="AK456" i="3"/>
  <c r="AL458" i="3"/>
  <c r="AG455" i="3"/>
  <c r="AI455" i="3"/>
  <c r="AK455" i="3"/>
  <c r="AF456" i="3"/>
  <c r="AH456" i="3"/>
  <c r="AJ456" i="3"/>
  <c r="AL456" i="3"/>
  <c r="AF457" i="3"/>
  <c r="AH457" i="3"/>
  <c r="AJ457" i="3"/>
  <c r="AL457" i="3"/>
  <c r="AM450" i="3"/>
  <c r="AF455" i="3"/>
  <c r="AH455" i="3"/>
  <c r="AJ455" i="3"/>
  <c r="AE456" i="3"/>
  <c r="AG456" i="3"/>
  <c r="AI456" i="3"/>
  <c r="AE457" i="3"/>
  <c r="AG457" i="3"/>
  <c r="AI457" i="3"/>
  <c r="AK457" i="3"/>
  <c r="AF458" i="3"/>
  <c r="AH458" i="3"/>
  <c r="AJ458" i="3"/>
  <c r="AL450" i="3"/>
  <c r="F450" i="3"/>
  <c r="F451" i="3" s="1"/>
  <c r="F452" i="3" s="1"/>
  <c r="F453" i="3" s="1"/>
  <c r="AC452" i="3"/>
  <c r="AQ451" i="3"/>
  <c r="AO451" i="3"/>
  <c r="AK453" i="3"/>
  <c r="AI453" i="3"/>
  <c r="AG453" i="3"/>
  <c r="AK451" i="3"/>
  <c r="AL453" i="3"/>
  <c r="AG450" i="3"/>
  <c r="AI450" i="3"/>
  <c r="AK450" i="3"/>
  <c r="AF451" i="3"/>
  <c r="AH451" i="3"/>
  <c r="AJ451" i="3"/>
  <c r="AL451" i="3"/>
  <c r="AF452" i="3"/>
  <c r="AH452" i="3"/>
  <c r="AJ452" i="3"/>
  <c r="AL452" i="3"/>
  <c r="AM445" i="3"/>
  <c r="AF450" i="3"/>
  <c r="AH450" i="3"/>
  <c r="AJ450" i="3"/>
  <c r="AE451" i="3"/>
  <c r="AG451" i="3"/>
  <c r="AI451" i="3"/>
  <c r="AE452" i="3"/>
  <c r="AG452" i="3"/>
  <c r="AI452" i="3"/>
  <c r="AK452" i="3"/>
  <c r="AF453" i="3"/>
  <c r="AH453" i="3"/>
  <c r="AJ453" i="3"/>
  <c r="AL445" i="3"/>
  <c r="F445" i="3"/>
  <c r="F446" i="3" s="1"/>
  <c r="F447" i="3" s="1"/>
  <c r="F448" i="3" s="1"/>
  <c r="AK448" i="3"/>
  <c r="AI448" i="3"/>
  <c r="AG448" i="3"/>
  <c r="AK446" i="3"/>
  <c r="AL448" i="3"/>
  <c r="AC447" i="3"/>
  <c r="AQ446" i="3"/>
  <c r="AO446" i="3"/>
  <c r="AG445" i="3"/>
  <c r="AI445" i="3"/>
  <c r="AK445" i="3"/>
  <c r="AF446" i="3"/>
  <c r="AH446" i="3"/>
  <c r="AJ446" i="3"/>
  <c r="AL446" i="3"/>
  <c r="AF447" i="3"/>
  <c r="AH447" i="3"/>
  <c r="AJ447" i="3"/>
  <c r="AL447" i="3"/>
  <c r="E410" i="3"/>
  <c r="E411" i="3" s="1"/>
  <c r="E412" i="3" s="1"/>
  <c r="E413" i="3" s="1"/>
  <c r="AD410" i="3"/>
  <c r="AD411" i="3" s="1"/>
  <c r="AD412" i="3" s="1"/>
  <c r="AD413" i="3" s="1"/>
  <c r="AG413" i="3" s="1"/>
  <c r="AM440" i="3"/>
  <c r="AF445" i="3"/>
  <c r="AH445" i="3"/>
  <c r="AJ445" i="3"/>
  <c r="AE446" i="3"/>
  <c r="AG446" i="3"/>
  <c r="AI446" i="3"/>
  <c r="AG447" i="3"/>
  <c r="AI447" i="3"/>
  <c r="AK447" i="3"/>
  <c r="AF448" i="3"/>
  <c r="AH448" i="3"/>
  <c r="AJ448" i="3"/>
  <c r="AO410" i="3"/>
  <c r="E415" i="3"/>
  <c r="E416" i="3" s="1"/>
  <c r="E417" i="3" s="1"/>
  <c r="E418" i="3" s="1"/>
  <c r="AD415" i="3"/>
  <c r="AD416" i="3" s="1"/>
  <c r="AD417" i="3" s="1"/>
  <c r="AD418" i="3" s="1"/>
  <c r="AL418" i="3" s="1"/>
  <c r="AL440" i="3"/>
  <c r="F440" i="3"/>
  <c r="F441" i="3" s="1"/>
  <c r="F442" i="3" s="1"/>
  <c r="F443" i="3" s="1"/>
  <c r="AC442" i="3"/>
  <c r="AQ441" i="3"/>
  <c r="AO441" i="3"/>
  <c r="AK443" i="3"/>
  <c r="AI443" i="3"/>
  <c r="AG443" i="3"/>
  <c r="AK441" i="3"/>
  <c r="AL443" i="3"/>
  <c r="AG440" i="3"/>
  <c r="AI440" i="3"/>
  <c r="AK440" i="3"/>
  <c r="AF441" i="3"/>
  <c r="AH441" i="3"/>
  <c r="AJ441" i="3"/>
  <c r="AL441" i="3"/>
  <c r="AF442" i="3"/>
  <c r="AH442" i="3"/>
  <c r="AJ442" i="3"/>
  <c r="AL442" i="3"/>
  <c r="AO415" i="3"/>
  <c r="AF440" i="3"/>
  <c r="AH440" i="3"/>
  <c r="AJ440" i="3"/>
  <c r="AE441" i="3"/>
  <c r="AG441" i="3"/>
  <c r="AI441" i="3"/>
  <c r="AE442" i="3"/>
  <c r="AG442" i="3"/>
  <c r="AI442" i="3"/>
  <c r="AK442" i="3"/>
  <c r="AF443" i="3"/>
  <c r="AH443" i="3"/>
  <c r="AJ443" i="3"/>
  <c r="AM435" i="3"/>
  <c r="AC437" i="3"/>
  <c r="AE437" i="3" s="1"/>
  <c r="AQ436" i="3"/>
  <c r="AO436" i="3"/>
  <c r="AK438" i="3"/>
  <c r="AI438" i="3"/>
  <c r="AG438" i="3"/>
  <c r="AK436" i="3"/>
  <c r="AL438" i="3"/>
  <c r="AG435" i="3"/>
  <c r="AI435" i="3"/>
  <c r="AK435" i="3"/>
  <c r="AF436" i="3"/>
  <c r="AH436" i="3"/>
  <c r="AJ436" i="3"/>
  <c r="AL436" i="3"/>
  <c r="AF437" i="3"/>
  <c r="AH437" i="3"/>
  <c r="AJ437" i="3"/>
  <c r="AL437" i="3"/>
  <c r="AF435" i="3"/>
  <c r="AH435" i="3"/>
  <c r="AJ435" i="3"/>
  <c r="AE436" i="3"/>
  <c r="AG436" i="3"/>
  <c r="AI436" i="3"/>
  <c r="AG437" i="3"/>
  <c r="AI437" i="3"/>
  <c r="AK437" i="3"/>
  <c r="AF438" i="3"/>
  <c r="AH438" i="3"/>
  <c r="AJ438" i="3"/>
  <c r="AL430" i="3"/>
  <c r="AL433" i="3"/>
  <c r="AK431" i="3"/>
  <c r="AG430" i="3"/>
  <c r="AI430" i="3"/>
  <c r="AK430" i="3"/>
  <c r="AM430" i="3"/>
  <c r="AF431" i="3"/>
  <c r="AH431" i="3"/>
  <c r="AJ431" i="3"/>
  <c r="AL431" i="3"/>
  <c r="AF432" i="3"/>
  <c r="AH432" i="3"/>
  <c r="AJ432" i="3"/>
  <c r="AL432" i="3"/>
  <c r="AG433" i="3"/>
  <c r="AI433" i="3"/>
  <c r="AK433" i="3"/>
  <c r="AM433" i="3"/>
  <c r="AM425" i="3"/>
  <c r="AF430" i="3"/>
  <c r="AH430" i="3"/>
  <c r="AJ430" i="3"/>
  <c r="AG431" i="3"/>
  <c r="AI431" i="3"/>
  <c r="AG432" i="3"/>
  <c r="AI432" i="3"/>
  <c r="AK432" i="3"/>
  <c r="AF433" i="3"/>
  <c r="AH433" i="3"/>
  <c r="AJ433" i="3"/>
  <c r="AL425" i="3"/>
  <c r="F425" i="3"/>
  <c r="F426" i="3" s="1"/>
  <c r="F427" i="3" s="1"/>
  <c r="F428" i="3" s="1"/>
  <c r="AC427" i="3"/>
  <c r="AE427" i="3" s="1"/>
  <c r="AQ426" i="3"/>
  <c r="AO426" i="3"/>
  <c r="AK428" i="3"/>
  <c r="AI428" i="3"/>
  <c r="AG428" i="3"/>
  <c r="AK426" i="3"/>
  <c r="AL428" i="3"/>
  <c r="AG425" i="3"/>
  <c r="AI425" i="3"/>
  <c r="AK425" i="3"/>
  <c r="AF426" i="3"/>
  <c r="AH426" i="3"/>
  <c r="AJ426" i="3"/>
  <c r="AL426" i="3"/>
  <c r="AF427" i="3"/>
  <c r="AH427" i="3"/>
  <c r="AJ427" i="3"/>
  <c r="AL427" i="3"/>
  <c r="E395" i="3"/>
  <c r="E396" i="3" s="1"/>
  <c r="E397" i="3" s="1"/>
  <c r="E398" i="3" s="1"/>
  <c r="AD395" i="3"/>
  <c r="AD396" i="3" s="1"/>
  <c r="AD397" i="3" s="1"/>
  <c r="AD398" i="3" s="1"/>
  <c r="AL398" i="3" s="1"/>
  <c r="F400" i="3"/>
  <c r="F401" i="3" s="1"/>
  <c r="F402" i="3" s="1"/>
  <c r="F403" i="3" s="1"/>
  <c r="AC400" i="3"/>
  <c r="AC401" i="3" s="1"/>
  <c r="AC402" i="3" s="1"/>
  <c r="AE402" i="3" s="1"/>
  <c r="AF425" i="3"/>
  <c r="AH425" i="3"/>
  <c r="AJ425" i="3"/>
  <c r="AE426" i="3"/>
  <c r="AG426" i="3"/>
  <c r="AI426" i="3"/>
  <c r="AG427" i="3"/>
  <c r="AI427" i="3"/>
  <c r="AK427" i="3"/>
  <c r="AF428" i="3"/>
  <c r="AH428" i="3"/>
  <c r="AJ428" i="3"/>
  <c r="AO400" i="3"/>
  <c r="AC422" i="3"/>
  <c r="AM420" i="3"/>
  <c r="AM423" i="3"/>
  <c r="AE421" i="3"/>
  <c r="AO395" i="3"/>
  <c r="E405" i="3"/>
  <c r="E406" i="3" s="1"/>
  <c r="E407" i="3" s="1"/>
  <c r="E408" i="3" s="1"/>
  <c r="AO405" i="3"/>
  <c r="AC417" i="3"/>
  <c r="AM415" i="3"/>
  <c r="AM418" i="3"/>
  <c r="AE416" i="3"/>
  <c r="AE417" i="3"/>
  <c r="F385" i="3"/>
  <c r="F386" i="3" s="1"/>
  <c r="F387" i="3" s="1"/>
  <c r="F388" i="3" s="1"/>
  <c r="AC385" i="3"/>
  <c r="AC386" i="3" s="1"/>
  <c r="AC387" i="3" s="1"/>
  <c r="AE387" i="3" s="1"/>
  <c r="AM410" i="3"/>
  <c r="AC412" i="3"/>
  <c r="AE412" i="3" s="1"/>
  <c r="AM413" i="3"/>
  <c r="AD370" i="3"/>
  <c r="AD371" i="3" s="1"/>
  <c r="AD372" i="3" s="1"/>
  <c r="AD373" i="3" s="1"/>
  <c r="AG373" i="3" s="1"/>
  <c r="AM405" i="3"/>
  <c r="AE411" i="3"/>
  <c r="AO385" i="3"/>
  <c r="F390" i="3"/>
  <c r="F391" i="3" s="1"/>
  <c r="F392" i="3" s="1"/>
  <c r="F393" i="3" s="1"/>
  <c r="AC390" i="3"/>
  <c r="AC391" i="3" s="1"/>
  <c r="AQ391" i="3" s="1"/>
  <c r="AL405" i="3"/>
  <c r="F405" i="3"/>
  <c r="F406" i="3" s="1"/>
  <c r="F407" i="3" s="1"/>
  <c r="F408" i="3" s="1"/>
  <c r="AC407" i="3"/>
  <c r="AE407" i="3" s="1"/>
  <c r="AQ406" i="3"/>
  <c r="AO406" i="3"/>
  <c r="AK408" i="3"/>
  <c r="AI408" i="3"/>
  <c r="AG408" i="3"/>
  <c r="AK406" i="3"/>
  <c r="AL408" i="3"/>
  <c r="AG405" i="3"/>
  <c r="AI405" i="3"/>
  <c r="AK405" i="3"/>
  <c r="AF406" i="3"/>
  <c r="AH406" i="3"/>
  <c r="AJ406" i="3"/>
  <c r="AL406" i="3"/>
  <c r="AF407" i="3"/>
  <c r="AH407" i="3"/>
  <c r="AJ407" i="3"/>
  <c r="AL407" i="3"/>
  <c r="AO370" i="3"/>
  <c r="E375" i="3"/>
  <c r="E376" i="3" s="1"/>
  <c r="E377" i="3" s="1"/>
  <c r="E378" i="3" s="1"/>
  <c r="AD375" i="3"/>
  <c r="AD376" i="3" s="1"/>
  <c r="AD377" i="3" s="1"/>
  <c r="AD378" i="3" s="1"/>
  <c r="AL378" i="3" s="1"/>
  <c r="AO390" i="3"/>
  <c r="AF405" i="3"/>
  <c r="AH405" i="3"/>
  <c r="AJ405" i="3"/>
  <c r="AE406" i="3"/>
  <c r="AG406" i="3"/>
  <c r="AI406" i="3"/>
  <c r="AG407" i="3"/>
  <c r="AI407" i="3"/>
  <c r="AK407" i="3"/>
  <c r="AF408" i="3"/>
  <c r="AH408" i="3"/>
  <c r="AJ408" i="3"/>
  <c r="AO375" i="3"/>
  <c r="E380" i="3"/>
  <c r="E381" i="3" s="1"/>
  <c r="E382" i="3" s="1"/>
  <c r="E383" i="3" s="1"/>
  <c r="AO380" i="3"/>
  <c r="AL400" i="3"/>
  <c r="AL403" i="3"/>
  <c r="AK401" i="3"/>
  <c r="AG400" i="3"/>
  <c r="AI400" i="3"/>
  <c r="AK400" i="3"/>
  <c r="AM400" i="3"/>
  <c r="AF401" i="3"/>
  <c r="AH401" i="3"/>
  <c r="AJ401" i="3"/>
  <c r="AL401" i="3"/>
  <c r="AF402" i="3"/>
  <c r="AH402" i="3"/>
  <c r="AJ402" i="3"/>
  <c r="AL402" i="3"/>
  <c r="AG403" i="3"/>
  <c r="AI403" i="3"/>
  <c r="AK403" i="3"/>
  <c r="AM403" i="3"/>
  <c r="AF400" i="3"/>
  <c r="AH400" i="3"/>
  <c r="AJ400" i="3"/>
  <c r="AG401" i="3"/>
  <c r="AI401" i="3"/>
  <c r="AG402" i="3"/>
  <c r="AI402" i="3"/>
  <c r="AK402" i="3"/>
  <c r="AF403" i="3"/>
  <c r="AH403" i="3"/>
  <c r="AJ403" i="3"/>
  <c r="AM395" i="3"/>
  <c r="AC397" i="3"/>
  <c r="AE397" i="3" s="1"/>
  <c r="AM398" i="3"/>
  <c r="AE396" i="3"/>
  <c r="AL390" i="3"/>
  <c r="AK391" i="3"/>
  <c r="AL393" i="3"/>
  <c r="AG390" i="3"/>
  <c r="AI390" i="3"/>
  <c r="AK390" i="3"/>
  <c r="AM390" i="3"/>
  <c r="AF391" i="3"/>
  <c r="AH391" i="3"/>
  <c r="AJ391" i="3"/>
  <c r="AL391" i="3"/>
  <c r="AF392" i="3"/>
  <c r="AH392" i="3"/>
  <c r="AJ392" i="3"/>
  <c r="AL392" i="3"/>
  <c r="AG393" i="3"/>
  <c r="AI393" i="3"/>
  <c r="AK393" i="3"/>
  <c r="AM393" i="3"/>
  <c r="AF390" i="3"/>
  <c r="AH390" i="3"/>
  <c r="AJ390" i="3"/>
  <c r="AG391" i="3"/>
  <c r="AI391" i="3"/>
  <c r="AG392" i="3"/>
  <c r="AI392" i="3"/>
  <c r="AK392" i="3"/>
  <c r="AF393" i="3"/>
  <c r="AH393" i="3"/>
  <c r="AJ393" i="3"/>
  <c r="AL385" i="3"/>
  <c r="AL388" i="3"/>
  <c r="AK386" i="3"/>
  <c r="AG385" i="3"/>
  <c r="AI385" i="3"/>
  <c r="AK385" i="3"/>
  <c r="AM385" i="3"/>
  <c r="AF386" i="3"/>
  <c r="AH386" i="3"/>
  <c r="AJ386" i="3"/>
  <c r="AL386" i="3"/>
  <c r="AF387" i="3"/>
  <c r="AH387" i="3"/>
  <c r="AJ387" i="3"/>
  <c r="AL387" i="3"/>
  <c r="AG388" i="3"/>
  <c r="AI388" i="3"/>
  <c r="AK388" i="3"/>
  <c r="AM388" i="3"/>
  <c r="AM380" i="3"/>
  <c r="AF385" i="3"/>
  <c r="AH385" i="3"/>
  <c r="AJ385" i="3"/>
  <c r="AG386" i="3"/>
  <c r="AI386" i="3"/>
  <c r="AG387" i="3"/>
  <c r="AI387" i="3"/>
  <c r="AK387" i="3"/>
  <c r="AF388" i="3"/>
  <c r="AH388" i="3"/>
  <c r="AJ388" i="3"/>
  <c r="AL380" i="3"/>
  <c r="F380" i="3"/>
  <c r="F381" i="3" s="1"/>
  <c r="F382" i="3" s="1"/>
  <c r="F383" i="3" s="1"/>
  <c r="AC382" i="3"/>
  <c r="AE382" i="3" s="1"/>
  <c r="AQ381" i="3"/>
  <c r="AO381" i="3"/>
  <c r="AK383" i="3"/>
  <c r="AI383" i="3"/>
  <c r="AG383" i="3"/>
  <c r="AK381" i="3"/>
  <c r="AL383" i="3"/>
  <c r="AG380" i="3"/>
  <c r="AI380" i="3"/>
  <c r="AK380" i="3"/>
  <c r="AF381" i="3"/>
  <c r="AH381" i="3"/>
  <c r="AJ381" i="3"/>
  <c r="AL381" i="3"/>
  <c r="AF382" i="3"/>
  <c r="AH382" i="3"/>
  <c r="AJ382" i="3"/>
  <c r="AL382" i="3"/>
  <c r="AF380" i="3"/>
  <c r="AH380" i="3"/>
  <c r="AJ380" i="3"/>
  <c r="AE381" i="3"/>
  <c r="AG381" i="3"/>
  <c r="AI381" i="3"/>
  <c r="AG382" i="3"/>
  <c r="AI382" i="3"/>
  <c r="AK382" i="3"/>
  <c r="AF383" i="3"/>
  <c r="AH383" i="3"/>
  <c r="AJ383" i="3"/>
  <c r="E365" i="3"/>
  <c r="E366" i="3" s="1"/>
  <c r="E367" i="3" s="1"/>
  <c r="E368" i="3" s="1"/>
  <c r="AO365" i="3"/>
  <c r="AC377" i="3"/>
  <c r="AE377" i="3" s="1"/>
  <c r="AM375" i="3"/>
  <c r="AM378" i="3"/>
  <c r="AO360" i="3"/>
  <c r="AE376" i="3"/>
  <c r="AM370" i="3"/>
  <c r="AC372" i="3"/>
  <c r="AE372" i="3" s="1"/>
  <c r="E345" i="3"/>
  <c r="E346" i="3" s="1"/>
  <c r="E347" i="3" s="1"/>
  <c r="E348" i="3" s="1"/>
  <c r="AO345" i="3"/>
  <c r="AO350" i="3"/>
  <c r="AO355" i="3"/>
  <c r="AM373" i="3"/>
  <c r="AM365" i="3"/>
  <c r="AE371" i="3"/>
  <c r="F290" i="3"/>
  <c r="F291" i="3" s="1"/>
  <c r="F292" i="3" s="1"/>
  <c r="F293" i="3" s="1"/>
  <c r="AL365" i="3"/>
  <c r="F365" i="3"/>
  <c r="F366" i="3" s="1"/>
  <c r="F367" i="3" s="1"/>
  <c r="F368" i="3" s="1"/>
  <c r="AC367" i="3"/>
  <c r="AE367" i="3" s="1"/>
  <c r="AQ366" i="3"/>
  <c r="AO366" i="3"/>
  <c r="AK368" i="3"/>
  <c r="AI368" i="3"/>
  <c r="AG368" i="3"/>
  <c r="AK366" i="3"/>
  <c r="AL368" i="3"/>
  <c r="AG365" i="3"/>
  <c r="AI365" i="3"/>
  <c r="AK365" i="3"/>
  <c r="AF366" i="3"/>
  <c r="AH366" i="3"/>
  <c r="AJ366" i="3"/>
  <c r="AL366" i="3"/>
  <c r="AF367" i="3"/>
  <c r="AH367" i="3"/>
  <c r="AJ367" i="3"/>
  <c r="AL367" i="3"/>
  <c r="AM360" i="3"/>
  <c r="AF365" i="3"/>
  <c r="AH365" i="3"/>
  <c r="AJ365" i="3"/>
  <c r="AE366" i="3"/>
  <c r="AG366" i="3"/>
  <c r="AI366" i="3"/>
  <c r="AG367" i="3"/>
  <c r="AI367" i="3"/>
  <c r="AK367" i="3"/>
  <c r="AF368" i="3"/>
  <c r="AH368" i="3"/>
  <c r="AJ368" i="3"/>
  <c r="AL360" i="3"/>
  <c r="F360" i="3"/>
  <c r="F361" i="3" s="1"/>
  <c r="F362" i="3" s="1"/>
  <c r="F363" i="3" s="1"/>
  <c r="AC362" i="3"/>
  <c r="AQ361" i="3"/>
  <c r="AO361" i="3"/>
  <c r="AK363" i="3"/>
  <c r="AI363" i="3"/>
  <c r="AG363" i="3"/>
  <c r="AK361" i="3"/>
  <c r="AL363" i="3"/>
  <c r="AG360" i="3"/>
  <c r="AI360" i="3"/>
  <c r="AK360" i="3"/>
  <c r="AF361" i="3"/>
  <c r="AH361" i="3"/>
  <c r="AJ361" i="3"/>
  <c r="AL361" i="3"/>
  <c r="AF362" i="3"/>
  <c r="AH362" i="3"/>
  <c r="AJ362" i="3"/>
  <c r="AL362" i="3"/>
  <c r="AM355" i="3"/>
  <c r="AF360" i="3"/>
  <c r="AH360" i="3"/>
  <c r="AJ360" i="3"/>
  <c r="AE361" i="3"/>
  <c r="AG361" i="3"/>
  <c r="AI361" i="3"/>
  <c r="AE362" i="3"/>
  <c r="AG362" i="3"/>
  <c r="AI362" i="3"/>
  <c r="AK362" i="3"/>
  <c r="AF363" i="3"/>
  <c r="AH363" i="3"/>
  <c r="AJ363" i="3"/>
  <c r="AL290" i="3"/>
  <c r="AL355" i="3"/>
  <c r="F355" i="3"/>
  <c r="F356" i="3" s="1"/>
  <c r="F357" i="3" s="1"/>
  <c r="F358" i="3" s="1"/>
  <c r="AC357" i="3"/>
  <c r="AQ356" i="3"/>
  <c r="AO356" i="3"/>
  <c r="AK358" i="3"/>
  <c r="AI358" i="3"/>
  <c r="AG358" i="3"/>
  <c r="AK356" i="3"/>
  <c r="AL358" i="3"/>
  <c r="F200" i="3"/>
  <c r="F201" i="3" s="1"/>
  <c r="F202" i="3" s="1"/>
  <c r="F203" i="3" s="1"/>
  <c r="AC200" i="3"/>
  <c r="AC201" i="3" s="1"/>
  <c r="AC202" i="3" s="1"/>
  <c r="AE202" i="3" s="1"/>
  <c r="E285" i="3"/>
  <c r="E286" i="3" s="1"/>
  <c r="E287" i="3" s="1"/>
  <c r="E288" i="3" s="1"/>
  <c r="AO285" i="3"/>
  <c r="E290" i="3"/>
  <c r="E291" i="3" s="1"/>
  <c r="E292" i="3" s="1"/>
  <c r="E293" i="3" s="1"/>
  <c r="AO290" i="3"/>
  <c r="E295" i="3"/>
  <c r="E296" i="3" s="1"/>
  <c r="E297" i="3" s="1"/>
  <c r="E298" i="3" s="1"/>
  <c r="AO295" i="3"/>
  <c r="E300" i="3"/>
  <c r="E301" i="3" s="1"/>
  <c r="E302" i="3" s="1"/>
  <c r="E303" i="3" s="1"/>
  <c r="AO300" i="3"/>
  <c r="E305" i="3"/>
  <c r="E306" i="3" s="1"/>
  <c r="E307" i="3" s="1"/>
  <c r="E308" i="3" s="1"/>
  <c r="AO305" i="3"/>
  <c r="E310" i="3"/>
  <c r="E311" i="3" s="1"/>
  <c r="E312" i="3" s="1"/>
  <c r="E313" i="3" s="1"/>
  <c r="AO310" i="3"/>
  <c r="E315" i="3"/>
  <c r="E316" i="3" s="1"/>
  <c r="E317" i="3" s="1"/>
  <c r="E318" i="3" s="1"/>
  <c r="AO315" i="3"/>
  <c r="E320" i="3"/>
  <c r="E321" i="3" s="1"/>
  <c r="E322" i="3" s="1"/>
  <c r="E323" i="3" s="1"/>
  <c r="AO320" i="3"/>
  <c r="E325" i="3"/>
  <c r="E326" i="3" s="1"/>
  <c r="E327" i="3" s="1"/>
  <c r="E328" i="3" s="1"/>
  <c r="AO325" i="3"/>
  <c r="E330" i="3"/>
  <c r="E331" i="3" s="1"/>
  <c r="E332" i="3" s="1"/>
  <c r="E333" i="3" s="1"/>
  <c r="AO330" i="3"/>
  <c r="E335" i="3"/>
  <c r="E336" i="3" s="1"/>
  <c r="E337" i="3" s="1"/>
  <c r="E338" i="3" s="1"/>
  <c r="AO335" i="3"/>
  <c r="E340" i="3"/>
  <c r="E341" i="3" s="1"/>
  <c r="E342" i="3" s="1"/>
  <c r="E343" i="3" s="1"/>
  <c r="AO340" i="3"/>
  <c r="AG355" i="3"/>
  <c r="AI355" i="3"/>
  <c r="AK355" i="3"/>
  <c r="AF356" i="3"/>
  <c r="AH356" i="3"/>
  <c r="AJ356" i="3"/>
  <c r="AL356" i="3"/>
  <c r="AF357" i="3"/>
  <c r="AH357" i="3"/>
  <c r="AJ357" i="3"/>
  <c r="AL357" i="3"/>
  <c r="AM350" i="3"/>
  <c r="AF355" i="3"/>
  <c r="AH355" i="3"/>
  <c r="AJ355" i="3"/>
  <c r="AE356" i="3"/>
  <c r="AG356" i="3"/>
  <c r="AI356" i="3"/>
  <c r="AE357" i="3"/>
  <c r="AG357" i="3"/>
  <c r="AI357" i="3"/>
  <c r="AK357" i="3"/>
  <c r="AF358" i="3"/>
  <c r="AH358" i="3"/>
  <c r="AJ358" i="3"/>
  <c r="AL350" i="3"/>
  <c r="F350" i="3"/>
  <c r="F351" i="3" s="1"/>
  <c r="F352" i="3" s="1"/>
  <c r="F353" i="3" s="1"/>
  <c r="AC352" i="3"/>
  <c r="AQ351" i="3"/>
  <c r="AO351" i="3"/>
  <c r="AK353" i="3"/>
  <c r="AI353" i="3"/>
  <c r="AG353" i="3"/>
  <c r="AK351" i="3"/>
  <c r="AL353" i="3"/>
  <c r="AG350" i="3"/>
  <c r="AI350" i="3"/>
  <c r="AK350" i="3"/>
  <c r="AF351" i="3"/>
  <c r="AH351" i="3"/>
  <c r="AJ351" i="3"/>
  <c r="AL351" i="3"/>
  <c r="AF352" i="3"/>
  <c r="AH352" i="3"/>
  <c r="AJ352" i="3"/>
  <c r="AL352" i="3"/>
  <c r="AM345" i="3"/>
  <c r="AF350" i="3"/>
  <c r="AH350" i="3"/>
  <c r="AJ350" i="3"/>
  <c r="AE351" i="3"/>
  <c r="AG351" i="3"/>
  <c r="AI351" i="3"/>
  <c r="AE352" i="3"/>
  <c r="AG352" i="3"/>
  <c r="AI352" i="3"/>
  <c r="AK352" i="3"/>
  <c r="AF353" i="3"/>
  <c r="AH353" i="3"/>
  <c r="AJ353" i="3"/>
  <c r="AL345" i="3"/>
  <c r="F345" i="3"/>
  <c r="F346" i="3" s="1"/>
  <c r="F347" i="3" s="1"/>
  <c r="F348" i="3" s="1"/>
  <c r="AC347" i="3"/>
  <c r="AQ346" i="3"/>
  <c r="AO346" i="3"/>
  <c r="AK348" i="3"/>
  <c r="AI348" i="3"/>
  <c r="AG348" i="3"/>
  <c r="AK346" i="3"/>
  <c r="AL348" i="3"/>
  <c r="AG345" i="3"/>
  <c r="AI345" i="3"/>
  <c r="AK345" i="3"/>
  <c r="AF346" i="3"/>
  <c r="AH346" i="3"/>
  <c r="AJ346" i="3"/>
  <c r="AL346" i="3"/>
  <c r="AF347" i="3"/>
  <c r="AH347" i="3"/>
  <c r="AJ347" i="3"/>
  <c r="AL347" i="3"/>
  <c r="AM340" i="3"/>
  <c r="AF345" i="3"/>
  <c r="AH345" i="3"/>
  <c r="AJ345" i="3"/>
  <c r="AE346" i="3"/>
  <c r="AG346" i="3"/>
  <c r="AI346" i="3"/>
  <c r="AE347" i="3"/>
  <c r="AG347" i="3"/>
  <c r="AI347" i="3"/>
  <c r="AK347" i="3"/>
  <c r="AF348" i="3"/>
  <c r="AH348" i="3"/>
  <c r="AJ348" i="3"/>
  <c r="AL340" i="3"/>
  <c r="F340" i="3"/>
  <c r="F341" i="3" s="1"/>
  <c r="F342" i="3" s="1"/>
  <c r="F343" i="3" s="1"/>
  <c r="AC342" i="3"/>
  <c r="AQ341" i="3"/>
  <c r="AO341" i="3"/>
  <c r="AK343" i="3"/>
  <c r="AI343" i="3"/>
  <c r="AG343" i="3"/>
  <c r="AK341" i="3"/>
  <c r="AL343" i="3"/>
  <c r="AG340" i="3"/>
  <c r="AI340" i="3"/>
  <c r="AK340" i="3"/>
  <c r="AF341" i="3"/>
  <c r="AH341" i="3"/>
  <c r="AJ341" i="3"/>
  <c r="AL341" i="3"/>
  <c r="AF342" i="3"/>
  <c r="AH342" i="3"/>
  <c r="AJ342" i="3"/>
  <c r="AL342" i="3"/>
  <c r="AM335" i="3"/>
  <c r="AF340" i="3"/>
  <c r="AH340" i="3"/>
  <c r="AJ340" i="3"/>
  <c r="AE341" i="3"/>
  <c r="AG341" i="3"/>
  <c r="AI341" i="3"/>
  <c r="AE342" i="3"/>
  <c r="AG342" i="3"/>
  <c r="AI342" i="3"/>
  <c r="AK342" i="3"/>
  <c r="AF343" i="3"/>
  <c r="AH343" i="3"/>
  <c r="AJ343" i="3"/>
  <c r="AL335" i="3"/>
  <c r="F335" i="3"/>
  <c r="F336" i="3" s="1"/>
  <c r="F337" i="3" s="1"/>
  <c r="F338" i="3" s="1"/>
  <c r="AK338" i="3"/>
  <c r="AI338" i="3"/>
  <c r="AG338" i="3"/>
  <c r="AK336" i="3"/>
  <c r="AL338" i="3"/>
  <c r="AC337" i="3"/>
  <c r="AQ336" i="3"/>
  <c r="AO336" i="3"/>
  <c r="AG335" i="3"/>
  <c r="AI335" i="3"/>
  <c r="AK335" i="3"/>
  <c r="AF336" i="3"/>
  <c r="AH336" i="3"/>
  <c r="AJ336" i="3"/>
  <c r="AL336" i="3"/>
  <c r="AF337" i="3"/>
  <c r="AH337" i="3"/>
  <c r="AJ337" i="3"/>
  <c r="AL337" i="3"/>
  <c r="AM330" i="3"/>
  <c r="AF335" i="3"/>
  <c r="AH335" i="3"/>
  <c r="AJ335" i="3"/>
  <c r="AE336" i="3"/>
  <c r="AG336" i="3"/>
  <c r="AI336" i="3"/>
  <c r="AG337" i="3"/>
  <c r="AI337" i="3"/>
  <c r="AK337" i="3"/>
  <c r="AF338" i="3"/>
  <c r="AH338" i="3"/>
  <c r="AJ338" i="3"/>
  <c r="AL330" i="3"/>
  <c r="F330" i="3"/>
  <c r="F331" i="3" s="1"/>
  <c r="F332" i="3" s="1"/>
  <c r="F333" i="3" s="1"/>
  <c r="AC332" i="3"/>
  <c r="AQ331" i="3"/>
  <c r="AO331" i="3"/>
  <c r="AK333" i="3"/>
  <c r="AI333" i="3"/>
  <c r="AG333" i="3"/>
  <c r="AK331" i="3"/>
  <c r="AL333" i="3"/>
  <c r="AG330" i="3"/>
  <c r="AI330" i="3"/>
  <c r="AK330" i="3"/>
  <c r="AF331" i="3"/>
  <c r="AH331" i="3"/>
  <c r="AJ331" i="3"/>
  <c r="AL331" i="3"/>
  <c r="AF332" i="3"/>
  <c r="AH332" i="3"/>
  <c r="AJ332" i="3"/>
  <c r="AL332" i="3"/>
  <c r="AM325" i="3"/>
  <c r="AF330" i="3"/>
  <c r="AH330" i="3"/>
  <c r="AJ330" i="3"/>
  <c r="AE331" i="3"/>
  <c r="AG331" i="3"/>
  <c r="AI331" i="3"/>
  <c r="AE332" i="3"/>
  <c r="AG332" i="3"/>
  <c r="AI332" i="3"/>
  <c r="AK332" i="3"/>
  <c r="AF333" i="3"/>
  <c r="AH333" i="3"/>
  <c r="AJ333" i="3"/>
  <c r="AL325" i="3"/>
  <c r="F325" i="3"/>
  <c r="F326" i="3" s="1"/>
  <c r="F327" i="3" s="1"/>
  <c r="F328" i="3" s="1"/>
  <c r="AC327" i="3"/>
  <c r="AQ326" i="3"/>
  <c r="AO326" i="3"/>
  <c r="AK328" i="3"/>
  <c r="AI328" i="3"/>
  <c r="AG328" i="3"/>
  <c r="AK326" i="3"/>
  <c r="AL328" i="3"/>
  <c r="AG325" i="3"/>
  <c r="AI325" i="3"/>
  <c r="AK325" i="3"/>
  <c r="AF326" i="3"/>
  <c r="AH326" i="3"/>
  <c r="AJ326" i="3"/>
  <c r="AL326" i="3"/>
  <c r="AF327" i="3"/>
  <c r="AH327" i="3"/>
  <c r="AJ327" i="3"/>
  <c r="AL327" i="3"/>
  <c r="AM320" i="3"/>
  <c r="AF325" i="3"/>
  <c r="AH325" i="3"/>
  <c r="AJ325" i="3"/>
  <c r="AE326" i="3"/>
  <c r="AG326" i="3"/>
  <c r="AI326" i="3"/>
  <c r="AE327" i="3"/>
  <c r="AG327" i="3"/>
  <c r="AI327" i="3"/>
  <c r="AK327" i="3"/>
  <c r="AF328" i="3"/>
  <c r="AH328" i="3"/>
  <c r="AJ328" i="3"/>
  <c r="AL320" i="3"/>
  <c r="F320" i="3"/>
  <c r="F321" i="3" s="1"/>
  <c r="F322" i="3" s="1"/>
  <c r="F323" i="3" s="1"/>
  <c r="AC322" i="3"/>
  <c r="AQ321" i="3"/>
  <c r="AO321" i="3"/>
  <c r="AK323" i="3"/>
  <c r="AI323" i="3"/>
  <c r="AG323" i="3"/>
  <c r="AK321" i="3"/>
  <c r="AL323" i="3"/>
  <c r="AG320" i="3"/>
  <c r="AI320" i="3"/>
  <c r="AK320" i="3"/>
  <c r="AF321" i="3"/>
  <c r="AH321" i="3"/>
  <c r="AJ321" i="3"/>
  <c r="AL321" i="3"/>
  <c r="AF322" i="3"/>
  <c r="AH322" i="3"/>
  <c r="AJ322" i="3"/>
  <c r="AL322" i="3"/>
  <c r="AM315" i="3"/>
  <c r="AF320" i="3"/>
  <c r="AH320" i="3"/>
  <c r="AJ320" i="3"/>
  <c r="AE321" i="3"/>
  <c r="AG321" i="3"/>
  <c r="AI321" i="3"/>
  <c r="AE322" i="3"/>
  <c r="AG322" i="3"/>
  <c r="AI322" i="3"/>
  <c r="AK322" i="3"/>
  <c r="AF323" i="3"/>
  <c r="AH323" i="3"/>
  <c r="AJ323" i="3"/>
  <c r="AL315" i="3"/>
  <c r="F315" i="3"/>
  <c r="F316" i="3" s="1"/>
  <c r="F317" i="3" s="1"/>
  <c r="F318" i="3" s="1"/>
  <c r="AC317" i="3"/>
  <c r="AQ316" i="3"/>
  <c r="AO316" i="3"/>
  <c r="AK318" i="3"/>
  <c r="AI318" i="3"/>
  <c r="AG318" i="3"/>
  <c r="AK316" i="3"/>
  <c r="AL318" i="3"/>
  <c r="AG315" i="3"/>
  <c r="AI315" i="3"/>
  <c r="AK315" i="3"/>
  <c r="AF316" i="3"/>
  <c r="AH316" i="3"/>
  <c r="AJ316" i="3"/>
  <c r="AL316" i="3"/>
  <c r="AF317" i="3"/>
  <c r="AH317" i="3"/>
  <c r="AJ317" i="3"/>
  <c r="AL317" i="3"/>
  <c r="AM310" i="3"/>
  <c r="AF315" i="3"/>
  <c r="AH315" i="3"/>
  <c r="AJ315" i="3"/>
  <c r="AE316" i="3"/>
  <c r="AG316" i="3"/>
  <c r="AI316" i="3"/>
  <c r="AE317" i="3"/>
  <c r="AG317" i="3"/>
  <c r="AI317" i="3"/>
  <c r="AK317" i="3"/>
  <c r="AF318" i="3"/>
  <c r="AH318" i="3"/>
  <c r="AJ318" i="3"/>
  <c r="AL310" i="3"/>
  <c r="F310" i="3"/>
  <c r="F311" i="3" s="1"/>
  <c r="F312" i="3" s="1"/>
  <c r="F313" i="3" s="1"/>
  <c r="AC312" i="3"/>
  <c r="AQ311" i="3"/>
  <c r="AO311" i="3"/>
  <c r="AK313" i="3"/>
  <c r="AI313" i="3"/>
  <c r="AG313" i="3"/>
  <c r="AK311" i="3"/>
  <c r="AL313" i="3"/>
  <c r="AG310" i="3"/>
  <c r="AI310" i="3"/>
  <c r="AK310" i="3"/>
  <c r="AF311" i="3"/>
  <c r="AH311" i="3"/>
  <c r="AJ311" i="3"/>
  <c r="AL311" i="3"/>
  <c r="AF312" i="3"/>
  <c r="AH312" i="3"/>
  <c r="AJ312" i="3"/>
  <c r="AL312" i="3"/>
  <c r="AM305" i="3"/>
  <c r="AF310" i="3"/>
  <c r="AH310" i="3"/>
  <c r="AJ310" i="3"/>
  <c r="AE311" i="3"/>
  <c r="AG311" i="3"/>
  <c r="AI311" i="3"/>
  <c r="AE312" i="3"/>
  <c r="AG312" i="3"/>
  <c r="AI312" i="3"/>
  <c r="AK312" i="3"/>
  <c r="AF313" i="3"/>
  <c r="AH313" i="3"/>
  <c r="AJ313" i="3"/>
  <c r="AL305" i="3"/>
  <c r="F305" i="3"/>
  <c r="F306" i="3" s="1"/>
  <c r="F307" i="3" s="1"/>
  <c r="F308" i="3" s="1"/>
  <c r="AC307" i="3"/>
  <c r="AQ306" i="3"/>
  <c r="AO306" i="3"/>
  <c r="AK308" i="3"/>
  <c r="AI308" i="3"/>
  <c r="AG308" i="3"/>
  <c r="AK306" i="3"/>
  <c r="AL308" i="3"/>
  <c r="AG305" i="3"/>
  <c r="AI305" i="3"/>
  <c r="AK305" i="3"/>
  <c r="AF306" i="3"/>
  <c r="AH306" i="3"/>
  <c r="AJ306" i="3"/>
  <c r="AL306" i="3"/>
  <c r="AF307" i="3"/>
  <c r="AH307" i="3"/>
  <c r="AJ307" i="3"/>
  <c r="AL307" i="3"/>
  <c r="AM300" i="3"/>
  <c r="AF305" i="3"/>
  <c r="AH305" i="3"/>
  <c r="AJ305" i="3"/>
  <c r="AE306" i="3"/>
  <c r="AG306" i="3"/>
  <c r="AI306" i="3"/>
  <c r="AE307" i="3"/>
  <c r="AG307" i="3"/>
  <c r="AI307" i="3"/>
  <c r="AK307" i="3"/>
  <c r="AF308" i="3"/>
  <c r="AH308" i="3"/>
  <c r="AJ308" i="3"/>
  <c r="AL300" i="3"/>
  <c r="F300" i="3"/>
  <c r="F301" i="3" s="1"/>
  <c r="F302" i="3" s="1"/>
  <c r="F303" i="3" s="1"/>
  <c r="AC302" i="3"/>
  <c r="AQ301" i="3"/>
  <c r="AO301" i="3"/>
  <c r="AK303" i="3"/>
  <c r="AI303" i="3"/>
  <c r="AG303" i="3"/>
  <c r="AK301" i="3"/>
  <c r="AL303" i="3"/>
  <c r="AG300" i="3"/>
  <c r="AI300" i="3"/>
  <c r="AK300" i="3"/>
  <c r="AF301" i="3"/>
  <c r="AH301" i="3"/>
  <c r="AJ301" i="3"/>
  <c r="AL301" i="3"/>
  <c r="AF302" i="3"/>
  <c r="AH302" i="3"/>
  <c r="AJ302" i="3"/>
  <c r="AL302" i="3"/>
  <c r="AM295" i="3"/>
  <c r="AF300" i="3"/>
  <c r="AH300" i="3"/>
  <c r="AJ300" i="3"/>
  <c r="AE301" i="3"/>
  <c r="AG301" i="3"/>
  <c r="AI301" i="3"/>
  <c r="AE302" i="3"/>
  <c r="AG302" i="3"/>
  <c r="AI302" i="3"/>
  <c r="AK302" i="3"/>
  <c r="AF303" i="3"/>
  <c r="AH303" i="3"/>
  <c r="AJ303" i="3"/>
  <c r="AL295" i="3"/>
  <c r="F295" i="3"/>
  <c r="F296" i="3" s="1"/>
  <c r="F297" i="3" s="1"/>
  <c r="F298" i="3" s="1"/>
  <c r="AC297" i="3"/>
  <c r="AQ296" i="3"/>
  <c r="AO296" i="3"/>
  <c r="AK298" i="3"/>
  <c r="AI298" i="3"/>
  <c r="AG298" i="3"/>
  <c r="AK296" i="3"/>
  <c r="AL298" i="3"/>
  <c r="AG295" i="3"/>
  <c r="AI295" i="3"/>
  <c r="AK295" i="3"/>
  <c r="AF296" i="3"/>
  <c r="AH296" i="3"/>
  <c r="AJ296" i="3"/>
  <c r="AL296" i="3"/>
  <c r="AF297" i="3"/>
  <c r="AH297" i="3"/>
  <c r="AJ297" i="3"/>
  <c r="AL297" i="3"/>
  <c r="AF295" i="3"/>
  <c r="AH295" i="3"/>
  <c r="AJ295" i="3"/>
  <c r="AE296" i="3"/>
  <c r="AG296" i="3"/>
  <c r="AI296" i="3"/>
  <c r="AG297" i="3"/>
  <c r="AI297" i="3"/>
  <c r="AK297" i="3"/>
  <c r="AF298" i="3"/>
  <c r="AH298" i="3"/>
  <c r="AJ298" i="3"/>
  <c r="AO200" i="3"/>
  <c r="E255" i="3"/>
  <c r="E256" i="3" s="1"/>
  <c r="E257" i="3" s="1"/>
  <c r="E258" i="3" s="1"/>
  <c r="AO255" i="3"/>
  <c r="E260" i="3"/>
  <c r="E261" i="3" s="1"/>
  <c r="E262" i="3" s="1"/>
  <c r="E263" i="3" s="1"/>
  <c r="AO260" i="3"/>
  <c r="E265" i="3"/>
  <c r="E266" i="3" s="1"/>
  <c r="E267" i="3" s="1"/>
  <c r="E268" i="3" s="1"/>
  <c r="AO265" i="3"/>
  <c r="E270" i="3"/>
  <c r="E271" i="3" s="1"/>
  <c r="E272" i="3" s="1"/>
  <c r="E273" i="3" s="1"/>
  <c r="AO270" i="3"/>
  <c r="AO275" i="3"/>
  <c r="AO280" i="3"/>
  <c r="AM290" i="3"/>
  <c r="AC292" i="3"/>
  <c r="AQ291" i="3"/>
  <c r="AO291" i="3"/>
  <c r="AK293" i="3"/>
  <c r="AI293" i="3"/>
  <c r="AG293" i="3"/>
  <c r="AK291" i="3"/>
  <c r="AL293" i="3"/>
  <c r="AG290" i="3"/>
  <c r="AI290" i="3"/>
  <c r="AK290" i="3"/>
  <c r="AF291" i="3"/>
  <c r="AH291" i="3"/>
  <c r="AJ291" i="3"/>
  <c r="AL291" i="3"/>
  <c r="AF292" i="3"/>
  <c r="AH292" i="3"/>
  <c r="AJ292" i="3"/>
  <c r="AL292" i="3"/>
  <c r="AM285" i="3"/>
  <c r="AF290" i="3"/>
  <c r="AH290" i="3"/>
  <c r="AJ290" i="3"/>
  <c r="AE291" i="3"/>
  <c r="AG291" i="3"/>
  <c r="AI291" i="3"/>
  <c r="AE292" i="3"/>
  <c r="AG292" i="3"/>
  <c r="AI292" i="3"/>
  <c r="AK292" i="3"/>
  <c r="AF293" i="3"/>
  <c r="AH293" i="3"/>
  <c r="AJ293" i="3"/>
  <c r="AL285" i="3"/>
  <c r="F285" i="3"/>
  <c r="F286" i="3" s="1"/>
  <c r="F287" i="3" s="1"/>
  <c r="F288" i="3" s="1"/>
  <c r="AC287" i="3"/>
  <c r="AQ286" i="3"/>
  <c r="AO286" i="3"/>
  <c r="AK288" i="3"/>
  <c r="AI288" i="3"/>
  <c r="AG288" i="3"/>
  <c r="AK286" i="3"/>
  <c r="AL288" i="3"/>
  <c r="E185" i="3"/>
  <c r="E186" i="3" s="1"/>
  <c r="E187" i="3" s="1"/>
  <c r="E188" i="3" s="1"/>
  <c r="AO185" i="3"/>
  <c r="E190" i="3"/>
  <c r="E191" i="3" s="1"/>
  <c r="E192" i="3" s="1"/>
  <c r="E193" i="3" s="1"/>
  <c r="AO190" i="3"/>
  <c r="E195" i="3"/>
  <c r="E196" i="3" s="1"/>
  <c r="E197" i="3" s="1"/>
  <c r="E198" i="3" s="1"/>
  <c r="AO195" i="3"/>
  <c r="E205" i="3"/>
  <c r="E206" i="3" s="1"/>
  <c r="E207" i="3" s="1"/>
  <c r="E208" i="3" s="1"/>
  <c r="AO205" i="3"/>
  <c r="E210" i="3"/>
  <c r="E211" i="3" s="1"/>
  <c r="E212" i="3" s="1"/>
  <c r="E213" i="3" s="1"/>
  <c r="AO210" i="3"/>
  <c r="E215" i="3"/>
  <c r="E216" i="3" s="1"/>
  <c r="E217" i="3" s="1"/>
  <c r="E218" i="3" s="1"/>
  <c r="AO215" i="3"/>
  <c r="E220" i="3"/>
  <c r="E221" i="3" s="1"/>
  <c r="E222" i="3" s="1"/>
  <c r="E223" i="3" s="1"/>
  <c r="AO220" i="3"/>
  <c r="E225" i="3"/>
  <c r="E226" i="3" s="1"/>
  <c r="E227" i="3" s="1"/>
  <c r="E228" i="3" s="1"/>
  <c r="AO225" i="3"/>
  <c r="E230" i="3"/>
  <c r="E231" i="3" s="1"/>
  <c r="E232" i="3" s="1"/>
  <c r="E233" i="3" s="1"/>
  <c r="AO230" i="3"/>
  <c r="E235" i="3"/>
  <c r="E236" i="3" s="1"/>
  <c r="E237" i="3" s="1"/>
  <c r="E238" i="3" s="1"/>
  <c r="AO235" i="3"/>
  <c r="E240" i="3"/>
  <c r="E241" i="3" s="1"/>
  <c r="E242" i="3" s="1"/>
  <c r="E243" i="3" s="1"/>
  <c r="AO240" i="3"/>
  <c r="E245" i="3"/>
  <c r="E246" i="3" s="1"/>
  <c r="E247" i="3" s="1"/>
  <c r="E248" i="3" s="1"/>
  <c r="AO245" i="3"/>
  <c r="E250" i="3"/>
  <c r="E251" i="3" s="1"/>
  <c r="E252" i="3" s="1"/>
  <c r="E253" i="3" s="1"/>
  <c r="AO250" i="3"/>
  <c r="AG285" i="3"/>
  <c r="AI285" i="3"/>
  <c r="AK285" i="3"/>
  <c r="AF286" i="3"/>
  <c r="AH286" i="3"/>
  <c r="AJ286" i="3"/>
  <c r="AL286" i="3"/>
  <c r="AF287" i="3"/>
  <c r="AH287" i="3"/>
  <c r="AJ287" i="3"/>
  <c r="AL287" i="3"/>
  <c r="AM280" i="3"/>
  <c r="AF285" i="3"/>
  <c r="AH285" i="3"/>
  <c r="AJ285" i="3"/>
  <c r="AE286" i="3"/>
  <c r="AG286" i="3"/>
  <c r="AI286" i="3"/>
  <c r="AE287" i="3"/>
  <c r="AG287" i="3"/>
  <c r="AI287" i="3"/>
  <c r="AK287" i="3"/>
  <c r="AF288" i="3"/>
  <c r="AH288" i="3"/>
  <c r="AJ288" i="3"/>
  <c r="AL280" i="3"/>
  <c r="F280" i="3"/>
  <c r="F281" i="3" s="1"/>
  <c r="F282" i="3" s="1"/>
  <c r="F283" i="3" s="1"/>
  <c r="AC282" i="3"/>
  <c r="AQ281" i="3"/>
  <c r="AO281" i="3"/>
  <c r="AK283" i="3"/>
  <c r="AI283" i="3"/>
  <c r="AG283" i="3"/>
  <c r="AK281" i="3"/>
  <c r="AL283" i="3"/>
  <c r="AG280" i="3"/>
  <c r="AI280" i="3"/>
  <c r="AK280" i="3"/>
  <c r="AF281" i="3"/>
  <c r="AH281" i="3"/>
  <c r="AJ281" i="3"/>
  <c r="AL281" i="3"/>
  <c r="AF282" i="3"/>
  <c r="AH282" i="3"/>
  <c r="AJ282" i="3"/>
  <c r="AL282" i="3"/>
  <c r="AM275" i="3"/>
  <c r="AF280" i="3"/>
  <c r="AH280" i="3"/>
  <c r="AJ280" i="3"/>
  <c r="AE281" i="3"/>
  <c r="AG281" i="3"/>
  <c r="AI281" i="3"/>
  <c r="AE282" i="3"/>
  <c r="AG282" i="3"/>
  <c r="AI282" i="3"/>
  <c r="AK282" i="3"/>
  <c r="AF283" i="3"/>
  <c r="AH283" i="3"/>
  <c r="AJ283" i="3"/>
  <c r="AL275" i="3"/>
  <c r="F275" i="3"/>
  <c r="F276" i="3" s="1"/>
  <c r="F277" i="3" s="1"/>
  <c r="F278" i="3" s="1"/>
  <c r="AC277" i="3"/>
  <c r="AQ276" i="3"/>
  <c r="AO276" i="3"/>
  <c r="AK278" i="3"/>
  <c r="AI278" i="3"/>
  <c r="AG278" i="3"/>
  <c r="AK276" i="3"/>
  <c r="AL278" i="3"/>
  <c r="AG275" i="3"/>
  <c r="AI275" i="3"/>
  <c r="AK275" i="3"/>
  <c r="AF276" i="3"/>
  <c r="AH276" i="3"/>
  <c r="AJ276" i="3"/>
  <c r="AL276" i="3"/>
  <c r="AF277" i="3"/>
  <c r="AH277" i="3"/>
  <c r="AJ277" i="3"/>
  <c r="AL277" i="3"/>
  <c r="AM270" i="3"/>
  <c r="AF275" i="3"/>
  <c r="AH275" i="3"/>
  <c r="AJ275" i="3"/>
  <c r="AE276" i="3"/>
  <c r="AG276" i="3"/>
  <c r="AI276" i="3"/>
  <c r="AE277" i="3"/>
  <c r="AG277" i="3"/>
  <c r="AI277" i="3"/>
  <c r="AK277" i="3"/>
  <c r="AF278" i="3"/>
  <c r="AH278" i="3"/>
  <c r="AJ278" i="3"/>
  <c r="AL270" i="3"/>
  <c r="F270" i="3"/>
  <c r="F271" i="3" s="1"/>
  <c r="F272" i="3" s="1"/>
  <c r="F273" i="3" s="1"/>
  <c r="AC272" i="3"/>
  <c r="AQ271" i="3"/>
  <c r="AO271" i="3"/>
  <c r="AK273" i="3"/>
  <c r="AI273" i="3"/>
  <c r="AG273" i="3"/>
  <c r="AK271" i="3"/>
  <c r="AL273" i="3"/>
  <c r="AG270" i="3"/>
  <c r="AI270" i="3"/>
  <c r="AK270" i="3"/>
  <c r="AF271" i="3"/>
  <c r="AH271" i="3"/>
  <c r="AJ271" i="3"/>
  <c r="AL271" i="3"/>
  <c r="AF272" i="3"/>
  <c r="AH272" i="3"/>
  <c r="AJ272" i="3"/>
  <c r="AL272" i="3"/>
  <c r="AM265" i="3"/>
  <c r="AF270" i="3"/>
  <c r="AH270" i="3"/>
  <c r="AJ270" i="3"/>
  <c r="AE271" i="3"/>
  <c r="AG271" i="3"/>
  <c r="AI271" i="3"/>
  <c r="AE272" i="3"/>
  <c r="AG272" i="3"/>
  <c r="AI272" i="3"/>
  <c r="AK272" i="3"/>
  <c r="AF273" i="3"/>
  <c r="AH273" i="3"/>
  <c r="AJ273" i="3"/>
  <c r="AL265" i="3"/>
  <c r="F265" i="3"/>
  <c r="F266" i="3" s="1"/>
  <c r="F267" i="3" s="1"/>
  <c r="F268" i="3" s="1"/>
  <c r="AC267" i="3"/>
  <c r="AQ266" i="3"/>
  <c r="AO266" i="3"/>
  <c r="AK268" i="3"/>
  <c r="AI268" i="3"/>
  <c r="AG268" i="3"/>
  <c r="AK266" i="3"/>
  <c r="AL268" i="3"/>
  <c r="AG265" i="3"/>
  <c r="AI265" i="3"/>
  <c r="AK265" i="3"/>
  <c r="AF266" i="3"/>
  <c r="AH266" i="3"/>
  <c r="AJ266" i="3"/>
  <c r="AL266" i="3"/>
  <c r="AF267" i="3"/>
  <c r="AH267" i="3"/>
  <c r="AJ267" i="3"/>
  <c r="AL267" i="3"/>
  <c r="AM260" i="3"/>
  <c r="AF265" i="3"/>
  <c r="AH265" i="3"/>
  <c r="AJ265" i="3"/>
  <c r="AE266" i="3"/>
  <c r="AG266" i="3"/>
  <c r="AI266" i="3"/>
  <c r="AE267" i="3"/>
  <c r="AG267" i="3"/>
  <c r="AI267" i="3"/>
  <c r="AK267" i="3"/>
  <c r="AF268" i="3"/>
  <c r="AH268" i="3"/>
  <c r="AJ268" i="3"/>
  <c r="AL260" i="3"/>
  <c r="F260" i="3"/>
  <c r="F261" i="3" s="1"/>
  <c r="F262" i="3" s="1"/>
  <c r="F263" i="3" s="1"/>
  <c r="AC262" i="3"/>
  <c r="AQ261" i="3"/>
  <c r="AO261" i="3"/>
  <c r="AK263" i="3"/>
  <c r="AI263" i="3"/>
  <c r="AG263" i="3"/>
  <c r="AK261" i="3"/>
  <c r="AL263" i="3"/>
  <c r="AG260" i="3"/>
  <c r="AI260" i="3"/>
  <c r="AK260" i="3"/>
  <c r="AF261" i="3"/>
  <c r="AH261" i="3"/>
  <c r="AJ261" i="3"/>
  <c r="AL261" i="3"/>
  <c r="AF262" i="3"/>
  <c r="AH262" i="3"/>
  <c r="AJ262" i="3"/>
  <c r="AL262" i="3"/>
  <c r="AM255" i="3"/>
  <c r="AF260" i="3"/>
  <c r="AH260" i="3"/>
  <c r="AJ260" i="3"/>
  <c r="AE261" i="3"/>
  <c r="AG261" i="3"/>
  <c r="AI261" i="3"/>
  <c r="AE262" i="3"/>
  <c r="AG262" i="3"/>
  <c r="AI262" i="3"/>
  <c r="AK262" i="3"/>
  <c r="AF263" i="3"/>
  <c r="AH263" i="3"/>
  <c r="AJ263" i="3"/>
  <c r="AL255" i="3"/>
  <c r="F255" i="3"/>
  <c r="F256" i="3" s="1"/>
  <c r="F257" i="3" s="1"/>
  <c r="F258" i="3" s="1"/>
  <c r="AC257" i="3"/>
  <c r="AQ256" i="3"/>
  <c r="AO256" i="3"/>
  <c r="AK258" i="3"/>
  <c r="AI258" i="3"/>
  <c r="AG258" i="3"/>
  <c r="AK256" i="3"/>
  <c r="AL258" i="3"/>
  <c r="AG255" i="3"/>
  <c r="AI255" i="3"/>
  <c r="AK255" i="3"/>
  <c r="AF256" i="3"/>
  <c r="AH256" i="3"/>
  <c r="AJ256" i="3"/>
  <c r="AL256" i="3"/>
  <c r="AF257" i="3"/>
  <c r="AH257" i="3"/>
  <c r="AJ257" i="3"/>
  <c r="AL257" i="3"/>
  <c r="AM250" i="3"/>
  <c r="AF255" i="3"/>
  <c r="AH255" i="3"/>
  <c r="AJ255" i="3"/>
  <c r="AE256" i="3"/>
  <c r="AG256" i="3"/>
  <c r="AI256" i="3"/>
  <c r="AE257" i="3"/>
  <c r="AG257" i="3"/>
  <c r="AI257" i="3"/>
  <c r="AK257" i="3"/>
  <c r="AF258" i="3"/>
  <c r="AH258" i="3"/>
  <c r="AJ258" i="3"/>
  <c r="AL250" i="3"/>
  <c r="F250" i="3"/>
  <c r="F251" i="3" s="1"/>
  <c r="F252" i="3" s="1"/>
  <c r="F253" i="3" s="1"/>
  <c r="AC252" i="3"/>
  <c r="AQ251" i="3"/>
  <c r="AO251" i="3"/>
  <c r="AK253" i="3"/>
  <c r="AI253" i="3"/>
  <c r="AG253" i="3"/>
  <c r="AK251" i="3"/>
  <c r="AL253" i="3"/>
  <c r="AG250" i="3"/>
  <c r="AI250" i="3"/>
  <c r="AK250" i="3"/>
  <c r="AF251" i="3"/>
  <c r="AH251" i="3"/>
  <c r="AJ251" i="3"/>
  <c r="AL251" i="3"/>
  <c r="AF252" i="3"/>
  <c r="AH252" i="3"/>
  <c r="AJ252" i="3"/>
  <c r="AL252" i="3"/>
  <c r="AM245" i="3"/>
  <c r="AF250" i="3"/>
  <c r="AH250" i="3"/>
  <c r="AJ250" i="3"/>
  <c r="AE251" i="3"/>
  <c r="AG251" i="3"/>
  <c r="AI251" i="3"/>
  <c r="AE252" i="3"/>
  <c r="AG252" i="3"/>
  <c r="AI252" i="3"/>
  <c r="AK252" i="3"/>
  <c r="AF253" i="3"/>
  <c r="AH253" i="3"/>
  <c r="AJ253" i="3"/>
  <c r="AL245" i="3"/>
  <c r="F245" i="3"/>
  <c r="F246" i="3" s="1"/>
  <c r="F247" i="3" s="1"/>
  <c r="F248" i="3" s="1"/>
  <c r="AC247" i="3"/>
  <c r="AQ246" i="3"/>
  <c r="AO246" i="3"/>
  <c r="AK248" i="3"/>
  <c r="AI248" i="3"/>
  <c r="AG248" i="3"/>
  <c r="AK246" i="3"/>
  <c r="AL248" i="3"/>
  <c r="AG245" i="3"/>
  <c r="AI245" i="3"/>
  <c r="AK245" i="3"/>
  <c r="AF246" i="3"/>
  <c r="AH246" i="3"/>
  <c r="AJ246" i="3"/>
  <c r="AL246" i="3"/>
  <c r="AF247" i="3"/>
  <c r="AH247" i="3"/>
  <c r="AJ247" i="3"/>
  <c r="AL247" i="3"/>
  <c r="AM240" i="3"/>
  <c r="AF245" i="3"/>
  <c r="AH245" i="3"/>
  <c r="AJ245" i="3"/>
  <c r="AE246" i="3"/>
  <c r="AG246" i="3"/>
  <c r="AI246" i="3"/>
  <c r="AE247" i="3"/>
  <c r="AG247" i="3"/>
  <c r="AI247" i="3"/>
  <c r="AK247" i="3"/>
  <c r="AF248" i="3"/>
  <c r="AH248" i="3"/>
  <c r="AJ248" i="3"/>
  <c r="AL240" i="3"/>
  <c r="F240" i="3"/>
  <c r="F241" i="3" s="1"/>
  <c r="F242" i="3" s="1"/>
  <c r="F243" i="3" s="1"/>
  <c r="AC242" i="3"/>
  <c r="AQ241" i="3"/>
  <c r="AO241" i="3"/>
  <c r="AK243" i="3"/>
  <c r="AI243" i="3"/>
  <c r="AG243" i="3"/>
  <c r="AK241" i="3"/>
  <c r="AL243" i="3"/>
  <c r="AG240" i="3"/>
  <c r="AI240" i="3"/>
  <c r="AK240" i="3"/>
  <c r="AF241" i="3"/>
  <c r="AH241" i="3"/>
  <c r="AJ241" i="3"/>
  <c r="AL241" i="3"/>
  <c r="AF242" i="3"/>
  <c r="AH242" i="3"/>
  <c r="AJ242" i="3"/>
  <c r="AL242" i="3"/>
  <c r="AM235" i="3"/>
  <c r="AF240" i="3"/>
  <c r="AH240" i="3"/>
  <c r="AJ240" i="3"/>
  <c r="AE241" i="3"/>
  <c r="AG241" i="3"/>
  <c r="AI241" i="3"/>
  <c r="AE242" i="3"/>
  <c r="AG242" i="3"/>
  <c r="AI242" i="3"/>
  <c r="AK242" i="3"/>
  <c r="AF243" i="3"/>
  <c r="AH243" i="3"/>
  <c r="AJ243" i="3"/>
  <c r="AL235" i="3"/>
  <c r="F235" i="3"/>
  <c r="F236" i="3" s="1"/>
  <c r="F237" i="3" s="1"/>
  <c r="F238" i="3" s="1"/>
  <c r="AC237" i="3"/>
  <c r="AQ236" i="3"/>
  <c r="AO236" i="3"/>
  <c r="AK238" i="3"/>
  <c r="AI238" i="3"/>
  <c r="AG238" i="3"/>
  <c r="AK236" i="3"/>
  <c r="AL238" i="3"/>
  <c r="AG235" i="3"/>
  <c r="AI235" i="3"/>
  <c r="AK235" i="3"/>
  <c r="AF236" i="3"/>
  <c r="AH236" i="3"/>
  <c r="AJ236" i="3"/>
  <c r="AL236" i="3"/>
  <c r="AF237" i="3"/>
  <c r="AH237" i="3"/>
  <c r="AJ237" i="3"/>
  <c r="AL237" i="3"/>
  <c r="AM230" i="3"/>
  <c r="AF235" i="3"/>
  <c r="AH235" i="3"/>
  <c r="AJ235" i="3"/>
  <c r="AE236" i="3"/>
  <c r="AG236" i="3"/>
  <c r="AI236" i="3"/>
  <c r="AE237" i="3"/>
  <c r="AG237" i="3"/>
  <c r="AI237" i="3"/>
  <c r="AK237" i="3"/>
  <c r="AF238" i="3"/>
  <c r="AH238" i="3"/>
  <c r="AJ238" i="3"/>
  <c r="AL230" i="3"/>
  <c r="F230" i="3"/>
  <c r="F231" i="3" s="1"/>
  <c r="F232" i="3" s="1"/>
  <c r="F233" i="3" s="1"/>
  <c r="AC232" i="3"/>
  <c r="AQ231" i="3"/>
  <c r="AO231" i="3"/>
  <c r="AK233" i="3"/>
  <c r="AI233" i="3"/>
  <c r="AG233" i="3"/>
  <c r="AK231" i="3"/>
  <c r="AL233" i="3"/>
  <c r="AG230" i="3"/>
  <c r="AI230" i="3"/>
  <c r="AK230" i="3"/>
  <c r="AF231" i="3"/>
  <c r="AH231" i="3"/>
  <c r="AJ231" i="3"/>
  <c r="AL231" i="3"/>
  <c r="AF232" i="3"/>
  <c r="AH232" i="3"/>
  <c r="AJ232" i="3"/>
  <c r="AL232" i="3"/>
  <c r="AM225" i="3"/>
  <c r="AF230" i="3"/>
  <c r="AH230" i="3"/>
  <c r="AJ230" i="3"/>
  <c r="AE231" i="3"/>
  <c r="AG231" i="3"/>
  <c r="AI231" i="3"/>
  <c r="AE232" i="3"/>
  <c r="AG232" i="3"/>
  <c r="AI232" i="3"/>
  <c r="AK232" i="3"/>
  <c r="AF233" i="3"/>
  <c r="AH233" i="3"/>
  <c r="AJ233" i="3"/>
  <c r="AL225" i="3"/>
  <c r="F225" i="3"/>
  <c r="F226" i="3" s="1"/>
  <c r="F227" i="3" s="1"/>
  <c r="F228" i="3" s="1"/>
  <c r="AC227" i="3"/>
  <c r="AQ226" i="3"/>
  <c r="AO226" i="3"/>
  <c r="AK228" i="3"/>
  <c r="AI228" i="3"/>
  <c r="AG228" i="3"/>
  <c r="AK226" i="3"/>
  <c r="AL228" i="3"/>
  <c r="AG225" i="3"/>
  <c r="AI225" i="3"/>
  <c r="AK225" i="3"/>
  <c r="AF226" i="3"/>
  <c r="AH226" i="3"/>
  <c r="AJ226" i="3"/>
  <c r="AL226" i="3"/>
  <c r="AF227" i="3"/>
  <c r="AH227" i="3"/>
  <c r="AJ227" i="3"/>
  <c r="AL227" i="3"/>
  <c r="AM220" i="3"/>
  <c r="AF225" i="3"/>
  <c r="AH225" i="3"/>
  <c r="AJ225" i="3"/>
  <c r="AE226" i="3"/>
  <c r="AG226" i="3"/>
  <c r="AI226" i="3"/>
  <c r="AE227" i="3"/>
  <c r="AG227" i="3"/>
  <c r="AI227" i="3"/>
  <c r="AK227" i="3"/>
  <c r="AF228" i="3"/>
  <c r="AH228" i="3"/>
  <c r="AJ228" i="3"/>
  <c r="AL220" i="3"/>
  <c r="F220" i="3"/>
  <c r="F221" i="3" s="1"/>
  <c r="F222" i="3" s="1"/>
  <c r="F223" i="3" s="1"/>
  <c r="AC222" i="3"/>
  <c r="AQ221" i="3"/>
  <c r="AO221" i="3"/>
  <c r="AK223" i="3"/>
  <c r="AI223" i="3"/>
  <c r="AG223" i="3"/>
  <c r="AK221" i="3"/>
  <c r="AL223" i="3"/>
  <c r="AG220" i="3"/>
  <c r="AI220" i="3"/>
  <c r="AK220" i="3"/>
  <c r="AF221" i="3"/>
  <c r="AH221" i="3"/>
  <c r="AJ221" i="3"/>
  <c r="AL221" i="3"/>
  <c r="AF222" i="3"/>
  <c r="AH222" i="3"/>
  <c r="AJ222" i="3"/>
  <c r="AL222" i="3"/>
  <c r="AM215" i="3"/>
  <c r="AF220" i="3"/>
  <c r="AH220" i="3"/>
  <c r="AJ220" i="3"/>
  <c r="AE221" i="3"/>
  <c r="AG221" i="3"/>
  <c r="AI221" i="3"/>
  <c r="AE222" i="3"/>
  <c r="AG222" i="3"/>
  <c r="AI222" i="3"/>
  <c r="AK222" i="3"/>
  <c r="AF223" i="3"/>
  <c r="AH223" i="3"/>
  <c r="AJ223" i="3"/>
  <c r="AL215" i="3"/>
  <c r="F215" i="3"/>
  <c r="F216" i="3" s="1"/>
  <c r="F217" i="3" s="1"/>
  <c r="F218" i="3" s="1"/>
  <c r="AC217" i="3"/>
  <c r="AQ216" i="3"/>
  <c r="AO216" i="3"/>
  <c r="AK218" i="3"/>
  <c r="AI218" i="3"/>
  <c r="AG218" i="3"/>
  <c r="AK216" i="3"/>
  <c r="AL218" i="3"/>
  <c r="AG215" i="3"/>
  <c r="AI215" i="3"/>
  <c r="AK215" i="3"/>
  <c r="AF216" i="3"/>
  <c r="AH216" i="3"/>
  <c r="AJ216" i="3"/>
  <c r="AL216" i="3"/>
  <c r="AF217" i="3"/>
  <c r="AH217" i="3"/>
  <c r="AJ217" i="3"/>
  <c r="AL217" i="3"/>
  <c r="AM210" i="3"/>
  <c r="AF215" i="3"/>
  <c r="AH215" i="3"/>
  <c r="AJ215" i="3"/>
  <c r="AE216" i="3"/>
  <c r="AG216" i="3"/>
  <c r="AI216" i="3"/>
  <c r="AE217" i="3"/>
  <c r="AG217" i="3"/>
  <c r="AI217" i="3"/>
  <c r="AK217" i="3"/>
  <c r="AF218" i="3"/>
  <c r="AH218" i="3"/>
  <c r="AJ218" i="3"/>
  <c r="AL210" i="3"/>
  <c r="F210" i="3"/>
  <c r="F211" i="3" s="1"/>
  <c r="F212" i="3" s="1"/>
  <c r="F213" i="3" s="1"/>
  <c r="AC212" i="3"/>
  <c r="AQ211" i="3"/>
  <c r="AO211" i="3"/>
  <c r="AK213" i="3"/>
  <c r="AI213" i="3"/>
  <c r="AG213" i="3"/>
  <c r="AK211" i="3"/>
  <c r="AL213" i="3"/>
  <c r="AG210" i="3"/>
  <c r="AI210" i="3"/>
  <c r="AK210" i="3"/>
  <c r="AF211" i="3"/>
  <c r="AH211" i="3"/>
  <c r="AJ211" i="3"/>
  <c r="AL211" i="3"/>
  <c r="AF212" i="3"/>
  <c r="AH212" i="3"/>
  <c r="AJ212" i="3"/>
  <c r="AL212" i="3"/>
  <c r="AM205" i="3"/>
  <c r="AF210" i="3"/>
  <c r="AH210" i="3"/>
  <c r="AJ210" i="3"/>
  <c r="AE211" i="3"/>
  <c r="AG211" i="3"/>
  <c r="AI211" i="3"/>
  <c r="AE212" i="3"/>
  <c r="AG212" i="3"/>
  <c r="AI212" i="3"/>
  <c r="AK212" i="3"/>
  <c r="AF213" i="3"/>
  <c r="AH213" i="3"/>
  <c r="AJ213" i="3"/>
  <c r="AL205" i="3"/>
  <c r="F205" i="3"/>
  <c r="F206" i="3" s="1"/>
  <c r="F207" i="3" s="1"/>
  <c r="F208" i="3" s="1"/>
  <c r="AC207" i="3"/>
  <c r="AE207" i="3" s="1"/>
  <c r="AQ206" i="3"/>
  <c r="AO206" i="3"/>
  <c r="AK208" i="3"/>
  <c r="AI208" i="3"/>
  <c r="AG208" i="3"/>
  <c r="AK206" i="3"/>
  <c r="AL208" i="3"/>
  <c r="AG205" i="3"/>
  <c r="AI205" i="3"/>
  <c r="AK205" i="3"/>
  <c r="AF206" i="3"/>
  <c r="AH206" i="3"/>
  <c r="AJ206" i="3"/>
  <c r="AL206" i="3"/>
  <c r="AF207" i="3"/>
  <c r="AH207" i="3"/>
  <c r="AJ207" i="3"/>
  <c r="AL207" i="3"/>
  <c r="AF205" i="3"/>
  <c r="AH205" i="3"/>
  <c r="AJ205" i="3"/>
  <c r="AE206" i="3"/>
  <c r="AG206" i="3"/>
  <c r="AI206" i="3"/>
  <c r="AG207" i="3"/>
  <c r="AI207" i="3"/>
  <c r="AK207" i="3"/>
  <c r="AF208" i="3"/>
  <c r="AH208" i="3"/>
  <c r="AJ208" i="3"/>
  <c r="AL200" i="3"/>
  <c r="AL203" i="3"/>
  <c r="AK201" i="3"/>
  <c r="AO155" i="3"/>
  <c r="E160" i="3"/>
  <c r="E161" i="3" s="1"/>
  <c r="E162" i="3" s="1"/>
  <c r="E163" i="3" s="1"/>
  <c r="AO160" i="3"/>
  <c r="E165" i="3"/>
  <c r="E166" i="3" s="1"/>
  <c r="E167" i="3" s="1"/>
  <c r="E168" i="3" s="1"/>
  <c r="AO165" i="3"/>
  <c r="E170" i="3"/>
  <c r="E171" i="3" s="1"/>
  <c r="E172" i="3" s="1"/>
  <c r="E173" i="3" s="1"/>
  <c r="AO170" i="3"/>
  <c r="E175" i="3"/>
  <c r="E176" i="3" s="1"/>
  <c r="E177" i="3" s="1"/>
  <c r="E178" i="3" s="1"/>
  <c r="AO175" i="3"/>
  <c r="AO180" i="3"/>
  <c r="AG200" i="3"/>
  <c r="AI200" i="3"/>
  <c r="AK200" i="3"/>
  <c r="AM200" i="3"/>
  <c r="AF201" i="3"/>
  <c r="AH201" i="3"/>
  <c r="AJ201" i="3"/>
  <c r="AL201" i="3"/>
  <c r="AF202" i="3"/>
  <c r="AH202" i="3"/>
  <c r="AJ202" i="3"/>
  <c r="AL202" i="3"/>
  <c r="AG203" i="3"/>
  <c r="AI203" i="3"/>
  <c r="AK203" i="3"/>
  <c r="AM203" i="3"/>
  <c r="AM195" i="3"/>
  <c r="AF200" i="3"/>
  <c r="AH200" i="3"/>
  <c r="AJ200" i="3"/>
  <c r="AG201" i="3"/>
  <c r="AI201" i="3"/>
  <c r="AG202" i="3"/>
  <c r="AI202" i="3"/>
  <c r="AK202" i="3"/>
  <c r="AF203" i="3"/>
  <c r="AH203" i="3"/>
  <c r="AJ203" i="3"/>
  <c r="AL195" i="3"/>
  <c r="F195" i="3"/>
  <c r="F196" i="3" s="1"/>
  <c r="F197" i="3" s="1"/>
  <c r="F198" i="3" s="1"/>
  <c r="AC197" i="3"/>
  <c r="AQ196" i="3"/>
  <c r="AO196" i="3"/>
  <c r="AK198" i="3"/>
  <c r="AI198" i="3"/>
  <c r="AG198" i="3"/>
  <c r="AK196" i="3"/>
  <c r="AL198" i="3"/>
  <c r="AG195" i="3"/>
  <c r="AI195" i="3"/>
  <c r="AK195" i="3"/>
  <c r="AF196" i="3"/>
  <c r="AH196" i="3"/>
  <c r="AJ196" i="3"/>
  <c r="AL196" i="3"/>
  <c r="AF197" i="3"/>
  <c r="AH197" i="3"/>
  <c r="AJ197" i="3"/>
  <c r="AL197" i="3"/>
  <c r="AM190" i="3"/>
  <c r="AF195" i="3"/>
  <c r="AH195" i="3"/>
  <c r="AJ195" i="3"/>
  <c r="AE196" i="3"/>
  <c r="AG196" i="3"/>
  <c r="AI196" i="3"/>
  <c r="AE197" i="3"/>
  <c r="AG197" i="3"/>
  <c r="AI197" i="3"/>
  <c r="AK197" i="3"/>
  <c r="AF198" i="3"/>
  <c r="AH198" i="3"/>
  <c r="AJ198" i="3"/>
  <c r="AL190" i="3"/>
  <c r="F190" i="3"/>
  <c r="F191" i="3" s="1"/>
  <c r="F192" i="3" s="1"/>
  <c r="F193" i="3" s="1"/>
  <c r="AC192" i="3"/>
  <c r="AQ191" i="3"/>
  <c r="AO191" i="3"/>
  <c r="AK193" i="3"/>
  <c r="AI193" i="3"/>
  <c r="AG193" i="3"/>
  <c r="AK191" i="3"/>
  <c r="AL193" i="3"/>
  <c r="AG190" i="3"/>
  <c r="AI190" i="3"/>
  <c r="AK190" i="3"/>
  <c r="AF191" i="3"/>
  <c r="AH191" i="3"/>
  <c r="AJ191" i="3"/>
  <c r="AL191" i="3"/>
  <c r="AF192" i="3"/>
  <c r="AH192" i="3"/>
  <c r="AJ192" i="3"/>
  <c r="AL192" i="3"/>
  <c r="AM185" i="3"/>
  <c r="AF190" i="3"/>
  <c r="AH190" i="3"/>
  <c r="AJ190" i="3"/>
  <c r="AE191" i="3"/>
  <c r="AG191" i="3"/>
  <c r="AI191" i="3"/>
  <c r="AE192" i="3"/>
  <c r="AG192" i="3"/>
  <c r="AI192" i="3"/>
  <c r="AK192" i="3"/>
  <c r="AF193" i="3"/>
  <c r="AH193" i="3"/>
  <c r="AJ193" i="3"/>
  <c r="AL185" i="3"/>
  <c r="F185" i="3"/>
  <c r="F186" i="3" s="1"/>
  <c r="F187" i="3" s="1"/>
  <c r="F188" i="3" s="1"/>
  <c r="AC187" i="3"/>
  <c r="AQ186" i="3"/>
  <c r="AO186" i="3"/>
  <c r="AK188" i="3"/>
  <c r="AI188" i="3"/>
  <c r="AG188" i="3"/>
  <c r="AK186" i="3"/>
  <c r="AL188" i="3"/>
  <c r="AG185" i="3"/>
  <c r="AI185" i="3"/>
  <c r="AK185" i="3"/>
  <c r="AF186" i="3"/>
  <c r="AH186" i="3"/>
  <c r="AJ186" i="3"/>
  <c r="AL186" i="3"/>
  <c r="AF187" i="3"/>
  <c r="AH187" i="3"/>
  <c r="AJ187" i="3"/>
  <c r="AL187" i="3"/>
  <c r="AM180" i="3"/>
  <c r="AF185" i="3"/>
  <c r="AH185" i="3"/>
  <c r="AJ185" i="3"/>
  <c r="AE186" i="3"/>
  <c r="AG186" i="3"/>
  <c r="AI186" i="3"/>
  <c r="AE187" i="3"/>
  <c r="AG187" i="3"/>
  <c r="AI187" i="3"/>
  <c r="AK187" i="3"/>
  <c r="AF188" i="3"/>
  <c r="AH188" i="3"/>
  <c r="AJ188" i="3"/>
  <c r="AL180" i="3"/>
  <c r="F180" i="3"/>
  <c r="F181" i="3" s="1"/>
  <c r="F182" i="3" s="1"/>
  <c r="F183" i="3" s="1"/>
  <c r="AC182" i="3"/>
  <c r="AQ181" i="3"/>
  <c r="AO181" i="3"/>
  <c r="AK183" i="3"/>
  <c r="AI183" i="3"/>
  <c r="AG183" i="3"/>
  <c r="AK181" i="3"/>
  <c r="AL183" i="3"/>
  <c r="AG180" i="3"/>
  <c r="AI180" i="3"/>
  <c r="AK180" i="3"/>
  <c r="AF181" i="3"/>
  <c r="AH181" i="3"/>
  <c r="AJ181" i="3"/>
  <c r="AL181" i="3"/>
  <c r="AF182" i="3"/>
  <c r="AH182" i="3"/>
  <c r="AJ182" i="3"/>
  <c r="AL182" i="3"/>
  <c r="AM175" i="3"/>
  <c r="AF180" i="3"/>
  <c r="AH180" i="3"/>
  <c r="AJ180" i="3"/>
  <c r="AE181" i="3"/>
  <c r="AG181" i="3"/>
  <c r="AI181" i="3"/>
  <c r="AE182" i="3"/>
  <c r="AG182" i="3"/>
  <c r="AI182" i="3"/>
  <c r="AK182" i="3"/>
  <c r="AF183" i="3"/>
  <c r="AH183" i="3"/>
  <c r="AJ183" i="3"/>
  <c r="AL175" i="3"/>
  <c r="F175" i="3"/>
  <c r="F176" i="3" s="1"/>
  <c r="F177" i="3" s="1"/>
  <c r="F178" i="3" s="1"/>
  <c r="AC177" i="3"/>
  <c r="AQ176" i="3"/>
  <c r="AO176" i="3"/>
  <c r="AK178" i="3"/>
  <c r="AI178" i="3"/>
  <c r="AG178" i="3"/>
  <c r="AK176" i="3"/>
  <c r="AL178" i="3"/>
  <c r="AG175" i="3"/>
  <c r="AI175" i="3"/>
  <c r="AK175" i="3"/>
  <c r="AF176" i="3"/>
  <c r="AH176" i="3"/>
  <c r="AJ176" i="3"/>
  <c r="AL176" i="3"/>
  <c r="AF177" i="3"/>
  <c r="AH177" i="3"/>
  <c r="AJ177" i="3"/>
  <c r="AL177" i="3"/>
  <c r="AM170" i="3"/>
  <c r="AF175" i="3"/>
  <c r="AH175" i="3"/>
  <c r="AJ175" i="3"/>
  <c r="AE176" i="3"/>
  <c r="AG176" i="3"/>
  <c r="AI176" i="3"/>
  <c r="AE177" i="3"/>
  <c r="AG177" i="3"/>
  <c r="AI177" i="3"/>
  <c r="AK177" i="3"/>
  <c r="AF178" i="3"/>
  <c r="AH178" i="3"/>
  <c r="AJ178" i="3"/>
  <c r="AL170" i="3"/>
  <c r="F170" i="3"/>
  <c r="F171" i="3" s="1"/>
  <c r="F172" i="3" s="1"/>
  <c r="F173" i="3" s="1"/>
  <c r="AC172" i="3"/>
  <c r="AQ171" i="3"/>
  <c r="AO171" i="3"/>
  <c r="AK173" i="3"/>
  <c r="AI173" i="3"/>
  <c r="AG173" i="3"/>
  <c r="AK171" i="3"/>
  <c r="AL173" i="3"/>
  <c r="AG170" i="3"/>
  <c r="AI170" i="3"/>
  <c r="AK170" i="3"/>
  <c r="AF171" i="3"/>
  <c r="AH171" i="3"/>
  <c r="AJ171" i="3"/>
  <c r="AL171" i="3"/>
  <c r="AF172" i="3"/>
  <c r="AH172" i="3"/>
  <c r="AJ172" i="3"/>
  <c r="AL172" i="3"/>
  <c r="AM165" i="3"/>
  <c r="AF170" i="3"/>
  <c r="AH170" i="3"/>
  <c r="AJ170" i="3"/>
  <c r="AE171" i="3"/>
  <c r="AG171" i="3"/>
  <c r="AI171" i="3"/>
  <c r="AE172" i="3"/>
  <c r="AG172" i="3"/>
  <c r="AI172" i="3"/>
  <c r="AK172" i="3"/>
  <c r="AF173" i="3"/>
  <c r="AH173" i="3"/>
  <c r="AJ173" i="3"/>
  <c r="AL165" i="3"/>
  <c r="F165" i="3"/>
  <c r="F166" i="3" s="1"/>
  <c r="F167" i="3" s="1"/>
  <c r="F168" i="3" s="1"/>
  <c r="AC167" i="3"/>
  <c r="AQ166" i="3"/>
  <c r="AO166" i="3"/>
  <c r="AK168" i="3"/>
  <c r="AI168" i="3"/>
  <c r="AG168" i="3"/>
  <c r="AK166" i="3"/>
  <c r="AL168" i="3"/>
  <c r="AG165" i="3"/>
  <c r="AI165" i="3"/>
  <c r="AK165" i="3"/>
  <c r="AF166" i="3"/>
  <c r="AH166" i="3"/>
  <c r="AJ166" i="3"/>
  <c r="AL166" i="3"/>
  <c r="AF167" i="3"/>
  <c r="AH167" i="3"/>
  <c r="AJ167" i="3"/>
  <c r="AL167" i="3"/>
  <c r="AM160" i="3"/>
  <c r="AF165" i="3"/>
  <c r="AH165" i="3"/>
  <c r="AJ165" i="3"/>
  <c r="AE166" i="3"/>
  <c r="AG166" i="3"/>
  <c r="AI166" i="3"/>
  <c r="AE167" i="3"/>
  <c r="AG167" i="3"/>
  <c r="AI167" i="3"/>
  <c r="AK167" i="3"/>
  <c r="AF168" i="3"/>
  <c r="AH168" i="3"/>
  <c r="AJ168" i="3"/>
  <c r="F110" i="3"/>
  <c r="F111" i="3" s="1"/>
  <c r="F112" i="3" s="1"/>
  <c r="F113" i="3" s="1"/>
  <c r="AC110" i="3"/>
  <c r="AC111" i="3" s="1"/>
  <c r="AQ111" i="3" s="1"/>
  <c r="AL160" i="3"/>
  <c r="F160" i="3"/>
  <c r="F161" i="3" s="1"/>
  <c r="F162" i="3" s="1"/>
  <c r="F163" i="3" s="1"/>
  <c r="AC162" i="3"/>
  <c r="AQ161" i="3"/>
  <c r="AO161" i="3"/>
  <c r="AK163" i="3"/>
  <c r="AI163" i="3"/>
  <c r="AG163" i="3"/>
  <c r="AK161" i="3"/>
  <c r="AL163" i="3"/>
  <c r="AG160" i="3"/>
  <c r="AI160" i="3"/>
  <c r="AK160" i="3"/>
  <c r="AF161" i="3"/>
  <c r="AH161" i="3"/>
  <c r="AJ161" i="3"/>
  <c r="AL161" i="3"/>
  <c r="AF162" i="3"/>
  <c r="AH162" i="3"/>
  <c r="AJ162" i="3"/>
  <c r="AL162" i="3"/>
  <c r="AO110" i="3"/>
  <c r="E135" i="3"/>
  <c r="E136" i="3" s="1"/>
  <c r="E137" i="3" s="1"/>
  <c r="E138" i="3" s="1"/>
  <c r="AO135" i="3"/>
  <c r="E140" i="3"/>
  <c r="E141" i="3" s="1"/>
  <c r="E142" i="3" s="1"/>
  <c r="E143" i="3" s="1"/>
  <c r="AO140" i="3"/>
  <c r="E145" i="3"/>
  <c r="E146" i="3" s="1"/>
  <c r="E147" i="3" s="1"/>
  <c r="E148" i="3" s="1"/>
  <c r="AO145" i="3"/>
  <c r="E150" i="3"/>
  <c r="E151" i="3" s="1"/>
  <c r="E152" i="3" s="1"/>
  <c r="E153" i="3" s="1"/>
  <c r="AO150" i="3"/>
  <c r="AM155" i="3"/>
  <c r="AF160" i="3"/>
  <c r="AH160" i="3"/>
  <c r="AJ160" i="3"/>
  <c r="AE161" i="3"/>
  <c r="AG161" i="3"/>
  <c r="AI161" i="3"/>
  <c r="AG162" i="3"/>
  <c r="AI162" i="3"/>
  <c r="AK162" i="3"/>
  <c r="AF163" i="3"/>
  <c r="AH163" i="3"/>
  <c r="AJ163" i="3"/>
  <c r="E155" i="3"/>
  <c r="E156" i="3" s="1"/>
  <c r="E157" i="3" s="1"/>
  <c r="E158" i="3" s="1"/>
  <c r="E100" i="3"/>
  <c r="E101" i="3" s="1"/>
  <c r="E102" i="3" s="1"/>
  <c r="E103" i="3" s="1"/>
  <c r="AD100" i="3"/>
  <c r="AD101" i="3" s="1"/>
  <c r="AD102" i="3" s="1"/>
  <c r="AD103" i="3" s="1"/>
  <c r="AL103" i="3" s="1"/>
  <c r="AL155" i="3"/>
  <c r="F155" i="3"/>
  <c r="F156" i="3" s="1"/>
  <c r="F157" i="3" s="1"/>
  <c r="F158" i="3" s="1"/>
  <c r="AC157" i="3"/>
  <c r="AQ156" i="3"/>
  <c r="AO156" i="3"/>
  <c r="AK158" i="3"/>
  <c r="AI158" i="3"/>
  <c r="AG158" i="3"/>
  <c r="AK156" i="3"/>
  <c r="AL158" i="3"/>
  <c r="AO100" i="3"/>
  <c r="E105" i="3"/>
  <c r="E106" i="3" s="1"/>
  <c r="E107" i="3" s="1"/>
  <c r="E108" i="3" s="1"/>
  <c r="AO105" i="3"/>
  <c r="E115" i="3"/>
  <c r="E116" i="3" s="1"/>
  <c r="E117" i="3" s="1"/>
  <c r="E118" i="3" s="1"/>
  <c r="AO115" i="3"/>
  <c r="E120" i="3"/>
  <c r="E121" i="3" s="1"/>
  <c r="E122" i="3" s="1"/>
  <c r="E123" i="3" s="1"/>
  <c r="AO120" i="3"/>
  <c r="AO125" i="3"/>
  <c r="AO130" i="3"/>
  <c r="AG155" i="3"/>
  <c r="AI155" i="3"/>
  <c r="AK155" i="3"/>
  <c r="AF156" i="3"/>
  <c r="AH156" i="3"/>
  <c r="AJ156" i="3"/>
  <c r="AL156" i="3"/>
  <c r="AF157" i="3"/>
  <c r="AH157" i="3"/>
  <c r="AJ157" i="3"/>
  <c r="AL157" i="3"/>
  <c r="AM150" i="3"/>
  <c r="AF155" i="3"/>
  <c r="AH155" i="3"/>
  <c r="AJ155" i="3"/>
  <c r="AE156" i="3"/>
  <c r="AG156" i="3"/>
  <c r="AI156" i="3"/>
  <c r="AG157" i="3"/>
  <c r="AI157" i="3"/>
  <c r="AK157" i="3"/>
  <c r="AF158" i="3"/>
  <c r="AH158" i="3"/>
  <c r="AJ158" i="3"/>
  <c r="AL150" i="3"/>
  <c r="F150" i="3"/>
  <c r="F151" i="3" s="1"/>
  <c r="F152" i="3" s="1"/>
  <c r="F153" i="3" s="1"/>
  <c r="AC152" i="3"/>
  <c r="AQ151" i="3"/>
  <c r="AO151" i="3"/>
  <c r="AK153" i="3"/>
  <c r="AI153" i="3"/>
  <c r="AG153" i="3"/>
  <c r="AK151" i="3"/>
  <c r="AL153" i="3"/>
  <c r="AG150" i="3"/>
  <c r="AI150" i="3"/>
  <c r="AK150" i="3"/>
  <c r="AF151" i="3"/>
  <c r="AH151" i="3"/>
  <c r="AJ151" i="3"/>
  <c r="AL151" i="3"/>
  <c r="AF152" i="3"/>
  <c r="AH152" i="3"/>
  <c r="AJ152" i="3"/>
  <c r="AL152" i="3"/>
  <c r="AM145" i="3"/>
  <c r="AF150" i="3"/>
  <c r="AH150" i="3"/>
  <c r="AJ150" i="3"/>
  <c r="AE151" i="3"/>
  <c r="AG151" i="3"/>
  <c r="AI151" i="3"/>
  <c r="AE152" i="3"/>
  <c r="AG152" i="3"/>
  <c r="AI152" i="3"/>
  <c r="AK152" i="3"/>
  <c r="AF153" i="3"/>
  <c r="AH153" i="3"/>
  <c r="AJ153" i="3"/>
  <c r="AL145" i="3"/>
  <c r="F145" i="3"/>
  <c r="F146" i="3" s="1"/>
  <c r="F147" i="3" s="1"/>
  <c r="F148" i="3" s="1"/>
  <c r="AC147" i="3"/>
  <c r="AQ146" i="3"/>
  <c r="AO146" i="3"/>
  <c r="AK148" i="3"/>
  <c r="AI148" i="3"/>
  <c r="AG148" i="3"/>
  <c r="AK146" i="3"/>
  <c r="AL148" i="3"/>
  <c r="AG145" i="3"/>
  <c r="AI145" i="3"/>
  <c r="AK145" i="3"/>
  <c r="AF146" i="3"/>
  <c r="AH146" i="3"/>
  <c r="AJ146" i="3"/>
  <c r="AL146" i="3"/>
  <c r="AF147" i="3"/>
  <c r="AH147" i="3"/>
  <c r="AJ147" i="3"/>
  <c r="AL147" i="3"/>
  <c r="AM140" i="3"/>
  <c r="AF145" i="3"/>
  <c r="AH145" i="3"/>
  <c r="AJ145" i="3"/>
  <c r="AE146" i="3"/>
  <c r="AG146" i="3"/>
  <c r="AI146" i="3"/>
  <c r="AE147" i="3"/>
  <c r="AG147" i="3"/>
  <c r="AI147" i="3"/>
  <c r="AK147" i="3"/>
  <c r="AF148" i="3"/>
  <c r="AH148" i="3"/>
  <c r="AJ148" i="3"/>
  <c r="AL140" i="3"/>
  <c r="F140" i="3"/>
  <c r="F141" i="3" s="1"/>
  <c r="F142" i="3" s="1"/>
  <c r="F143" i="3" s="1"/>
  <c r="AC142" i="3"/>
  <c r="AE142" i="3" s="1"/>
  <c r="AQ141" i="3"/>
  <c r="AO141" i="3"/>
  <c r="AK143" i="3"/>
  <c r="AI143" i="3"/>
  <c r="AG143" i="3"/>
  <c r="AK141" i="3"/>
  <c r="AL143" i="3"/>
  <c r="AG140" i="3"/>
  <c r="AI140" i="3"/>
  <c r="AK140" i="3"/>
  <c r="AF141" i="3"/>
  <c r="AH141" i="3"/>
  <c r="AJ141" i="3"/>
  <c r="AL141" i="3"/>
  <c r="AF142" i="3"/>
  <c r="AH142" i="3"/>
  <c r="AJ142" i="3"/>
  <c r="AL142" i="3"/>
  <c r="AM135" i="3"/>
  <c r="AF140" i="3"/>
  <c r="AH140" i="3"/>
  <c r="AJ140" i="3"/>
  <c r="AE141" i="3"/>
  <c r="AG141" i="3"/>
  <c r="AI141" i="3"/>
  <c r="AG142" i="3"/>
  <c r="AI142" i="3"/>
  <c r="AK142" i="3"/>
  <c r="AF143" i="3"/>
  <c r="AH143" i="3"/>
  <c r="AJ143" i="3"/>
  <c r="AL135" i="3"/>
  <c r="F135" i="3"/>
  <c r="F136" i="3" s="1"/>
  <c r="F137" i="3" s="1"/>
  <c r="F138" i="3" s="1"/>
  <c r="AC137" i="3"/>
  <c r="AQ136" i="3"/>
  <c r="AO136" i="3"/>
  <c r="AK138" i="3"/>
  <c r="AI138" i="3"/>
  <c r="AG138" i="3"/>
  <c r="AK136" i="3"/>
  <c r="AL138" i="3"/>
  <c r="AG135" i="3"/>
  <c r="AI135" i="3"/>
  <c r="AK135" i="3"/>
  <c r="AF136" i="3"/>
  <c r="AH136" i="3"/>
  <c r="AJ136" i="3"/>
  <c r="AL136" i="3"/>
  <c r="AF137" i="3"/>
  <c r="AH137" i="3"/>
  <c r="AJ137" i="3"/>
  <c r="AL137" i="3"/>
  <c r="AM130" i="3"/>
  <c r="AF135" i="3"/>
  <c r="AH135" i="3"/>
  <c r="AJ135" i="3"/>
  <c r="AE136" i="3"/>
  <c r="AG136" i="3"/>
  <c r="AI136" i="3"/>
  <c r="AE137" i="3"/>
  <c r="AG137" i="3"/>
  <c r="AI137" i="3"/>
  <c r="AK137" i="3"/>
  <c r="AF138" i="3"/>
  <c r="AH138" i="3"/>
  <c r="AJ138" i="3"/>
  <c r="AL130" i="3"/>
  <c r="F130" i="3"/>
  <c r="F131" i="3" s="1"/>
  <c r="F132" i="3" s="1"/>
  <c r="F133" i="3" s="1"/>
  <c r="AC132" i="3"/>
  <c r="AQ131" i="3"/>
  <c r="AO131" i="3"/>
  <c r="AK133" i="3"/>
  <c r="AI133" i="3"/>
  <c r="AG133" i="3"/>
  <c r="AK131" i="3"/>
  <c r="AL133" i="3"/>
  <c r="AG130" i="3"/>
  <c r="AI130" i="3"/>
  <c r="AK130" i="3"/>
  <c r="AF131" i="3"/>
  <c r="AH131" i="3"/>
  <c r="AJ131" i="3"/>
  <c r="AL131" i="3"/>
  <c r="AF132" i="3"/>
  <c r="AH132" i="3"/>
  <c r="AJ132" i="3"/>
  <c r="AL132" i="3"/>
  <c r="AM125" i="3"/>
  <c r="AF130" i="3"/>
  <c r="AH130" i="3"/>
  <c r="AJ130" i="3"/>
  <c r="AE131" i="3"/>
  <c r="AG131" i="3"/>
  <c r="AI131" i="3"/>
  <c r="AE132" i="3"/>
  <c r="AG132" i="3"/>
  <c r="AI132" i="3"/>
  <c r="AK132" i="3"/>
  <c r="AF133" i="3"/>
  <c r="AH133" i="3"/>
  <c r="AJ133" i="3"/>
  <c r="AL125" i="3"/>
  <c r="F125" i="3"/>
  <c r="F126" i="3" s="1"/>
  <c r="F127" i="3" s="1"/>
  <c r="F128" i="3" s="1"/>
  <c r="AC127" i="3"/>
  <c r="AE127" i="3" s="1"/>
  <c r="AQ126" i="3"/>
  <c r="AO126" i="3"/>
  <c r="AK128" i="3"/>
  <c r="AI128" i="3"/>
  <c r="AG128" i="3"/>
  <c r="AK126" i="3"/>
  <c r="AL128" i="3"/>
  <c r="AG125" i="3"/>
  <c r="AI125" i="3"/>
  <c r="AK125" i="3"/>
  <c r="AF126" i="3"/>
  <c r="AH126" i="3"/>
  <c r="AJ126" i="3"/>
  <c r="AL126" i="3"/>
  <c r="AF127" i="3"/>
  <c r="AH127" i="3"/>
  <c r="AJ127" i="3"/>
  <c r="AL127" i="3"/>
  <c r="AM120" i="3"/>
  <c r="AF125" i="3"/>
  <c r="AH125" i="3"/>
  <c r="AJ125" i="3"/>
  <c r="AE126" i="3"/>
  <c r="AG126" i="3"/>
  <c r="AI126" i="3"/>
  <c r="AG127" i="3"/>
  <c r="AI127" i="3"/>
  <c r="AK127" i="3"/>
  <c r="AF128" i="3"/>
  <c r="AH128" i="3"/>
  <c r="AJ128" i="3"/>
  <c r="AL120" i="3"/>
  <c r="F120" i="3"/>
  <c r="F121" i="3" s="1"/>
  <c r="F122" i="3" s="1"/>
  <c r="F123" i="3" s="1"/>
  <c r="AC122" i="3"/>
  <c r="AQ121" i="3"/>
  <c r="AO121" i="3"/>
  <c r="AK123" i="3"/>
  <c r="AI123" i="3"/>
  <c r="AG123" i="3"/>
  <c r="AK121" i="3"/>
  <c r="AL123" i="3"/>
  <c r="AG120" i="3"/>
  <c r="AI120" i="3"/>
  <c r="AK120" i="3"/>
  <c r="AF121" i="3"/>
  <c r="AH121" i="3"/>
  <c r="AJ121" i="3"/>
  <c r="AL121" i="3"/>
  <c r="AF122" i="3"/>
  <c r="AH122" i="3"/>
  <c r="AJ122" i="3"/>
  <c r="AL122" i="3"/>
  <c r="AM115" i="3"/>
  <c r="AF120" i="3"/>
  <c r="AH120" i="3"/>
  <c r="AJ120" i="3"/>
  <c r="AE121" i="3"/>
  <c r="AG121" i="3"/>
  <c r="AI121" i="3"/>
  <c r="AE122" i="3"/>
  <c r="AG122" i="3"/>
  <c r="AI122" i="3"/>
  <c r="AK122" i="3"/>
  <c r="AF123" i="3"/>
  <c r="AH123" i="3"/>
  <c r="AJ123" i="3"/>
  <c r="AL115" i="3"/>
  <c r="F115" i="3"/>
  <c r="F116" i="3" s="1"/>
  <c r="F117" i="3" s="1"/>
  <c r="F118" i="3" s="1"/>
  <c r="AC117" i="3"/>
  <c r="AE117" i="3" s="1"/>
  <c r="AQ116" i="3"/>
  <c r="AO116" i="3"/>
  <c r="AK118" i="3"/>
  <c r="AI118" i="3"/>
  <c r="AG118" i="3"/>
  <c r="AK116" i="3"/>
  <c r="AL118" i="3"/>
  <c r="AG115" i="3"/>
  <c r="AI115" i="3"/>
  <c r="AK115" i="3"/>
  <c r="AF116" i="3"/>
  <c r="AH116" i="3"/>
  <c r="AJ116" i="3"/>
  <c r="AL116" i="3"/>
  <c r="AF117" i="3"/>
  <c r="AH117" i="3"/>
  <c r="AJ117" i="3"/>
  <c r="AL117" i="3"/>
  <c r="AF115" i="3"/>
  <c r="AH115" i="3"/>
  <c r="AJ115" i="3"/>
  <c r="AE116" i="3"/>
  <c r="AG116" i="3"/>
  <c r="AI116" i="3"/>
  <c r="AG117" i="3"/>
  <c r="AI117" i="3"/>
  <c r="AK117" i="3"/>
  <c r="AF118" i="3"/>
  <c r="AH118" i="3"/>
  <c r="AJ118" i="3"/>
  <c r="F95" i="3"/>
  <c r="F96" i="3" s="1"/>
  <c r="F97" i="3" s="1"/>
  <c r="F98" i="3" s="1"/>
  <c r="AC95" i="3"/>
  <c r="AC96" i="3" s="1"/>
  <c r="AQ96" i="3" s="1"/>
  <c r="AL110" i="3"/>
  <c r="AL113" i="3"/>
  <c r="AK111" i="3"/>
  <c r="AG110" i="3"/>
  <c r="AI110" i="3"/>
  <c r="AK110" i="3"/>
  <c r="AM110" i="3"/>
  <c r="AF111" i="3"/>
  <c r="AH111" i="3"/>
  <c r="AJ111" i="3"/>
  <c r="AL111" i="3"/>
  <c r="AF112" i="3"/>
  <c r="AH112" i="3"/>
  <c r="AJ112" i="3"/>
  <c r="AL112" i="3"/>
  <c r="AG113" i="3"/>
  <c r="AI113" i="3"/>
  <c r="AK113" i="3"/>
  <c r="AM113" i="3"/>
  <c r="AM105" i="3"/>
  <c r="AF110" i="3"/>
  <c r="AH110" i="3"/>
  <c r="AJ110" i="3"/>
  <c r="AG111" i="3"/>
  <c r="AI111" i="3"/>
  <c r="AG112" i="3"/>
  <c r="AI112" i="3"/>
  <c r="AK112" i="3"/>
  <c r="AF113" i="3"/>
  <c r="AH113" i="3"/>
  <c r="AJ113" i="3"/>
  <c r="AL105" i="3"/>
  <c r="F105" i="3"/>
  <c r="F106" i="3" s="1"/>
  <c r="F107" i="3" s="1"/>
  <c r="F108" i="3" s="1"/>
  <c r="AC107" i="3"/>
  <c r="AE107" i="3" s="1"/>
  <c r="AQ106" i="3"/>
  <c r="AO106" i="3"/>
  <c r="AK108" i="3"/>
  <c r="AI108" i="3"/>
  <c r="AG108" i="3"/>
  <c r="AK106" i="3"/>
  <c r="AL108" i="3"/>
  <c r="AG105" i="3"/>
  <c r="AI105" i="3"/>
  <c r="AK105" i="3"/>
  <c r="AF106" i="3"/>
  <c r="AH106" i="3"/>
  <c r="AJ106" i="3"/>
  <c r="AL106" i="3"/>
  <c r="AF107" i="3"/>
  <c r="AH107" i="3"/>
  <c r="AJ107" i="3"/>
  <c r="AL107" i="3"/>
  <c r="AF105" i="3"/>
  <c r="AH105" i="3"/>
  <c r="AJ105" i="3"/>
  <c r="AE106" i="3"/>
  <c r="AG106" i="3"/>
  <c r="AI106" i="3"/>
  <c r="AG107" i="3"/>
  <c r="AI107" i="3"/>
  <c r="AK107" i="3"/>
  <c r="AF108" i="3"/>
  <c r="AH108" i="3"/>
  <c r="AJ108" i="3"/>
  <c r="AO95" i="3"/>
  <c r="F80" i="3"/>
  <c r="F81" i="3" s="1"/>
  <c r="F82" i="3" s="1"/>
  <c r="F83" i="3" s="1"/>
  <c r="E85" i="3"/>
  <c r="E86" i="3" s="1"/>
  <c r="E87" i="3" s="1"/>
  <c r="E88" i="3" s="1"/>
  <c r="AD85" i="3"/>
  <c r="AD86" i="3" s="1"/>
  <c r="AD87" i="3" s="1"/>
  <c r="AD88" i="3" s="1"/>
  <c r="AL88" i="3" s="1"/>
  <c r="F90" i="3"/>
  <c r="F91" i="3" s="1"/>
  <c r="F92" i="3" s="1"/>
  <c r="F93" i="3" s="1"/>
  <c r="AC90" i="3"/>
  <c r="AC91" i="3" s="1"/>
  <c r="AQ91" i="3" s="1"/>
  <c r="AO90" i="3"/>
  <c r="AC102" i="3"/>
  <c r="AE102" i="3" s="1"/>
  <c r="AO80" i="3"/>
  <c r="AM100" i="3"/>
  <c r="AM103" i="3"/>
  <c r="AE101" i="3"/>
  <c r="AL95" i="3"/>
  <c r="AK96" i="3"/>
  <c r="AO85" i="3"/>
  <c r="AK98" i="3"/>
  <c r="AI98" i="3"/>
  <c r="AG98" i="3"/>
  <c r="AL98" i="3"/>
  <c r="E35" i="3"/>
  <c r="E36" i="3" s="1"/>
  <c r="E37" i="3" s="1"/>
  <c r="E38" i="3" s="1"/>
  <c r="F40" i="3"/>
  <c r="F41" i="3" s="1"/>
  <c r="F42" i="3" s="1"/>
  <c r="F43" i="3" s="1"/>
  <c r="AC40" i="3"/>
  <c r="AC41" i="3" s="1"/>
  <c r="AQ41" i="3" s="1"/>
  <c r="F45" i="3"/>
  <c r="F46" i="3" s="1"/>
  <c r="F47" i="3" s="1"/>
  <c r="F48" i="3" s="1"/>
  <c r="AC45" i="3"/>
  <c r="AC46" i="3" s="1"/>
  <c r="AC47" i="3" s="1"/>
  <c r="AE47" i="3" s="1"/>
  <c r="E75" i="3"/>
  <c r="E76" i="3" s="1"/>
  <c r="E77" i="3" s="1"/>
  <c r="E78" i="3" s="1"/>
  <c r="AO75" i="3"/>
  <c r="AG95" i="3"/>
  <c r="AI95" i="3"/>
  <c r="AK95" i="3"/>
  <c r="AM95" i="3"/>
  <c r="AF96" i="3"/>
  <c r="AH96" i="3"/>
  <c r="AJ96" i="3"/>
  <c r="AL96" i="3"/>
  <c r="AF97" i="3"/>
  <c r="AH97" i="3"/>
  <c r="AJ97" i="3"/>
  <c r="AL97" i="3"/>
  <c r="AF95" i="3"/>
  <c r="AH95" i="3"/>
  <c r="AJ95" i="3"/>
  <c r="AG96" i="3"/>
  <c r="AI96" i="3"/>
  <c r="AG97" i="3"/>
  <c r="AI97" i="3"/>
  <c r="AK97" i="3"/>
  <c r="AF98" i="3"/>
  <c r="AH98" i="3"/>
  <c r="AJ98" i="3"/>
  <c r="AL90" i="3"/>
  <c r="AL93" i="3"/>
  <c r="AK91" i="3"/>
  <c r="AG90" i="3"/>
  <c r="AI90" i="3"/>
  <c r="AK90" i="3"/>
  <c r="AM90" i="3"/>
  <c r="AF91" i="3"/>
  <c r="AH91" i="3"/>
  <c r="AJ91" i="3"/>
  <c r="AL91" i="3"/>
  <c r="AF92" i="3"/>
  <c r="AH92" i="3"/>
  <c r="AJ92" i="3"/>
  <c r="AL92" i="3"/>
  <c r="AG93" i="3"/>
  <c r="AI93" i="3"/>
  <c r="AK93" i="3"/>
  <c r="AM93" i="3"/>
  <c r="AF90" i="3"/>
  <c r="AH90" i="3"/>
  <c r="AJ90" i="3"/>
  <c r="AG91" i="3"/>
  <c r="AI91" i="3"/>
  <c r="AG92" i="3"/>
  <c r="AI92" i="3"/>
  <c r="AK92" i="3"/>
  <c r="AF93" i="3"/>
  <c r="AH93" i="3"/>
  <c r="AJ93" i="3"/>
  <c r="AD35" i="3"/>
  <c r="AD36" i="3" s="1"/>
  <c r="AD37" i="3" s="1"/>
  <c r="AD38" i="3" s="1"/>
  <c r="AG38" i="3" s="1"/>
  <c r="AO40" i="3"/>
  <c r="AO45" i="3"/>
  <c r="AC60" i="3"/>
  <c r="AC61" i="3" s="1"/>
  <c r="AQ61" i="3" s="1"/>
  <c r="F65" i="3"/>
  <c r="F66" i="3" s="1"/>
  <c r="F67" i="3" s="1"/>
  <c r="F68" i="3" s="1"/>
  <c r="AC65" i="3"/>
  <c r="AC66" i="3" s="1"/>
  <c r="AQ66" i="3" s="1"/>
  <c r="AC87" i="3"/>
  <c r="AE87" i="3" s="1"/>
  <c r="AM85" i="3"/>
  <c r="AM88" i="3"/>
  <c r="F55" i="3"/>
  <c r="F56" i="3" s="1"/>
  <c r="F57" i="3" s="1"/>
  <c r="F58" i="3" s="1"/>
  <c r="AC55" i="3"/>
  <c r="AC56" i="3" s="1"/>
  <c r="AQ56" i="3" s="1"/>
  <c r="F60" i="3"/>
  <c r="F61" i="3" s="1"/>
  <c r="F62" i="3" s="1"/>
  <c r="F63" i="3" s="1"/>
  <c r="AE86" i="3"/>
  <c r="AO55" i="3"/>
  <c r="AO60" i="3"/>
  <c r="AO65" i="3"/>
  <c r="AL80" i="3"/>
  <c r="AK81" i="3"/>
  <c r="AL83" i="3"/>
  <c r="AC82" i="3"/>
  <c r="AE82" i="3" s="1"/>
  <c r="AQ81" i="3"/>
  <c r="AO81" i="3"/>
  <c r="AO35" i="3"/>
  <c r="AO50" i="3"/>
  <c r="AO70" i="3"/>
  <c r="AG80" i="3"/>
  <c r="AI80" i="3"/>
  <c r="AK80" i="3"/>
  <c r="AM80" i="3"/>
  <c r="AF81" i="3"/>
  <c r="AH81" i="3"/>
  <c r="AJ81" i="3"/>
  <c r="AL81" i="3"/>
  <c r="AF82" i="3"/>
  <c r="AH82" i="3"/>
  <c r="AJ82" i="3"/>
  <c r="AL82" i="3"/>
  <c r="AG83" i="3"/>
  <c r="AI83" i="3"/>
  <c r="AK83" i="3"/>
  <c r="AM83" i="3"/>
  <c r="AM75" i="3"/>
  <c r="AF80" i="3"/>
  <c r="AH80" i="3"/>
  <c r="AJ80" i="3"/>
  <c r="AE81" i="3"/>
  <c r="AG81" i="3"/>
  <c r="AI81" i="3"/>
  <c r="AG82" i="3"/>
  <c r="AI82" i="3"/>
  <c r="AK82" i="3"/>
  <c r="AF83" i="3"/>
  <c r="AH83" i="3"/>
  <c r="AJ83" i="3"/>
  <c r="AL75" i="3"/>
  <c r="F75" i="3"/>
  <c r="F76" i="3" s="1"/>
  <c r="F77" i="3" s="1"/>
  <c r="F78" i="3" s="1"/>
  <c r="AC77" i="3"/>
  <c r="AQ76" i="3"/>
  <c r="AO76" i="3"/>
  <c r="AK78" i="3"/>
  <c r="AI78" i="3"/>
  <c r="AG78" i="3"/>
  <c r="AK76" i="3"/>
  <c r="AL78" i="3"/>
  <c r="AG75" i="3"/>
  <c r="AI75" i="3"/>
  <c r="AK75" i="3"/>
  <c r="AF76" i="3"/>
  <c r="AH76" i="3"/>
  <c r="AJ76" i="3"/>
  <c r="AL76" i="3"/>
  <c r="AF77" i="3"/>
  <c r="AH77" i="3"/>
  <c r="AJ77" i="3"/>
  <c r="AL77" i="3"/>
  <c r="AM70" i="3"/>
  <c r="AF75" i="3"/>
  <c r="AH75" i="3"/>
  <c r="AJ75" i="3"/>
  <c r="AE76" i="3"/>
  <c r="AG76" i="3"/>
  <c r="AI76" i="3"/>
  <c r="AE77" i="3"/>
  <c r="AG77" i="3"/>
  <c r="AI77" i="3"/>
  <c r="AK77" i="3"/>
  <c r="AF78" i="3"/>
  <c r="AH78" i="3"/>
  <c r="AJ78" i="3"/>
  <c r="AL70" i="3"/>
  <c r="F70" i="3"/>
  <c r="F71" i="3" s="1"/>
  <c r="F72" i="3" s="1"/>
  <c r="F73" i="3" s="1"/>
  <c r="AC72" i="3"/>
  <c r="AE72" i="3" s="1"/>
  <c r="AQ71" i="3"/>
  <c r="AO71" i="3"/>
  <c r="AK73" i="3"/>
  <c r="AI73" i="3"/>
  <c r="AG73" i="3"/>
  <c r="AK71" i="3"/>
  <c r="AL73" i="3"/>
  <c r="AG70" i="3"/>
  <c r="AI70" i="3"/>
  <c r="AK70" i="3"/>
  <c r="AF71" i="3"/>
  <c r="AH71" i="3"/>
  <c r="AJ71" i="3"/>
  <c r="AL71" i="3"/>
  <c r="AF72" i="3"/>
  <c r="AH72" i="3"/>
  <c r="AJ72" i="3"/>
  <c r="AL72" i="3"/>
  <c r="AF70" i="3"/>
  <c r="AH70" i="3"/>
  <c r="AJ70" i="3"/>
  <c r="AE71" i="3"/>
  <c r="AG71" i="3"/>
  <c r="AI71" i="3"/>
  <c r="AG72" i="3"/>
  <c r="AI72" i="3"/>
  <c r="AK72" i="3"/>
  <c r="AF73" i="3"/>
  <c r="AH73" i="3"/>
  <c r="AJ73" i="3"/>
  <c r="AL65" i="3"/>
  <c r="AL68" i="3"/>
  <c r="AK66" i="3"/>
  <c r="AG65" i="3"/>
  <c r="AI65" i="3"/>
  <c r="AK65" i="3"/>
  <c r="AM65" i="3"/>
  <c r="AF66" i="3"/>
  <c r="AH66" i="3"/>
  <c r="AJ66" i="3"/>
  <c r="AL66" i="3"/>
  <c r="AF67" i="3"/>
  <c r="AH67" i="3"/>
  <c r="AJ67" i="3"/>
  <c r="AL67" i="3"/>
  <c r="AG68" i="3"/>
  <c r="AI68" i="3"/>
  <c r="AK68" i="3"/>
  <c r="AM68" i="3"/>
  <c r="AF65" i="3"/>
  <c r="AH65" i="3"/>
  <c r="AJ65" i="3"/>
  <c r="AG66" i="3"/>
  <c r="AI66" i="3"/>
  <c r="AG67" i="3"/>
  <c r="AI67" i="3"/>
  <c r="AK67" i="3"/>
  <c r="AF68" i="3"/>
  <c r="AH68" i="3"/>
  <c r="AJ68" i="3"/>
  <c r="F20" i="3"/>
  <c r="F21" i="3" s="1"/>
  <c r="F22" i="3" s="1"/>
  <c r="F23" i="3" s="1"/>
  <c r="AC20" i="3"/>
  <c r="AC21" i="3" s="1"/>
  <c r="AC22" i="3" s="1"/>
  <c r="AE22" i="3" s="1"/>
  <c r="AL60" i="3"/>
  <c r="AL63" i="3"/>
  <c r="AK61" i="3"/>
  <c r="AG60" i="3"/>
  <c r="AI60" i="3"/>
  <c r="AK60" i="3"/>
  <c r="AM60" i="3"/>
  <c r="AF61" i="3"/>
  <c r="AH61" i="3"/>
  <c r="AJ61" i="3"/>
  <c r="AL61" i="3"/>
  <c r="AF62" i="3"/>
  <c r="AH62" i="3"/>
  <c r="AJ62" i="3"/>
  <c r="AL62" i="3"/>
  <c r="AG63" i="3"/>
  <c r="AI63" i="3"/>
  <c r="AK63" i="3"/>
  <c r="AM63" i="3"/>
  <c r="AD15" i="3"/>
  <c r="AD16" i="3" s="1"/>
  <c r="AD17" i="3" s="1"/>
  <c r="AD18" i="3" s="1"/>
  <c r="AL18" i="3" s="1"/>
  <c r="AF60" i="3"/>
  <c r="AH60" i="3"/>
  <c r="AJ60" i="3"/>
  <c r="AG61" i="3"/>
  <c r="AI61" i="3"/>
  <c r="AG62" i="3"/>
  <c r="AI62" i="3"/>
  <c r="AK62" i="3"/>
  <c r="AF63" i="3"/>
  <c r="AH63" i="3"/>
  <c r="AJ63" i="3"/>
  <c r="AO20" i="3"/>
  <c r="AL55" i="3"/>
  <c r="AL58" i="3"/>
  <c r="AK56" i="3"/>
  <c r="AO15" i="3"/>
  <c r="E25" i="3"/>
  <c r="E26" i="3" s="1"/>
  <c r="E27" i="3" s="1"/>
  <c r="E28" i="3" s="1"/>
  <c r="AO25" i="3"/>
  <c r="E30" i="3"/>
  <c r="E31" i="3" s="1"/>
  <c r="E32" i="3" s="1"/>
  <c r="E33" i="3" s="1"/>
  <c r="AO30" i="3"/>
  <c r="AG55" i="3"/>
  <c r="AI55" i="3"/>
  <c r="AK55" i="3"/>
  <c r="AM55" i="3"/>
  <c r="AF56" i="3"/>
  <c r="AH56" i="3"/>
  <c r="AJ56" i="3"/>
  <c r="AL56" i="3"/>
  <c r="AF57" i="3"/>
  <c r="AH57" i="3"/>
  <c r="AJ57" i="3"/>
  <c r="AL57" i="3"/>
  <c r="AG58" i="3"/>
  <c r="AI58" i="3"/>
  <c r="AK58" i="3"/>
  <c r="AM58" i="3"/>
  <c r="AM50" i="3"/>
  <c r="AF55" i="3"/>
  <c r="AH55" i="3"/>
  <c r="AJ55" i="3"/>
  <c r="AG56" i="3"/>
  <c r="AI56" i="3"/>
  <c r="AG57" i="3"/>
  <c r="AI57" i="3"/>
  <c r="AK57" i="3"/>
  <c r="AF58" i="3"/>
  <c r="AH58" i="3"/>
  <c r="AJ58" i="3"/>
  <c r="AL50" i="3"/>
  <c r="F50" i="3"/>
  <c r="F51" i="3" s="1"/>
  <c r="F52" i="3" s="1"/>
  <c r="F53" i="3" s="1"/>
  <c r="AC52" i="3"/>
  <c r="AE52" i="3" s="1"/>
  <c r="AQ51" i="3"/>
  <c r="AO51" i="3"/>
  <c r="AK53" i="3"/>
  <c r="AI53" i="3"/>
  <c r="AG53" i="3"/>
  <c r="AK51" i="3"/>
  <c r="AL53" i="3"/>
  <c r="AG50" i="3"/>
  <c r="AI50" i="3"/>
  <c r="AK50" i="3"/>
  <c r="AF51" i="3"/>
  <c r="AH51" i="3"/>
  <c r="AJ51" i="3"/>
  <c r="AL51" i="3"/>
  <c r="AF52" i="3"/>
  <c r="AH52" i="3"/>
  <c r="AJ52" i="3"/>
  <c r="AL52" i="3"/>
  <c r="AF50" i="3"/>
  <c r="AH50" i="3"/>
  <c r="AJ50" i="3"/>
  <c r="AE51" i="3"/>
  <c r="AG51" i="3"/>
  <c r="AI51" i="3"/>
  <c r="AG52" i="3"/>
  <c r="AI52" i="3"/>
  <c r="AK52" i="3"/>
  <c r="AF53" i="3"/>
  <c r="AH53" i="3"/>
  <c r="AJ53" i="3"/>
  <c r="AL45" i="3"/>
  <c r="AL48" i="3"/>
  <c r="AK46" i="3"/>
  <c r="AG45" i="3"/>
  <c r="AI45" i="3"/>
  <c r="AK45" i="3"/>
  <c r="AM45" i="3"/>
  <c r="AF46" i="3"/>
  <c r="AH46" i="3"/>
  <c r="AJ46" i="3"/>
  <c r="AL46" i="3"/>
  <c r="AF47" i="3"/>
  <c r="AH47" i="3"/>
  <c r="AJ47" i="3"/>
  <c r="AL47" i="3"/>
  <c r="AG48" i="3"/>
  <c r="AI48" i="3"/>
  <c r="AK48" i="3"/>
  <c r="AM48" i="3"/>
  <c r="AF45" i="3"/>
  <c r="AH45" i="3"/>
  <c r="AJ45" i="3"/>
  <c r="AG46" i="3"/>
  <c r="AI46" i="3"/>
  <c r="AG47" i="3"/>
  <c r="AI47" i="3"/>
  <c r="AK47" i="3"/>
  <c r="AF48" i="3"/>
  <c r="AH48" i="3"/>
  <c r="AJ48" i="3"/>
  <c r="AL40" i="3"/>
  <c r="AL43" i="3"/>
  <c r="AK41" i="3"/>
  <c r="AG40" i="3"/>
  <c r="AI40" i="3"/>
  <c r="AK40" i="3"/>
  <c r="AM40" i="3"/>
  <c r="AF41" i="3"/>
  <c r="AH41" i="3"/>
  <c r="AJ41" i="3"/>
  <c r="AL41" i="3"/>
  <c r="AF42" i="3"/>
  <c r="AH42" i="3"/>
  <c r="AJ42" i="3"/>
  <c r="AL42" i="3"/>
  <c r="AG43" i="3"/>
  <c r="AI43" i="3"/>
  <c r="AK43" i="3"/>
  <c r="AM43" i="3"/>
  <c r="AF40" i="3"/>
  <c r="AH40" i="3"/>
  <c r="AJ40" i="3"/>
  <c r="AG41" i="3"/>
  <c r="AI41" i="3"/>
  <c r="AG42" i="3"/>
  <c r="AI42" i="3"/>
  <c r="AK42" i="3"/>
  <c r="AF43" i="3"/>
  <c r="AH43" i="3"/>
  <c r="AJ43" i="3"/>
  <c r="AC37" i="3"/>
  <c r="AE37" i="3" s="1"/>
  <c r="AM35" i="3"/>
  <c r="AM38" i="3"/>
  <c r="AM30" i="3"/>
  <c r="AE36" i="3"/>
  <c r="AL30" i="3"/>
  <c r="F30" i="3"/>
  <c r="F31" i="3" s="1"/>
  <c r="F32" i="3" s="1"/>
  <c r="F33" i="3" s="1"/>
  <c r="AC32" i="3"/>
  <c r="AQ31" i="3"/>
  <c r="AO31" i="3"/>
  <c r="AK33" i="3"/>
  <c r="AI33" i="3"/>
  <c r="AG33" i="3"/>
  <c r="AK31" i="3"/>
  <c r="AL33" i="3"/>
  <c r="AG30" i="3"/>
  <c r="AI30" i="3"/>
  <c r="AK30" i="3"/>
  <c r="AF31" i="3"/>
  <c r="AH31" i="3"/>
  <c r="AJ31" i="3"/>
  <c r="AL31" i="3"/>
  <c r="AF32" i="3"/>
  <c r="AH32" i="3"/>
  <c r="AJ32" i="3"/>
  <c r="AL32" i="3"/>
  <c r="AM25" i="3"/>
  <c r="AF30" i="3"/>
  <c r="AH30" i="3"/>
  <c r="AJ30" i="3"/>
  <c r="AE31" i="3"/>
  <c r="AG31" i="3"/>
  <c r="AI31" i="3"/>
  <c r="AE32" i="3"/>
  <c r="AG32" i="3"/>
  <c r="AI32" i="3"/>
  <c r="AK32" i="3"/>
  <c r="AF33" i="3"/>
  <c r="AH33" i="3"/>
  <c r="AJ33" i="3"/>
  <c r="AL25" i="3"/>
  <c r="F25" i="3"/>
  <c r="F26" i="3" s="1"/>
  <c r="F27" i="3" s="1"/>
  <c r="F28" i="3" s="1"/>
  <c r="AC27" i="3"/>
  <c r="AQ26" i="3"/>
  <c r="AO26" i="3"/>
  <c r="AK28" i="3"/>
  <c r="AI28" i="3"/>
  <c r="AG28" i="3"/>
  <c r="AK26" i="3"/>
  <c r="AL28" i="3"/>
  <c r="AG25" i="3"/>
  <c r="AI25" i="3"/>
  <c r="AK25" i="3"/>
  <c r="AF26" i="3"/>
  <c r="AH26" i="3"/>
  <c r="AJ26" i="3"/>
  <c r="AL26" i="3"/>
  <c r="AF27" i="3"/>
  <c r="AH27" i="3"/>
  <c r="AJ27" i="3"/>
  <c r="AL27" i="3"/>
  <c r="F10" i="3"/>
  <c r="F11" i="3" s="1"/>
  <c r="F12" i="3" s="1"/>
  <c r="F13" i="3" s="1"/>
  <c r="AC10" i="3"/>
  <c r="AC11" i="3" s="1"/>
  <c r="AQ11" i="3" s="1"/>
  <c r="AF25" i="3"/>
  <c r="AH25" i="3"/>
  <c r="AJ25" i="3"/>
  <c r="AE26" i="3"/>
  <c r="AG26" i="3"/>
  <c r="AI26" i="3"/>
  <c r="AG27" i="3"/>
  <c r="AI27" i="3"/>
  <c r="AK27" i="3"/>
  <c r="AF28" i="3"/>
  <c r="AH28" i="3"/>
  <c r="AJ28" i="3"/>
  <c r="AO10" i="3"/>
  <c r="AG10" i="3" s="1"/>
  <c r="AL20" i="3"/>
  <c r="AL23" i="3"/>
  <c r="AK21" i="3"/>
  <c r="AG20" i="3"/>
  <c r="AI20" i="3"/>
  <c r="AK20" i="3"/>
  <c r="AM20" i="3"/>
  <c r="AF21" i="3"/>
  <c r="AH21" i="3"/>
  <c r="AJ21" i="3"/>
  <c r="AL21" i="3"/>
  <c r="AF22" i="3"/>
  <c r="AH22" i="3"/>
  <c r="AJ22" i="3"/>
  <c r="AL22" i="3"/>
  <c r="AG23" i="3"/>
  <c r="AI23" i="3"/>
  <c r="AK23" i="3"/>
  <c r="AM23" i="3"/>
  <c r="AF20" i="3"/>
  <c r="AH20" i="3"/>
  <c r="AJ20" i="3"/>
  <c r="AG21" i="3"/>
  <c r="AI21" i="3"/>
  <c r="AG22" i="3"/>
  <c r="AI22" i="3"/>
  <c r="AK22" i="3"/>
  <c r="AF23" i="3"/>
  <c r="AH23" i="3"/>
  <c r="AJ23" i="3"/>
  <c r="AC17" i="3"/>
  <c r="AM15" i="3"/>
  <c r="AM18" i="3"/>
  <c r="AE16" i="3"/>
  <c r="AL10" i="3"/>
  <c r="AL13" i="3"/>
  <c r="AK11" i="3"/>
  <c r="AI10" i="3"/>
  <c r="AK10" i="3"/>
  <c r="AM10" i="3"/>
  <c r="AH11" i="3"/>
  <c r="AJ11" i="3"/>
  <c r="AL11" i="3"/>
  <c r="AH12" i="3"/>
  <c r="AJ12" i="3"/>
  <c r="AL12" i="3"/>
  <c r="AI13" i="3"/>
  <c r="AK13" i="3"/>
  <c r="AM13" i="3"/>
  <c r="AH10" i="3"/>
  <c r="AJ10" i="3"/>
  <c r="AI11" i="3"/>
  <c r="AI12" i="3"/>
  <c r="AK12" i="3"/>
  <c r="AH13" i="3"/>
  <c r="AJ13" i="3"/>
  <c r="E3" i="11"/>
  <c r="F3" i="11"/>
  <c r="G3" i="11"/>
  <c r="H3" i="11"/>
  <c r="I3" i="11"/>
  <c r="J3" i="11"/>
  <c r="K3" i="11"/>
  <c r="L3" i="11"/>
  <c r="M3" i="11"/>
  <c r="N3" i="11"/>
  <c r="O3" i="11"/>
  <c r="P3" i="11"/>
  <c r="Q3" i="11"/>
  <c r="R3" i="11"/>
  <c r="S3" i="11"/>
  <c r="T3" i="11"/>
  <c r="U3" i="11"/>
  <c r="V3" i="11"/>
  <c r="W3" i="11"/>
  <c r="X3" i="11"/>
  <c r="Y3" i="11"/>
  <c r="Z3" i="11"/>
  <c r="AA3" i="11"/>
  <c r="AB3" i="11"/>
  <c r="AC3" i="11"/>
  <c r="AD3" i="11"/>
  <c r="AE3" i="11"/>
  <c r="AF3" i="11"/>
  <c r="AG3" i="11"/>
  <c r="AH3" i="11"/>
  <c r="AI3" i="11"/>
  <c r="AJ3" i="11"/>
  <c r="AK3" i="11"/>
  <c r="AL3" i="11"/>
  <c r="D3" i="11"/>
  <c r="AC432" i="3" l="1"/>
  <c r="AE432" i="3" s="1"/>
  <c r="AH422" i="3"/>
  <c r="AQ421" i="3"/>
  <c r="AL423" i="3"/>
  <c r="G362" i="9"/>
  <c r="G361" i="9"/>
  <c r="G360" i="9"/>
  <c r="G359" i="9"/>
  <c r="J113" i="8"/>
  <c r="F399" i="9"/>
  <c r="I402" i="9"/>
  <c r="I401" i="9"/>
  <c r="I400" i="9"/>
  <c r="I399" i="9"/>
  <c r="D398" i="9"/>
  <c r="B398" i="9" s="1"/>
  <c r="D397" i="9"/>
  <c r="B397" i="9" s="1"/>
  <c r="D396" i="9"/>
  <c r="B396" i="9" s="1"/>
  <c r="D395" i="9"/>
  <c r="B395" i="9" s="1"/>
  <c r="I394" i="9"/>
  <c r="I393" i="9"/>
  <c r="I392" i="9"/>
  <c r="I391" i="9"/>
  <c r="D390" i="9"/>
  <c r="B390" i="9" s="1"/>
  <c r="D389" i="9"/>
  <c r="B389" i="9" s="1"/>
  <c r="D388" i="9"/>
  <c r="B388" i="9" s="1"/>
  <c r="D387" i="9"/>
  <c r="B387" i="9" s="1"/>
  <c r="I386" i="9"/>
  <c r="I385" i="9"/>
  <c r="I384" i="9"/>
  <c r="I383" i="9"/>
  <c r="D382" i="9"/>
  <c r="B382" i="9" s="1"/>
  <c r="D381" i="9"/>
  <c r="B381" i="9" s="1"/>
  <c r="D380" i="9"/>
  <c r="B380" i="9" s="1"/>
  <c r="D379" i="9"/>
  <c r="B379" i="9" s="1"/>
  <c r="I378" i="9"/>
  <c r="I377" i="9"/>
  <c r="I376" i="9"/>
  <c r="I375" i="9"/>
  <c r="D374" i="9"/>
  <c r="B374" i="9" s="1"/>
  <c r="D373" i="9"/>
  <c r="B373" i="9" s="1"/>
  <c r="D372" i="9"/>
  <c r="B372" i="9" s="1"/>
  <c r="D371" i="9"/>
  <c r="B371" i="9" s="1"/>
  <c r="I370" i="9"/>
  <c r="I369" i="9"/>
  <c r="I368" i="9"/>
  <c r="I367" i="9"/>
  <c r="D366" i="9"/>
  <c r="B366" i="9" s="1"/>
  <c r="D365" i="9"/>
  <c r="B365" i="9" s="1"/>
  <c r="D364" i="9"/>
  <c r="B364" i="9" s="1"/>
  <c r="D363" i="9"/>
  <c r="B363" i="9" s="1"/>
  <c r="I362" i="9"/>
  <c r="I361" i="9"/>
  <c r="I360" i="9"/>
  <c r="I359" i="9"/>
  <c r="G358" i="9"/>
  <c r="G357" i="9"/>
  <c r="G356" i="9"/>
  <c r="G355" i="9"/>
  <c r="G354" i="9"/>
  <c r="G353" i="9"/>
  <c r="G352" i="9"/>
  <c r="G351" i="9"/>
  <c r="G350" i="9"/>
  <c r="G349" i="9"/>
  <c r="G348" i="9"/>
  <c r="G347" i="9"/>
  <c r="G346" i="9"/>
  <c r="G345" i="9"/>
  <c r="G344" i="9"/>
  <c r="G343" i="9"/>
  <c r="G342" i="9"/>
  <c r="G341" i="9"/>
  <c r="G340" i="9"/>
  <c r="G339" i="9"/>
  <c r="G338" i="9"/>
  <c r="G337" i="9"/>
  <c r="G336" i="9"/>
  <c r="G335" i="9"/>
  <c r="G306" i="9"/>
  <c r="G305" i="9"/>
  <c r="G304" i="9"/>
  <c r="G303" i="9"/>
  <c r="G298" i="9"/>
  <c r="G297" i="9"/>
  <c r="G296" i="9"/>
  <c r="G295" i="9"/>
  <c r="G290" i="9"/>
  <c r="G289" i="9"/>
  <c r="G288" i="9"/>
  <c r="G287" i="9"/>
  <c r="G282" i="9"/>
  <c r="G281" i="9"/>
  <c r="G280" i="9"/>
  <c r="G279" i="9"/>
  <c r="G274" i="9"/>
  <c r="G273" i="9"/>
  <c r="G272" i="9"/>
  <c r="G271" i="9"/>
  <c r="G266" i="9"/>
  <c r="G265" i="9"/>
  <c r="G264" i="9"/>
  <c r="G263" i="9"/>
  <c r="G258" i="9"/>
  <c r="G257" i="9"/>
  <c r="G256" i="9"/>
  <c r="G255" i="9"/>
  <c r="I358" i="9"/>
  <c r="I357" i="9"/>
  <c r="I356" i="9"/>
  <c r="I355" i="9"/>
  <c r="I354" i="9"/>
  <c r="I353" i="9"/>
  <c r="I352" i="9"/>
  <c r="I351" i="9"/>
  <c r="D350" i="9"/>
  <c r="B350" i="9" s="1"/>
  <c r="D349" i="9"/>
  <c r="B349" i="9" s="1"/>
  <c r="D348" i="9"/>
  <c r="B348" i="9" s="1"/>
  <c r="D347" i="9"/>
  <c r="B347" i="9" s="1"/>
  <c r="I346" i="9"/>
  <c r="I345" i="9"/>
  <c r="I344" i="9"/>
  <c r="I343" i="9"/>
  <c r="D342" i="9"/>
  <c r="B342" i="9" s="1"/>
  <c r="D341" i="9"/>
  <c r="B341" i="9" s="1"/>
  <c r="D340" i="9"/>
  <c r="B340" i="9" s="1"/>
  <c r="D339" i="9"/>
  <c r="B339" i="9" s="1"/>
  <c r="R75" i="8"/>
  <c r="F249" i="9"/>
  <c r="J75" i="8"/>
  <c r="F247" i="9"/>
  <c r="R74" i="8"/>
  <c r="F245" i="9"/>
  <c r="G246" i="9"/>
  <c r="G245" i="9"/>
  <c r="G244" i="9"/>
  <c r="G243" i="9"/>
  <c r="G242" i="9"/>
  <c r="G241" i="9"/>
  <c r="G240" i="9"/>
  <c r="G239" i="9"/>
  <c r="J72" i="8"/>
  <c r="F235" i="9"/>
  <c r="R71" i="8"/>
  <c r="F233" i="9"/>
  <c r="J71" i="8"/>
  <c r="F231" i="9"/>
  <c r="R70" i="8"/>
  <c r="F229" i="9"/>
  <c r="G230" i="9"/>
  <c r="G229" i="9"/>
  <c r="G228" i="9"/>
  <c r="G227" i="9"/>
  <c r="G226" i="9"/>
  <c r="G225" i="9"/>
  <c r="G224" i="9"/>
  <c r="G223" i="9"/>
  <c r="J68" i="8"/>
  <c r="F219" i="9"/>
  <c r="R67" i="8"/>
  <c r="F217" i="9"/>
  <c r="J67" i="8"/>
  <c r="F215" i="9"/>
  <c r="R66" i="8"/>
  <c r="F213" i="9"/>
  <c r="G214" i="9"/>
  <c r="G213" i="9"/>
  <c r="G212" i="9"/>
  <c r="G211" i="9"/>
  <c r="G210" i="9"/>
  <c r="G209" i="9"/>
  <c r="G208" i="9"/>
  <c r="G207" i="9"/>
  <c r="J64" i="8"/>
  <c r="F203" i="9"/>
  <c r="R63" i="8"/>
  <c r="F201" i="9"/>
  <c r="J63" i="8"/>
  <c r="F199" i="9"/>
  <c r="M75" i="8"/>
  <c r="F248" i="9"/>
  <c r="D250" i="9"/>
  <c r="B250" i="9" s="1"/>
  <c r="D249" i="9"/>
  <c r="B249" i="9" s="1"/>
  <c r="D248" i="9"/>
  <c r="B248" i="9" s="1"/>
  <c r="D247" i="9"/>
  <c r="B247" i="9" s="1"/>
  <c r="I246" i="9"/>
  <c r="I245" i="9"/>
  <c r="I244" i="9"/>
  <c r="I243" i="9"/>
  <c r="M73" i="8"/>
  <c r="F240" i="9"/>
  <c r="D242" i="9"/>
  <c r="B242" i="9" s="1"/>
  <c r="D241" i="9"/>
  <c r="B241" i="9" s="1"/>
  <c r="D240" i="9"/>
  <c r="B240" i="9" s="1"/>
  <c r="D239" i="9"/>
  <c r="B239" i="9" s="1"/>
  <c r="I238" i="9"/>
  <c r="I237" i="9"/>
  <c r="I236" i="9"/>
  <c r="I235" i="9"/>
  <c r="M71" i="8"/>
  <c r="F232" i="9"/>
  <c r="D234" i="9"/>
  <c r="B234" i="9" s="1"/>
  <c r="D233" i="9"/>
  <c r="B233" i="9" s="1"/>
  <c r="D232" i="9"/>
  <c r="B232" i="9" s="1"/>
  <c r="D231" i="9"/>
  <c r="B231" i="9" s="1"/>
  <c r="I230" i="9"/>
  <c r="I229" i="9"/>
  <c r="I228" i="9"/>
  <c r="I227" i="9"/>
  <c r="M69" i="8"/>
  <c r="F224" i="9"/>
  <c r="D226" i="9"/>
  <c r="B226" i="9" s="1"/>
  <c r="D225" i="9"/>
  <c r="B225" i="9" s="1"/>
  <c r="D224" i="9"/>
  <c r="B224" i="9" s="1"/>
  <c r="D223" i="9"/>
  <c r="B223" i="9" s="1"/>
  <c r="I222" i="9"/>
  <c r="I221" i="9"/>
  <c r="I220" i="9"/>
  <c r="I219" i="9"/>
  <c r="M67" i="8"/>
  <c r="F216" i="9"/>
  <c r="D218" i="9"/>
  <c r="B218" i="9" s="1"/>
  <c r="D217" i="9"/>
  <c r="B217" i="9" s="1"/>
  <c r="D216" i="9"/>
  <c r="B216" i="9" s="1"/>
  <c r="D215" i="9"/>
  <c r="B215" i="9" s="1"/>
  <c r="I214" i="9"/>
  <c r="I213" i="9"/>
  <c r="I212" i="9"/>
  <c r="I211" i="9"/>
  <c r="M65" i="8"/>
  <c r="F208" i="9"/>
  <c r="D210" i="9"/>
  <c r="B210" i="9" s="1"/>
  <c r="D209" i="9"/>
  <c r="B209" i="9" s="1"/>
  <c r="D208" i="9"/>
  <c r="B208" i="9" s="1"/>
  <c r="D207" i="9"/>
  <c r="B207" i="9" s="1"/>
  <c r="I206" i="9"/>
  <c r="I205" i="9"/>
  <c r="I204" i="9"/>
  <c r="I203" i="9"/>
  <c r="M63" i="8"/>
  <c r="F200" i="9"/>
  <c r="D202" i="9"/>
  <c r="B202" i="9" s="1"/>
  <c r="D201" i="9"/>
  <c r="B201" i="9" s="1"/>
  <c r="D200" i="9"/>
  <c r="B200" i="9" s="1"/>
  <c r="D199" i="9"/>
  <c r="B199" i="9" s="1"/>
  <c r="D198" i="9"/>
  <c r="B198" i="9" s="1"/>
  <c r="D197" i="9"/>
  <c r="B197" i="9" s="1"/>
  <c r="D196" i="9"/>
  <c r="B196" i="9" s="1"/>
  <c r="D195" i="9"/>
  <c r="B195" i="9" s="1"/>
  <c r="M62" i="8"/>
  <c r="F196" i="9"/>
  <c r="R62" i="8"/>
  <c r="F197" i="9"/>
  <c r="D194" i="9"/>
  <c r="B194" i="9" s="1"/>
  <c r="D193" i="9"/>
  <c r="B193" i="9" s="1"/>
  <c r="D192" i="9"/>
  <c r="B192" i="9" s="1"/>
  <c r="D191" i="9"/>
  <c r="B191" i="9" s="1"/>
  <c r="O61" i="8"/>
  <c r="F192" i="9"/>
  <c r="D190" i="9"/>
  <c r="B190" i="9" s="1"/>
  <c r="D189" i="9"/>
  <c r="B189" i="9" s="1"/>
  <c r="D188" i="9"/>
  <c r="B188" i="9" s="1"/>
  <c r="D187" i="9"/>
  <c r="B187" i="9" s="1"/>
  <c r="V59" i="8"/>
  <c r="F186" i="9" s="1"/>
  <c r="F183" i="9"/>
  <c r="I186" i="9"/>
  <c r="I185" i="9"/>
  <c r="I184" i="9"/>
  <c r="I183" i="9"/>
  <c r="J58" i="8"/>
  <c r="F179" i="9"/>
  <c r="I182" i="9"/>
  <c r="I181" i="9"/>
  <c r="I180" i="9"/>
  <c r="I179" i="9"/>
  <c r="M58" i="8"/>
  <c r="F180" i="9"/>
  <c r="H57" i="8"/>
  <c r="F175" i="9"/>
  <c r="T56" i="8"/>
  <c r="F173" i="9"/>
  <c r="G174" i="9"/>
  <c r="G173" i="9"/>
  <c r="G172" i="9"/>
  <c r="G171" i="9"/>
  <c r="H55" i="8"/>
  <c r="F167" i="9"/>
  <c r="T54" i="8"/>
  <c r="F165" i="9"/>
  <c r="G166" i="9"/>
  <c r="G165" i="9"/>
  <c r="G164" i="9"/>
  <c r="G163" i="9"/>
  <c r="H53" i="8"/>
  <c r="F159" i="9"/>
  <c r="T52" i="8"/>
  <c r="F157" i="9"/>
  <c r="G158" i="9"/>
  <c r="G157" i="9"/>
  <c r="G156" i="9"/>
  <c r="G155" i="9"/>
  <c r="H51" i="8"/>
  <c r="F151" i="9"/>
  <c r="T50" i="8"/>
  <c r="F149" i="9"/>
  <c r="G150" i="9"/>
  <c r="G149" i="9"/>
  <c r="G148" i="9"/>
  <c r="G147" i="9"/>
  <c r="H49" i="8"/>
  <c r="F143" i="9"/>
  <c r="T48" i="8"/>
  <c r="F141" i="9"/>
  <c r="G142" i="9"/>
  <c r="G141" i="9"/>
  <c r="G140" i="9"/>
  <c r="G139" i="9"/>
  <c r="H47" i="8"/>
  <c r="F135" i="9"/>
  <c r="T46" i="8"/>
  <c r="F133" i="9"/>
  <c r="G134" i="9"/>
  <c r="G133" i="9"/>
  <c r="G132" i="9"/>
  <c r="G131" i="9"/>
  <c r="H45" i="8"/>
  <c r="F127" i="9"/>
  <c r="T44" i="8"/>
  <c r="F125" i="9"/>
  <c r="G126" i="9"/>
  <c r="G125" i="9"/>
  <c r="G124" i="9"/>
  <c r="G123" i="9"/>
  <c r="H43" i="8"/>
  <c r="F119" i="9"/>
  <c r="T42" i="8"/>
  <c r="F117" i="9"/>
  <c r="G118" i="9"/>
  <c r="G117" i="9"/>
  <c r="G116" i="9"/>
  <c r="G115" i="9"/>
  <c r="H41" i="8"/>
  <c r="F111" i="9"/>
  <c r="T40" i="8"/>
  <c r="F109" i="9"/>
  <c r="G110" i="9"/>
  <c r="G109" i="9"/>
  <c r="G108" i="9"/>
  <c r="G107" i="9"/>
  <c r="H39" i="8"/>
  <c r="F103" i="9"/>
  <c r="T38" i="8"/>
  <c r="F101" i="9"/>
  <c r="G102" i="9"/>
  <c r="G101" i="9"/>
  <c r="G100" i="9"/>
  <c r="G99" i="9"/>
  <c r="H37" i="8"/>
  <c r="F95" i="9"/>
  <c r="T36" i="8"/>
  <c r="F93" i="9"/>
  <c r="G94" i="9"/>
  <c r="G93" i="9"/>
  <c r="G92" i="9"/>
  <c r="G91" i="9"/>
  <c r="H35" i="8"/>
  <c r="F87" i="9"/>
  <c r="T34" i="8"/>
  <c r="F85" i="9"/>
  <c r="G86" i="9"/>
  <c r="G85" i="9"/>
  <c r="G84" i="9"/>
  <c r="G83" i="9"/>
  <c r="G190" i="9"/>
  <c r="G189" i="9"/>
  <c r="G188" i="9"/>
  <c r="G187" i="9"/>
  <c r="G182" i="9"/>
  <c r="G181" i="9"/>
  <c r="G180" i="9"/>
  <c r="G179" i="9"/>
  <c r="I178" i="9"/>
  <c r="I177" i="9"/>
  <c r="I176" i="9"/>
  <c r="I175" i="9"/>
  <c r="D174" i="9"/>
  <c r="B174" i="9" s="1"/>
  <c r="D173" i="9"/>
  <c r="B173" i="9" s="1"/>
  <c r="D172" i="9"/>
  <c r="B172" i="9" s="1"/>
  <c r="D171" i="9"/>
  <c r="B171" i="9" s="1"/>
  <c r="I170" i="9"/>
  <c r="I169" i="9"/>
  <c r="I168" i="9"/>
  <c r="I167" i="9"/>
  <c r="D166" i="9"/>
  <c r="B166" i="9" s="1"/>
  <c r="D165" i="9"/>
  <c r="B165" i="9" s="1"/>
  <c r="D164" i="9"/>
  <c r="B164" i="9" s="1"/>
  <c r="D163" i="9"/>
  <c r="B163" i="9" s="1"/>
  <c r="I162" i="9"/>
  <c r="I161" i="9"/>
  <c r="I160" i="9"/>
  <c r="I159" i="9"/>
  <c r="D158" i="9"/>
  <c r="B158" i="9" s="1"/>
  <c r="D157" i="9"/>
  <c r="B157" i="9" s="1"/>
  <c r="D156" i="9"/>
  <c r="B156" i="9" s="1"/>
  <c r="D155" i="9"/>
  <c r="B155" i="9" s="1"/>
  <c r="I154" i="9"/>
  <c r="I153" i="9"/>
  <c r="I152" i="9"/>
  <c r="I151" i="9"/>
  <c r="D150" i="9"/>
  <c r="B150" i="9" s="1"/>
  <c r="D149" i="9"/>
  <c r="B149" i="9" s="1"/>
  <c r="D148" i="9"/>
  <c r="B148" i="9" s="1"/>
  <c r="D147" i="9"/>
  <c r="B147" i="9" s="1"/>
  <c r="I146" i="9"/>
  <c r="I145" i="9"/>
  <c r="I144" i="9"/>
  <c r="I143" i="9"/>
  <c r="D142" i="9"/>
  <c r="B142" i="9" s="1"/>
  <c r="D141" i="9"/>
  <c r="B141" i="9" s="1"/>
  <c r="D140" i="9"/>
  <c r="B140" i="9" s="1"/>
  <c r="D139" i="9"/>
  <c r="B139" i="9" s="1"/>
  <c r="I138" i="9"/>
  <c r="I137" i="9"/>
  <c r="I136" i="9"/>
  <c r="I135" i="9"/>
  <c r="D134" i="9"/>
  <c r="B134" i="9" s="1"/>
  <c r="D133" i="9"/>
  <c r="B133" i="9" s="1"/>
  <c r="D132" i="9"/>
  <c r="B132" i="9" s="1"/>
  <c r="D131" i="9"/>
  <c r="B131" i="9" s="1"/>
  <c r="I130" i="9"/>
  <c r="I129" i="9"/>
  <c r="I128" i="9"/>
  <c r="I127" i="9"/>
  <c r="D126" i="9"/>
  <c r="B126" i="9" s="1"/>
  <c r="D125" i="9"/>
  <c r="B125" i="9" s="1"/>
  <c r="D124" i="9"/>
  <c r="B124" i="9" s="1"/>
  <c r="D123" i="9"/>
  <c r="B123" i="9" s="1"/>
  <c r="I122" i="9"/>
  <c r="I121" i="9"/>
  <c r="I120" i="9"/>
  <c r="I119" i="9"/>
  <c r="D118" i="9"/>
  <c r="B118" i="9" s="1"/>
  <c r="D117" i="9"/>
  <c r="B117" i="9" s="1"/>
  <c r="D116" i="9"/>
  <c r="B116" i="9" s="1"/>
  <c r="D115" i="9"/>
  <c r="B115" i="9" s="1"/>
  <c r="I114" i="9"/>
  <c r="I113" i="9"/>
  <c r="I112" i="9"/>
  <c r="I111" i="9"/>
  <c r="D110" i="9"/>
  <c r="B110" i="9" s="1"/>
  <c r="D109" i="9"/>
  <c r="B109" i="9" s="1"/>
  <c r="D108" i="9"/>
  <c r="B108" i="9" s="1"/>
  <c r="D107" i="9"/>
  <c r="B107" i="9" s="1"/>
  <c r="I106" i="9"/>
  <c r="I105" i="9"/>
  <c r="I104" i="9"/>
  <c r="I103" i="9"/>
  <c r="D102" i="9"/>
  <c r="B102" i="9" s="1"/>
  <c r="D101" i="9"/>
  <c r="B101" i="9" s="1"/>
  <c r="D100" i="9"/>
  <c r="B100" i="9" s="1"/>
  <c r="D99" i="9"/>
  <c r="B99" i="9" s="1"/>
  <c r="I98" i="9"/>
  <c r="I97" i="9"/>
  <c r="I96" i="9"/>
  <c r="I95" i="9"/>
  <c r="D94" i="9"/>
  <c r="B94" i="9" s="1"/>
  <c r="D93" i="9"/>
  <c r="B93" i="9" s="1"/>
  <c r="D92" i="9"/>
  <c r="B92" i="9" s="1"/>
  <c r="D91" i="9"/>
  <c r="B91" i="9" s="1"/>
  <c r="I90" i="9"/>
  <c r="I89" i="9"/>
  <c r="I88" i="9"/>
  <c r="I87" i="9"/>
  <c r="D86" i="9"/>
  <c r="B86" i="9" s="1"/>
  <c r="D85" i="9"/>
  <c r="B85" i="9" s="1"/>
  <c r="D84" i="9"/>
  <c r="B84" i="9" s="1"/>
  <c r="D83" i="9"/>
  <c r="B83" i="9" s="1"/>
  <c r="I334" i="9"/>
  <c r="I333" i="9"/>
  <c r="I332" i="9"/>
  <c r="I331" i="9"/>
  <c r="D330" i="9"/>
  <c r="B330" i="9" s="1"/>
  <c r="D329" i="9"/>
  <c r="B329" i="9" s="1"/>
  <c r="D328" i="9"/>
  <c r="B328" i="9" s="1"/>
  <c r="D327" i="9"/>
  <c r="B327" i="9" s="1"/>
  <c r="I326" i="9"/>
  <c r="I325" i="9"/>
  <c r="I324" i="9"/>
  <c r="I323" i="9"/>
  <c r="D322" i="9"/>
  <c r="B322" i="9" s="1"/>
  <c r="D321" i="9"/>
  <c r="B321" i="9" s="1"/>
  <c r="D320" i="9"/>
  <c r="B320" i="9" s="1"/>
  <c r="D319" i="9"/>
  <c r="B319" i="9" s="1"/>
  <c r="I318" i="9"/>
  <c r="I317" i="9"/>
  <c r="I316" i="9"/>
  <c r="I315" i="9"/>
  <c r="D314" i="9"/>
  <c r="B314" i="9" s="1"/>
  <c r="D313" i="9"/>
  <c r="B313" i="9" s="1"/>
  <c r="D312" i="9"/>
  <c r="B312" i="9" s="1"/>
  <c r="D311" i="9"/>
  <c r="B311" i="9" s="1"/>
  <c r="I310" i="9"/>
  <c r="I309" i="9"/>
  <c r="I308" i="9"/>
  <c r="I307" i="9"/>
  <c r="D402" i="9"/>
  <c r="B402" i="9" s="1"/>
  <c r="D401" i="9"/>
  <c r="B401" i="9" s="1"/>
  <c r="D400" i="9"/>
  <c r="B400" i="9" s="1"/>
  <c r="D399" i="9"/>
  <c r="B399" i="9" s="1"/>
  <c r="I398" i="9"/>
  <c r="I397" i="9"/>
  <c r="I396" i="9"/>
  <c r="I395" i="9"/>
  <c r="D394" i="9"/>
  <c r="B394" i="9" s="1"/>
  <c r="D393" i="9"/>
  <c r="B393" i="9" s="1"/>
  <c r="D392" i="9"/>
  <c r="B392" i="9" s="1"/>
  <c r="D391" i="9"/>
  <c r="B391" i="9" s="1"/>
  <c r="I390" i="9"/>
  <c r="I389" i="9"/>
  <c r="I388" i="9"/>
  <c r="I387" i="9"/>
  <c r="D386" i="9"/>
  <c r="B386" i="9" s="1"/>
  <c r="D385" i="9"/>
  <c r="B385" i="9" s="1"/>
  <c r="D384" i="9"/>
  <c r="B384" i="9" s="1"/>
  <c r="D383" i="9"/>
  <c r="B383" i="9" s="1"/>
  <c r="I382" i="9"/>
  <c r="I381" i="9"/>
  <c r="I380" i="9"/>
  <c r="I379" i="9"/>
  <c r="D378" i="9"/>
  <c r="B378" i="9" s="1"/>
  <c r="D377" i="9"/>
  <c r="B377" i="9" s="1"/>
  <c r="D376" i="9"/>
  <c r="B376" i="9" s="1"/>
  <c r="D375" i="9"/>
  <c r="B375" i="9" s="1"/>
  <c r="I374" i="9"/>
  <c r="I373" i="9"/>
  <c r="I372" i="9"/>
  <c r="I371" i="9"/>
  <c r="D370" i="9"/>
  <c r="B370" i="9" s="1"/>
  <c r="D369" i="9"/>
  <c r="B369" i="9" s="1"/>
  <c r="D368" i="9"/>
  <c r="B368" i="9" s="1"/>
  <c r="D367" i="9"/>
  <c r="B367" i="9" s="1"/>
  <c r="I366" i="9"/>
  <c r="I365" i="9"/>
  <c r="I364" i="9"/>
  <c r="I363" i="9"/>
  <c r="D360" i="9"/>
  <c r="B360" i="9" s="1"/>
  <c r="D359" i="9"/>
  <c r="B359" i="9" s="1"/>
  <c r="D362" i="9"/>
  <c r="B362" i="9" s="1"/>
  <c r="D361" i="9"/>
  <c r="B361" i="9" s="1"/>
  <c r="I338" i="9"/>
  <c r="I337" i="9"/>
  <c r="I336" i="9"/>
  <c r="I335" i="9"/>
  <c r="G334" i="9"/>
  <c r="G333" i="9"/>
  <c r="G332" i="9"/>
  <c r="G331" i="9"/>
  <c r="G330" i="9"/>
  <c r="G329" i="9"/>
  <c r="G328" i="9"/>
  <c r="G327" i="9"/>
  <c r="G326" i="9"/>
  <c r="G325" i="9"/>
  <c r="G324" i="9"/>
  <c r="G323" i="9"/>
  <c r="G322" i="9"/>
  <c r="G321" i="9"/>
  <c r="G320" i="9"/>
  <c r="G319" i="9"/>
  <c r="G318" i="9"/>
  <c r="G317" i="9"/>
  <c r="G316" i="9"/>
  <c r="G315" i="9"/>
  <c r="G314" i="9"/>
  <c r="G313" i="9"/>
  <c r="G312" i="9"/>
  <c r="G311" i="9"/>
  <c r="G310" i="9"/>
  <c r="G309" i="9"/>
  <c r="G308" i="9"/>
  <c r="G307" i="9"/>
  <c r="G302" i="9"/>
  <c r="G301" i="9"/>
  <c r="G300" i="9"/>
  <c r="G299" i="9"/>
  <c r="G294" i="9"/>
  <c r="G293" i="9"/>
  <c r="G292" i="9"/>
  <c r="G291" i="9"/>
  <c r="G286" i="9"/>
  <c r="G285" i="9"/>
  <c r="G284" i="9"/>
  <c r="G283" i="9"/>
  <c r="G278" i="9"/>
  <c r="G277" i="9"/>
  <c r="G276" i="9"/>
  <c r="G275" i="9"/>
  <c r="G270" i="9"/>
  <c r="G269" i="9"/>
  <c r="G268" i="9"/>
  <c r="G267" i="9"/>
  <c r="G262" i="9"/>
  <c r="G261" i="9"/>
  <c r="G260" i="9"/>
  <c r="G259" i="9"/>
  <c r="G254" i="9"/>
  <c r="G253" i="9"/>
  <c r="G252" i="9"/>
  <c r="G251" i="9"/>
  <c r="D358" i="9"/>
  <c r="B358" i="9" s="1"/>
  <c r="D357" i="9"/>
  <c r="B357" i="9" s="1"/>
  <c r="D356" i="9"/>
  <c r="B356" i="9" s="1"/>
  <c r="D355" i="9"/>
  <c r="B355" i="9" s="1"/>
  <c r="D354" i="9"/>
  <c r="B354" i="9" s="1"/>
  <c r="D353" i="9"/>
  <c r="B353" i="9" s="1"/>
  <c r="D352" i="9"/>
  <c r="B352" i="9" s="1"/>
  <c r="D351" i="9"/>
  <c r="B351" i="9" s="1"/>
  <c r="I350" i="9"/>
  <c r="I349" i="9"/>
  <c r="I348" i="9"/>
  <c r="I347" i="9"/>
  <c r="D346" i="9"/>
  <c r="B346" i="9" s="1"/>
  <c r="D345" i="9"/>
  <c r="B345" i="9" s="1"/>
  <c r="D344" i="9"/>
  <c r="B344" i="9" s="1"/>
  <c r="D343" i="9"/>
  <c r="B343" i="9" s="1"/>
  <c r="I342" i="9"/>
  <c r="I341" i="9"/>
  <c r="I340" i="9"/>
  <c r="I339" i="9"/>
  <c r="G250" i="9"/>
  <c r="G249" i="9"/>
  <c r="G248" i="9"/>
  <c r="G247" i="9"/>
  <c r="J74" i="8"/>
  <c r="F243" i="9"/>
  <c r="R73" i="8"/>
  <c r="F241" i="9"/>
  <c r="J73" i="8"/>
  <c r="F239" i="9"/>
  <c r="R72" i="8"/>
  <c r="F237" i="9"/>
  <c r="G238" i="9"/>
  <c r="G237" i="9"/>
  <c r="G236" i="9"/>
  <c r="G235" i="9"/>
  <c r="G234" i="9"/>
  <c r="G233" i="9"/>
  <c r="G232" i="9"/>
  <c r="G231" i="9"/>
  <c r="J70" i="8"/>
  <c r="F227" i="9"/>
  <c r="R69" i="8"/>
  <c r="F225" i="9"/>
  <c r="J69" i="8"/>
  <c r="F223" i="9"/>
  <c r="R68" i="8"/>
  <c r="F221" i="9"/>
  <c r="G222" i="9"/>
  <c r="G221" i="9"/>
  <c r="G220" i="9"/>
  <c r="G219" i="9"/>
  <c r="G218" i="9"/>
  <c r="G217" i="9"/>
  <c r="G216" i="9"/>
  <c r="G215" i="9"/>
  <c r="J66" i="8"/>
  <c r="F211" i="9"/>
  <c r="R65" i="8"/>
  <c r="F209" i="9"/>
  <c r="J65" i="8"/>
  <c r="F207" i="9"/>
  <c r="R64" i="8"/>
  <c r="F205" i="9"/>
  <c r="G206" i="9"/>
  <c r="G205" i="9"/>
  <c r="G204" i="9"/>
  <c r="G203" i="9"/>
  <c r="G202" i="9"/>
  <c r="G201" i="9"/>
  <c r="G200" i="9"/>
  <c r="G199" i="9"/>
  <c r="I250" i="9"/>
  <c r="I249" i="9"/>
  <c r="I248" i="9"/>
  <c r="I247" i="9"/>
  <c r="D246" i="9"/>
  <c r="B246" i="9" s="1"/>
  <c r="D245" i="9"/>
  <c r="B245" i="9" s="1"/>
  <c r="D244" i="9"/>
  <c r="B244" i="9" s="1"/>
  <c r="D243" i="9"/>
  <c r="B243" i="9" s="1"/>
  <c r="I241" i="9"/>
  <c r="I240" i="9"/>
  <c r="I239" i="9"/>
  <c r="I242" i="9"/>
  <c r="D238" i="9"/>
  <c r="B238" i="9" s="1"/>
  <c r="D237" i="9"/>
  <c r="B237" i="9" s="1"/>
  <c r="D236" i="9"/>
  <c r="B236" i="9" s="1"/>
  <c r="D235" i="9"/>
  <c r="B235" i="9" s="1"/>
  <c r="I234" i="9"/>
  <c r="I233" i="9"/>
  <c r="I232" i="9"/>
  <c r="I231" i="9"/>
  <c r="D230" i="9"/>
  <c r="B230" i="9" s="1"/>
  <c r="D229" i="9"/>
  <c r="B229" i="9" s="1"/>
  <c r="D228" i="9"/>
  <c r="B228" i="9" s="1"/>
  <c r="D227" i="9"/>
  <c r="B227" i="9" s="1"/>
  <c r="I226" i="9"/>
  <c r="I225" i="9"/>
  <c r="I224" i="9"/>
  <c r="I223" i="9"/>
  <c r="D222" i="9"/>
  <c r="B222" i="9" s="1"/>
  <c r="D221" i="9"/>
  <c r="B221" i="9" s="1"/>
  <c r="D220" i="9"/>
  <c r="B220" i="9" s="1"/>
  <c r="D219" i="9"/>
  <c r="B219" i="9" s="1"/>
  <c r="I218" i="9"/>
  <c r="I217" i="9"/>
  <c r="I216" i="9"/>
  <c r="I215" i="9"/>
  <c r="D214" i="9"/>
  <c r="B214" i="9" s="1"/>
  <c r="D213" i="9"/>
  <c r="B213" i="9" s="1"/>
  <c r="D212" i="9"/>
  <c r="B212" i="9" s="1"/>
  <c r="D211" i="9"/>
  <c r="B211" i="9" s="1"/>
  <c r="I210" i="9"/>
  <c r="I209" i="9"/>
  <c r="I208" i="9"/>
  <c r="I207" i="9"/>
  <c r="D206" i="9"/>
  <c r="B206" i="9" s="1"/>
  <c r="D205" i="9"/>
  <c r="B205" i="9" s="1"/>
  <c r="D204" i="9"/>
  <c r="B204" i="9" s="1"/>
  <c r="D203" i="9"/>
  <c r="B203" i="9" s="1"/>
  <c r="I202" i="9"/>
  <c r="I201" i="9"/>
  <c r="I200" i="9"/>
  <c r="I199" i="9"/>
  <c r="I198" i="9"/>
  <c r="I197" i="9"/>
  <c r="I196" i="9"/>
  <c r="I195" i="9"/>
  <c r="I194" i="9"/>
  <c r="I193" i="9"/>
  <c r="I192" i="9"/>
  <c r="I191" i="9"/>
  <c r="J60" i="8"/>
  <c r="F187" i="9"/>
  <c r="I190" i="9"/>
  <c r="I189" i="9"/>
  <c r="I188" i="9"/>
  <c r="I187" i="9"/>
  <c r="M60" i="8"/>
  <c r="F188" i="9"/>
  <c r="D186" i="9"/>
  <c r="B186" i="9" s="1"/>
  <c r="D185" i="9"/>
  <c r="B185" i="9" s="1"/>
  <c r="D184" i="9"/>
  <c r="B184" i="9" s="1"/>
  <c r="D183" i="9"/>
  <c r="B183" i="9" s="1"/>
  <c r="O59" i="8"/>
  <c r="F184" i="9"/>
  <c r="D182" i="9"/>
  <c r="B182" i="9" s="1"/>
  <c r="D181" i="9"/>
  <c r="B181" i="9" s="1"/>
  <c r="D180" i="9"/>
  <c r="B180" i="9" s="1"/>
  <c r="D179" i="9"/>
  <c r="B179" i="9" s="1"/>
  <c r="V57" i="8"/>
  <c r="F178" i="9" s="1"/>
  <c r="F177" i="9"/>
  <c r="G178" i="9"/>
  <c r="G177" i="9"/>
  <c r="G176" i="9"/>
  <c r="G175" i="9"/>
  <c r="H56" i="8"/>
  <c r="F171" i="9"/>
  <c r="T55" i="8"/>
  <c r="F169" i="9"/>
  <c r="G170" i="9"/>
  <c r="G169" i="9"/>
  <c r="G168" i="9"/>
  <c r="G167" i="9"/>
  <c r="H54" i="8"/>
  <c r="F163" i="9"/>
  <c r="T53" i="8"/>
  <c r="F161" i="9"/>
  <c r="G162" i="9"/>
  <c r="G161" i="9"/>
  <c r="G160" i="9"/>
  <c r="G159" i="9"/>
  <c r="H52" i="8"/>
  <c r="F155" i="9"/>
  <c r="T51" i="8"/>
  <c r="F153" i="9"/>
  <c r="G154" i="9"/>
  <c r="G153" i="9"/>
  <c r="G152" i="9"/>
  <c r="G151" i="9"/>
  <c r="H50" i="8"/>
  <c r="F147" i="9"/>
  <c r="T49" i="8"/>
  <c r="F145" i="9"/>
  <c r="G146" i="9"/>
  <c r="G145" i="9"/>
  <c r="G144" i="9"/>
  <c r="G143" i="9"/>
  <c r="H48" i="8"/>
  <c r="F139" i="9"/>
  <c r="T47" i="8"/>
  <c r="F137" i="9"/>
  <c r="G138" i="9"/>
  <c r="G137" i="9"/>
  <c r="G136" i="9"/>
  <c r="G135" i="9"/>
  <c r="H46" i="8"/>
  <c r="F131" i="9"/>
  <c r="T45" i="8"/>
  <c r="F129" i="9"/>
  <c r="G130" i="9"/>
  <c r="G129" i="9"/>
  <c r="G128" i="9"/>
  <c r="G127" i="9"/>
  <c r="H44" i="8"/>
  <c r="F123" i="9"/>
  <c r="T43" i="8"/>
  <c r="F121" i="9"/>
  <c r="G122" i="9"/>
  <c r="G121" i="9"/>
  <c r="G120" i="9"/>
  <c r="G119" i="9"/>
  <c r="H42" i="8"/>
  <c r="F115" i="9"/>
  <c r="T41" i="8"/>
  <c r="F113" i="9"/>
  <c r="G114" i="9"/>
  <c r="G113" i="9"/>
  <c r="G112" i="9"/>
  <c r="G111" i="9"/>
  <c r="H40" i="8"/>
  <c r="F107" i="9"/>
  <c r="T39" i="8"/>
  <c r="F105" i="9"/>
  <c r="G106" i="9"/>
  <c r="G105" i="9"/>
  <c r="G104" i="9"/>
  <c r="G103" i="9"/>
  <c r="H38" i="8"/>
  <c r="F99" i="9"/>
  <c r="T37" i="8"/>
  <c r="F97" i="9"/>
  <c r="G98" i="9"/>
  <c r="G97" i="9"/>
  <c r="G96" i="9"/>
  <c r="G95" i="9"/>
  <c r="H36" i="8"/>
  <c r="F91" i="9"/>
  <c r="T35" i="8"/>
  <c r="F89" i="9"/>
  <c r="G90" i="9"/>
  <c r="G89" i="9"/>
  <c r="G88" i="9"/>
  <c r="G87" i="9"/>
  <c r="H34" i="8"/>
  <c r="F83" i="9"/>
  <c r="G194" i="9"/>
  <c r="G193" i="9"/>
  <c r="G192" i="9"/>
  <c r="G191" i="9"/>
  <c r="G186" i="9"/>
  <c r="G185" i="9"/>
  <c r="G184" i="9"/>
  <c r="G183" i="9"/>
  <c r="D178" i="9"/>
  <c r="B178" i="9" s="1"/>
  <c r="D177" i="9"/>
  <c r="B177" i="9" s="1"/>
  <c r="D176" i="9"/>
  <c r="B176" i="9" s="1"/>
  <c r="D175" i="9"/>
  <c r="B175" i="9" s="1"/>
  <c r="I174" i="9"/>
  <c r="I173" i="9"/>
  <c r="I172" i="9"/>
  <c r="I171" i="9"/>
  <c r="D170" i="9"/>
  <c r="B170" i="9" s="1"/>
  <c r="D169" i="9"/>
  <c r="B169" i="9" s="1"/>
  <c r="D168" i="9"/>
  <c r="B168" i="9" s="1"/>
  <c r="D167" i="9"/>
  <c r="B167" i="9" s="1"/>
  <c r="I166" i="9"/>
  <c r="I165" i="9"/>
  <c r="I164" i="9"/>
  <c r="I163" i="9"/>
  <c r="D162" i="9"/>
  <c r="B162" i="9" s="1"/>
  <c r="D161" i="9"/>
  <c r="B161" i="9" s="1"/>
  <c r="D160" i="9"/>
  <c r="B160" i="9" s="1"/>
  <c r="D159" i="9"/>
  <c r="B159" i="9" s="1"/>
  <c r="I158" i="9"/>
  <c r="I157" i="9"/>
  <c r="I156" i="9"/>
  <c r="I155" i="9"/>
  <c r="D154" i="9"/>
  <c r="B154" i="9" s="1"/>
  <c r="D153" i="9"/>
  <c r="B153" i="9" s="1"/>
  <c r="D152" i="9"/>
  <c r="B152" i="9" s="1"/>
  <c r="D151" i="9"/>
  <c r="B151" i="9" s="1"/>
  <c r="I150" i="9"/>
  <c r="I149" i="9"/>
  <c r="I148" i="9"/>
  <c r="I147" i="9"/>
  <c r="D146" i="9"/>
  <c r="B146" i="9" s="1"/>
  <c r="D145" i="9"/>
  <c r="B145" i="9" s="1"/>
  <c r="D144" i="9"/>
  <c r="B144" i="9" s="1"/>
  <c r="D143" i="9"/>
  <c r="B143" i="9" s="1"/>
  <c r="I142" i="9"/>
  <c r="I141" i="9"/>
  <c r="I140" i="9"/>
  <c r="I139" i="9"/>
  <c r="D138" i="9"/>
  <c r="B138" i="9" s="1"/>
  <c r="D137" i="9"/>
  <c r="B137" i="9" s="1"/>
  <c r="D136" i="9"/>
  <c r="B136" i="9" s="1"/>
  <c r="D135" i="9"/>
  <c r="B135" i="9" s="1"/>
  <c r="I134" i="9"/>
  <c r="I133" i="9"/>
  <c r="I132" i="9"/>
  <c r="I131" i="9"/>
  <c r="D130" i="9"/>
  <c r="B130" i="9" s="1"/>
  <c r="D129" i="9"/>
  <c r="B129" i="9" s="1"/>
  <c r="D128" i="9"/>
  <c r="B128" i="9" s="1"/>
  <c r="D127" i="9"/>
  <c r="B127" i="9" s="1"/>
  <c r="I126" i="9"/>
  <c r="I125" i="9"/>
  <c r="I124" i="9"/>
  <c r="I123" i="9"/>
  <c r="D122" i="9"/>
  <c r="B122" i="9" s="1"/>
  <c r="D121" i="9"/>
  <c r="B121" i="9" s="1"/>
  <c r="D120" i="9"/>
  <c r="B120" i="9" s="1"/>
  <c r="D119" i="9"/>
  <c r="B119" i="9" s="1"/>
  <c r="I118" i="9"/>
  <c r="I117" i="9"/>
  <c r="I116" i="9"/>
  <c r="I115" i="9"/>
  <c r="D114" i="9"/>
  <c r="B114" i="9" s="1"/>
  <c r="D113" i="9"/>
  <c r="B113" i="9" s="1"/>
  <c r="D112" i="9"/>
  <c r="B112" i="9" s="1"/>
  <c r="D111" i="9"/>
  <c r="B111" i="9" s="1"/>
  <c r="I110" i="9"/>
  <c r="I109" i="9"/>
  <c r="I108" i="9"/>
  <c r="I107" i="9"/>
  <c r="D106" i="9"/>
  <c r="B106" i="9" s="1"/>
  <c r="D105" i="9"/>
  <c r="B105" i="9" s="1"/>
  <c r="D104" i="9"/>
  <c r="B104" i="9" s="1"/>
  <c r="D103" i="9"/>
  <c r="B103" i="9" s="1"/>
  <c r="I102" i="9"/>
  <c r="I101" i="9"/>
  <c r="I100" i="9"/>
  <c r="I99" i="9"/>
  <c r="D98" i="9"/>
  <c r="B98" i="9" s="1"/>
  <c r="D97" i="9"/>
  <c r="B97" i="9" s="1"/>
  <c r="D96" i="9"/>
  <c r="B96" i="9" s="1"/>
  <c r="D95" i="9"/>
  <c r="B95" i="9" s="1"/>
  <c r="I94" i="9"/>
  <c r="I93" i="9"/>
  <c r="I92" i="9"/>
  <c r="I91" i="9"/>
  <c r="D90" i="9"/>
  <c r="B90" i="9" s="1"/>
  <c r="D89" i="9"/>
  <c r="B89" i="9" s="1"/>
  <c r="D88" i="9"/>
  <c r="B88" i="9" s="1"/>
  <c r="D87" i="9"/>
  <c r="B87" i="9" s="1"/>
  <c r="I86" i="9"/>
  <c r="I85" i="9"/>
  <c r="I84" i="9"/>
  <c r="I83" i="9"/>
  <c r="I330" i="9"/>
  <c r="I329" i="9"/>
  <c r="I328" i="9"/>
  <c r="I327" i="9"/>
  <c r="I322" i="9"/>
  <c r="I321" i="9"/>
  <c r="I320" i="9"/>
  <c r="I319" i="9"/>
  <c r="I314" i="9"/>
  <c r="I313" i="9"/>
  <c r="I312" i="9"/>
  <c r="I311" i="9"/>
  <c r="V62" i="8"/>
  <c r="O62" i="8"/>
  <c r="V61" i="8"/>
  <c r="Y62" i="8"/>
  <c r="W61" i="8"/>
  <c r="Y57" i="8"/>
  <c r="W57" i="8"/>
  <c r="Y59" i="8"/>
  <c r="W59" i="8"/>
  <c r="O113" i="8"/>
  <c r="M113" i="8"/>
  <c r="V89" i="8"/>
  <c r="F306" i="9" s="1"/>
  <c r="T89" i="8"/>
  <c r="R89" i="8"/>
  <c r="V88" i="8"/>
  <c r="F302" i="9" s="1"/>
  <c r="T88" i="8"/>
  <c r="R88" i="8"/>
  <c r="V87" i="8"/>
  <c r="F298" i="9" s="1"/>
  <c r="T87" i="8"/>
  <c r="R87" i="8"/>
  <c r="V86" i="8"/>
  <c r="F294" i="9" s="1"/>
  <c r="T86" i="8"/>
  <c r="R86" i="8"/>
  <c r="V85" i="8"/>
  <c r="F290" i="9" s="1"/>
  <c r="T85" i="8"/>
  <c r="R85" i="8"/>
  <c r="V84" i="8"/>
  <c r="F286" i="9" s="1"/>
  <c r="T84" i="8"/>
  <c r="R84" i="8"/>
  <c r="V83" i="8"/>
  <c r="F282" i="9" s="1"/>
  <c r="T83" i="8"/>
  <c r="R83" i="8"/>
  <c r="V82" i="8"/>
  <c r="F278" i="9" s="1"/>
  <c r="T82" i="8"/>
  <c r="R82" i="8"/>
  <c r="V81" i="8"/>
  <c r="F274" i="9" s="1"/>
  <c r="T81" i="8"/>
  <c r="R81" i="8"/>
  <c r="V80" i="8"/>
  <c r="F270" i="9" s="1"/>
  <c r="T80" i="8"/>
  <c r="R80" i="8"/>
  <c r="V79" i="8"/>
  <c r="F266" i="9" s="1"/>
  <c r="T79" i="8"/>
  <c r="R79" i="8"/>
  <c r="V78" i="8"/>
  <c r="F262" i="9" s="1"/>
  <c r="T78" i="8"/>
  <c r="R78" i="8"/>
  <c r="V77" i="8"/>
  <c r="F258" i="9" s="1"/>
  <c r="T77" i="8"/>
  <c r="R77" i="8"/>
  <c r="V76" i="8"/>
  <c r="F254" i="9" s="1"/>
  <c r="T76" i="8"/>
  <c r="R76" i="8"/>
  <c r="T75" i="8"/>
  <c r="H75" i="8"/>
  <c r="T74" i="8"/>
  <c r="H74" i="8"/>
  <c r="T73" i="8"/>
  <c r="H73" i="8"/>
  <c r="T72" i="8"/>
  <c r="H72" i="8"/>
  <c r="T71" i="8"/>
  <c r="H71" i="8"/>
  <c r="T70" i="8"/>
  <c r="H70" i="8"/>
  <c r="T69" i="8"/>
  <c r="H69" i="8"/>
  <c r="T68" i="8"/>
  <c r="H68" i="8"/>
  <c r="T67" i="8"/>
  <c r="H67" i="8"/>
  <c r="T66" i="8"/>
  <c r="H66" i="8"/>
  <c r="T65" i="8"/>
  <c r="H65" i="8"/>
  <c r="T64" i="8"/>
  <c r="H64" i="8"/>
  <c r="T63" i="8"/>
  <c r="H63" i="8"/>
  <c r="H62" i="8"/>
  <c r="H61" i="8"/>
  <c r="V60" i="8"/>
  <c r="F190" i="9" s="1"/>
  <c r="H59" i="8"/>
  <c r="V58" i="8"/>
  <c r="F182" i="9" s="1"/>
  <c r="T57" i="8"/>
  <c r="V75" i="8"/>
  <c r="F250" i="9" s="1"/>
  <c r="M61" i="8"/>
  <c r="O60" i="8"/>
  <c r="M59" i="8"/>
  <c r="O58" i="8"/>
  <c r="J57" i="8"/>
  <c r="V56" i="8"/>
  <c r="F174" i="9" s="1"/>
  <c r="R56" i="8"/>
  <c r="J56" i="8"/>
  <c r="V55" i="8"/>
  <c r="F170" i="9" s="1"/>
  <c r="R55" i="8"/>
  <c r="J55" i="8"/>
  <c r="V54" i="8"/>
  <c r="F166" i="9" s="1"/>
  <c r="R54" i="8"/>
  <c r="J54" i="8"/>
  <c r="V53" i="8"/>
  <c r="F162" i="9" s="1"/>
  <c r="R53" i="8"/>
  <c r="J53" i="8"/>
  <c r="V52" i="8"/>
  <c r="F158" i="9" s="1"/>
  <c r="R52" i="8"/>
  <c r="J52" i="8"/>
  <c r="V51" i="8"/>
  <c r="F154" i="9" s="1"/>
  <c r="R51" i="8"/>
  <c r="J51" i="8"/>
  <c r="V50" i="8"/>
  <c r="F150" i="9" s="1"/>
  <c r="R50" i="8"/>
  <c r="J50" i="8"/>
  <c r="V49" i="8"/>
  <c r="F146" i="9" s="1"/>
  <c r="R49" i="8"/>
  <c r="J49" i="8"/>
  <c r="V48" i="8"/>
  <c r="F142" i="9" s="1"/>
  <c r="R48" i="8"/>
  <c r="J48" i="8"/>
  <c r="V47" i="8"/>
  <c r="F138" i="9" s="1"/>
  <c r="R47" i="8"/>
  <c r="J47" i="8"/>
  <c r="V46" i="8"/>
  <c r="F134" i="9" s="1"/>
  <c r="R46" i="8"/>
  <c r="J46" i="8"/>
  <c r="V45" i="8"/>
  <c r="F130" i="9" s="1"/>
  <c r="R45" i="8"/>
  <c r="J45" i="8"/>
  <c r="V44" i="8"/>
  <c r="F126" i="9" s="1"/>
  <c r="R44" i="8"/>
  <c r="J44" i="8"/>
  <c r="V43" i="8"/>
  <c r="F122" i="9" s="1"/>
  <c r="R43" i="8"/>
  <c r="J43" i="8"/>
  <c r="V42" i="8"/>
  <c r="F118" i="9" s="1"/>
  <c r="R42" i="8"/>
  <c r="J42" i="8"/>
  <c r="V41" i="8"/>
  <c r="F114" i="9" s="1"/>
  <c r="R41" i="8"/>
  <c r="J41" i="8"/>
  <c r="V40" i="8"/>
  <c r="F110" i="9" s="1"/>
  <c r="R40" i="8"/>
  <c r="J40" i="8"/>
  <c r="V39" i="8"/>
  <c r="F106" i="9" s="1"/>
  <c r="R39" i="8"/>
  <c r="J39" i="8"/>
  <c r="V38" i="8"/>
  <c r="F102" i="9" s="1"/>
  <c r="R38" i="8"/>
  <c r="J38" i="8"/>
  <c r="V37" i="8"/>
  <c r="F98" i="9" s="1"/>
  <c r="R37" i="8"/>
  <c r="J37" i="8"/>
  <c r="V36" i="8"/>
  <c r="F94" i="9" s="1"/>
  <c r="R36" i="8"/>
  <c r="J36" i="8"/>
  <c r="V35" i="8"/>
  <c r="F90" i="9" s="1"/>
  <c r="R35" i="8"/>
  <c r="J35" i="8"/>
  <c r="V34" i="8"/>
  <c r="F86" i="9" s="1"/>
  <c r="R34" i="8"/>
  <c r="J34" i="8"/>
  <c r="R57" i="8"/>
  <c r="V113" i="8"/>
  <c r="F402" i="9" s="1"/>
  <c r="J89" i="8"/>
  <c r="H89" i="8"/>
  <c r="J88" i="8"/>
  <c r="H88" i="8"/>
  <c r="J87" i="8"/>
  <c r="H87" i="8"/>
  <c r="J86" i="8"/>
  <c r="H86" i="8"/>
  <c r="J85" i="8"/>
  <c r="H85" i="8"/>
  <c r="J84" i="8"/>
  <c r="H84" i="8"/>
  <c r="J83" i="8"/>
  <c r="H83" i="8"/>
  <c r="J82" i="8"/>
  <c r="H82" i="8"/>
  <c r="J81" i="8"/>
  <c r="H81" i="8"/>
  <c r="J80" i="8"/>
  <c r="H80" i="8"/>
  <c r="J79" i="8"/>
  <c r="H79" i="8"/>
  <c r="J78" i="8"/>
  <c r="H78" i="8"/>
  <c r="J77" i="8"/>
  <c r="H77" i="8"/>
  <c r="J76" i="8"/>
  <c r="H76" i="8"/>
  <c r="V74" i="8"/>
  <c r="F246" i="9" s="1"/>
  <c r="V73" i="8"/>
  <c r="F242" i="9" s="1"/>
  <c r="V72" i="8"/>
  <c r="F238" i="9" s="1"/>
  <c r="V71" i="8"/>
  <c r="F234" i="9" s="1"/>
  <c r="V70" i="8"/>
  <c r="F230" i="9" s="1"/>
  <c r="V69" i="8"/>
  <c r="F226" i="9" s="1"/>
  <c r="V68" i="8"/>
  <c r="F222" i="9" s="1"/>
  <c r="V67" i="8"/>
  <c r="F218" i="9" s="1"/>
  <c r="V66" i="8"/>
  <c r="F214" i="9" s="1"/>
  <c r="V65" i="8"/>
  <c r="F210" i="9" s="1"/>
  <c r="V64" i="8"/>
  <c r="F206" i="9" s="1"/>
  <c r="V63" i="8"/>
  <c r="F202" i="9" s="1"/>
  <c r="J62" i="8"/>
  <c r="J61" i="8"/>
  <c r="J59" i="8"/>
  <c r="AG371" i="3"/>
  <c r="AJ370" i="3"/>
  <c r="AF501" i="3"/>
  <c r="AF423" i="3"/>
  <c r="AE391" i="3"/>
  <c r="AN391" i="3" s="1"/>
  <c r="AO391" i="3"/>
  <c r="AI397" i="3"/>
  <c r="AL411" i="3"/>
  <c r="AI421" i="3"/>
  <c r="AH420" i="3"/>
  <c r="AI423" i="3"/>
  <c r="AH421" i="3"/>
  <c r="AI420" i="3"/>
  <c r="AF396" i="3"/>
  <c r="AK412" i="3"/>
  <c r="AQ411" i="3"/>
  <c r="AL413" i="3"/>
  <c r="AJ418" i="3"/>
  <c r="AF417" i="3"/>
  <c r="AO416" i="3"/>
  <c r="AL415" i="3"/>
  <c r="AJ423" i="3"/>
  <c r="AI422" i="3"/>
  <c r="AL422" i="3"/>
  <c r="AL421" i="3"/>
  <c r="AK421" i="3"/>
  <c r="AE431" i="3"/>
  <c r="AN431" i="3" s="1"/>
  <c r="AO431" i="3"/>
  <c r="AL412" i="3"/>
  <c r="AK410" i="3"/>
  <c r="AH423" i="3"/>
  <c r="AK422" i="3"/>
  <c r="AG422" i="3"/>
  <c r="AG421" i="3"/>
  <c r="AJ420" i="3"/>
  <c r="AF420" i="3"/>
  <c r="AK423" i="3"/>
  <c r="AJ422" i="3"/>
  <c r="AF422" i="3"/>
  <c r="AJ421" i="3"/>
  <c r="AF421" i="3"/>
  <c r="AK420" i="3"/>
  <c r="AG420" i="3"/>
  <c r="AO421" i="3"/>
  <c r="AL420" i="3"/>
  <c r="AG396" i="3"/>
  <c r="AJ395" i="3"/>
  <c r="AG398" i="3"/>
  <c r="AQ401" i="3"/>
  <c r="AG501" i="3"/>
  <c r="AN500" i="3"/>
  <c r="AO502" i="3"/>
  <c r="AC503" i="3"/>
  <c r="AQ502" i="3"/>
  <c r="AM502" i="3" s="1"/>
  <c r="AG370" i="3"/>
  <c r="AJ398" i="3"/>
  <c r="AF397" i="3"/>
  <c r="AO396" i="3"/>
  <c r="AK396" i="3"/>
  <c r="AL395" i="3"/>
  <c r="AN495" i="3"/>
  <c r="AN497" i="3"/>
  <c r="AO497" i="3"/>
  <c r="AC498" i="3"/>
  <c r="AQ497" i="3"/>
  <c r="AN496" i="3"/>
  <c r="AN490" i="3"/>
  <c r="AN492" i="3"/>
  <c r="AO492" i="3"/>
  <c r="AC493" i="3"/>
  <c r="AQ492" i="3"/>
  <c r="AN491" i="3"/>
  <c r="AN485" i="3"/>
  <c r="AN487" i="3"/>
  <c r="AO487" i="3"/>
  <c r="AC488" i="3"/>
  <c r="AQ487" i="3"/>
  <c r="AN486" i="3"/>
  <c r="AN480" i="3"/>
  <c r="AN482" i="3"/>
  <c r="AO482" i="3"/>
  <c r="AC483" i="3"/>
  <c r="AQ482" i="3"/>
  <c r="AN481" i="3"/>
  <c r="AN475" i="3"/>
  <c r="AN477" i="3"/>
  <c r="AO477" i="3"/>
  <c r="AC478" i="3"/>
  <c r="AQ477" i="3"/>
  <c r="AN476" i="3"/>
  <c r="AN470" i="3"/>
  <c r="AN472" i="3"/>
  <c r="AO472" i="3"/>
  <c r="AC473" i="3"/>
  <c r="AQ472" i="3"/>
  <c r="AN471" i="3"/>
  <c r="AN465" i="3"/>
  <c r="AN467" i="3"/>
  <c r="AO467" i="3"/>
  <c r="AC468" i="3"/>
  <c r="AQ467" i="3"/>
  <c r="AH413" i="3"/>
  <c r="AG412" i="3"/>
  <c r="AI411" i="3"/>
  <c r="AH410" i="3"/>
  <c r="AI413" i="3"/>
  <c r="AH412" i="3"/>
  <c r="AH411" i="3"/>
  <c r="AG410" i="3"/>
  <c r="AI417" i="3"/>
  <c r="AG416" i="3"/>
  <c r="AJ415" i="3"/>
  <c r="AG418" i="3"/>
  <c r="AF416" i="3"/>
  <c r="AK415" i="3"/>
  <c r="AN466" i="3"/>
  <c r="AN460" i="3"/>
  <c r="AJ102" i="3"/>
  <c r="AC112" i="3"/>
  <c r="AE112" i="3" s="1"/>
  <c r="AL377" i="3"/>
  <c r="AN462" i="3"/>
  <c r="AO462" i="3"/>
  <c r="AC463" i="3"/>
  <c r="AQ462" i="3"/>
  <c r="AN461" i="3"/>
  <c r="AF378" i="3"/>
  <c r="AF375" i="3"/>
  <c r="AL376" i="3"/>
  <c r="AO376" i="3"/>
  <c r="AK376" i="3"/>
  <c r="AJ413" i="3"/>
  <c r="AF413" i="3"/>
  <c r="AI412" i="3"/>
  <c r="AG411" i="3"/>
  <c r="AJ410" i="3"/>
  <c r="AF410" i="3"/>
  <c r="AK413" i="3"/>
  <c r="AJ412" i="3"/>
  <c r="AF412" i="3"/>
  <c r="AJ411" i="3"/>
  <c r="AF411" i="3"/>
  <c r="AI410" i="3"/>
  <c r="AO411" i="3"/>
  <c r="AK411" i="3"/>
  <c r="AL410" i="3"/>
  <c r="AF418" i="3"/>
  <c r="AF415" i="3"/>
  <c r="AK418" i="3"/>
  <c r="AJ417" i="3"/>
  <c r="AJ416" i="3"/>
  <c r="AG415" i="3"/>
  <c r="AN455" i="3"/>
  <c r="AH372" i="3"/>
  <c r="AF398" i="3"/>
  <c r="AF395" i="3"/>
  <c r="AK398" i="3"/>
  <c r="AJ397" i="3"/>
  <c r="AJ396" i="3"/>
  <c r="AI395" i="3"/>
  <c r="AE401" i="3"/>
  <c r="AN401" i="3" s="1"/>
  <c r="AN457" i="3"/>
  <c r="AO457" i="3"/>
  <c r="AC458" i="3"/>
  <c r="AQ457" i="3"/>
  <c r="AN456" i="3"/>
  <c r="AN450" i="3"/>
  <c r="AN452" i="3"/>
  <c r="AO452" i="3"/>
  <c r="AC453" i="3"/>
  <c r="AQ452" i="3"/>
  <c r="AN451" i="3"/>
  <c r="AN445" i="3"/>
  <c r="AN446" i="3"/>
  <c r="AO447" i="3"/>
  <c r="AC448" i="3"/>
  <c r="AQ447" i="3"/>
  <c r="AQ201" i="3"/>
  <c r="AJ378" i="3"/>
  <c r="AI377" i="3"/>
  <c r="AG376" i="3"/>
  <c r="AJ375" i="3"/>
  <c r="AI378" i="3"/>
  <c r="AH377" i="3"/>
  <c r="AH376" i="3"/>
  <c r="AI375" i="3"/>
  <c r="AQ386" i="3"/>
  <c r="AC392" i="3"/>
  <c r="AE392" i="3" s="1"/>
  <c r="AN392" i="3" s="1"/>
  <c r="AH418" i="3"/>
  <c r="AK417" i="3"/>
  <c r="AG417" i="3"/>
  <c r="AI416" i="3"/>
  <c r="AH415" i="3"/>
  <c r="AI418" i="3"/>
  <c r="AL417" i="3"/>
  <c r="AH417" i="3"/>
  <c r="AL416" i="3"/>
  <c r="AH416" i="3"/>
  <c r="AI415" i="3"/>
  <c r="AK416" i="3"/>
  <c r="AQ416" i="3"/>
  <c r="AE447" i="3"/>
  <c r="AN447" i="3" s="1"/>
  <c r="AN440" i="3"/>
  <c r="AN442" i="3"/>
  <c r="AO442" i="3"/>
  <c r="AC443" i="3"/>
  <c r="AQ442" i="3"/>
  <c r="AH378" i="3"/>
  <c r="AK377" i="3"/>
  <c r="AG377" i="3"/>
  <c r="AI376" i="3"/>
  <c r="AH375" i="3"/>
  <c r="AK378" i="3"/>
  <c r="AG378" i="3"/>
  <c r="AJ377" i="3"/>
  <c r="AF377" i="3"/>
  <c r="AJ376" i="3"/>
  <c r="AF376" i="3"/>
  <c r="AK375" i="3"/>
  <c r="AG375" i="3"/>
  <c r="AQ376" i="3"/>
  <c r="AL375" i="3"/>
  <c r="AE386" i="3"/>
  <c r="AN386" i="3" s="1"/>
  <c r="AO386" i="3"/>
  <c r="AH398" i="3"/>
  <c r="AK397" i="3"/>
  <c r="AG397" i="3"/>
  <c r="AI396" i="3"/>
  <c r="AH395" i="3"/>
  <c r="AI398" i="3"/>
  <c r="AL397" i="3"/>
  <c r="AH397" i="3"/>
  <c r="AL396" i="3"/>
  <c r="AH396" i="3"/>
  <c r="AK395" i="3"/>
  <c r="AG395" i="3"/>
  <c r="AQ396" i="3"/>
  <c r="AO401" i="3"/>
  <c r="AN441" i="3"/>
  <c r="AN435" i="3"/>
  <c r="AN436" i="3"/>
  <c r="AO437" i="3"/>
  <c r="AC438" i="3"/>
  <c r="AQ437" i="3"/>
  <c r="AN437" i="3"/>
  <c r="AN432" i="3"/>
  <c r="AN430" i="3"/>
  <c r="AO432" i="3"/>
  <c r="AC433" i="3"/>
  <c r="AQ432" i="3"/>
  <c r="AN425" i="3"/>
  <c r="AK372" i="3"/>
  <c r="AI373" i="3"/>
  <c r="AH371" i="3"/>
  <c r="AN426" i="3"/>
  <c r="AO427" i="3"/>
  <c r="AC428" i="3"/>
  <c r="AQ427" i="3"/>
  <c r="AN427" i="3"/>
  <c r="AH373" i="3"/>
  <c r="AG372" i="3"/>
  <c r="AF370" i="3"/>
  <c r="AL372" i="3"/>
  <c r="AL371" i="3"/>
  <c r="AK370" i="3"/>
  <c r="AQ371" i="3"/>
  <c r="AL373" i="3"/>
  <c r="AO422" i="3"/>
  <c r="AC423" i="3"/>
  <c r="AQ422" i="3"/>
  <c r="AJ373" i="3"/>
  <c r="AF373" i="3"/>
  <c r="AI372" i="3"/>
  <c r="AI371" i="3"/>
  <c r="AH370" i="3"/>
  <c r="AK373" i="3"/>
  <c r="AJ372" i="3"/>
  <c r="AF372" i="3"/>
  <c r="AJ371" i="3"/>
  <c r="AF371" i="3"/>
  <c r="AI370" i="3"/>
  <c r="AO371" i="3"/>
  <c r="AK371" i="3"/>
  <c r="AL370" i="3"/>
  <c r="AE422" i="3"/>
  <c r="AO417" i="3"/>
  <c r="AC418" i="3"/>
  <c r="AQ417" i="3"/>
  <c r="AO412" i="3"/>
  <c r="AC413" i="3"/>
  <c r="AQ412" i="3"/>
  <c r="AN405" i="3"/>
  <c r="AN406" i="3"/>
  <c r="AO407" i="3"/>
  <c r="AC408" i="3"/>
  <c r="AQ407" i="3"/>
  <c r="AN407" i="3"/>
  <c r="AO402" i="3"/>
  <c r="AC403" i="3"/>
  <c r="AQ402" i="3"/>
  <c r="AN402" i="3"/>
  <c r="AN400" i="3"/>
  <c r="AO397" i="3"/>
  <c r="AC398" i="3"/>
  <c r="AQ397" i="3"/>
  <c r="AN390" i="3"/>
  <c r="AO387" i="3"/>
  <c r="AC388" i="3"/>
  <c r="AQ387" i="3"/>
  <c r="AN387" i="3"/>
  <c r="AN385" i="3"/>
  <c r="AE201" i="3"/>
  <c r="AN201" i="3" s="1"/>
  <c r="AO201" i="3"/>
  <c r="AN380" i="3"/>
  <c r="AN381" i="3"/>
  <c r="AO382" i="3"/>
  <c r="AC383" i="3"/>
  <c r="AQ382" i="3"/>
  <c r="AN382" i="3"/>
  <c r="AO377" i="3"/>
  <c r="AC378" i="3"/>
  <c r="AQ377" i="3"/>
  <c r="AO372" i="3"/>
  <c r="AC373" i="3"/>
  <c r="AQ372" i="3"/>
  <c r="AN365" i="3"/>
  <c r="AN367" i="3"/>
  <c r="AO367" i="3"/>
  <c r="AC368" i="3"/>
  <c r="AQ367" i="3"/>
  <c r="AN366" i="3"/>
  <c r="AN360" i="3"/>
  <c r="AN362" i="3"/>
  <c r="AO362" i="3"/>
  <c r="AC363" i="3"/>
  <c r="AQ362" i="3"/>
  <c r="AN361" i="3"/>
  <c r="AN355" i="3"/>
  <c r="AN357" i="3"/>
  <c r="AO357" i="3"/>
  <c r="AC358" i="3"/>
  <c r="AQ357" i="3"/>
  <c r="AN356" i="3"/>
  <c r="AN350" i="3"/>
  <c r="AN352" i="3"/>
  <c r="AO352" i="3"/>
  <c r="AC353" i="3"/>
  <c r="AQ352" i="3"/>
  <c r="AN351" i="3"/>
  <c r="AN345" i="3"/>
  <c r="AN347" i="3"/>
  <c r="AO347" i="3"/>
  <c r="AC348" i="3"/>
  <c r="AQ347" i="3"/>
  <c r="AN346" i="3"/>
  <c r="AN340" i="3"/>
  <c r="AN342" i="3"/>
  <c r="AO342" i="3"/>
  <c r="AC343" i="3"/>
  <c r="AQ342" i="3"/>
  <c r="AN341" i="3"/>
  <c r="AN335" i="3"/>
  <c r="AN336" i="3"/>
  <c r="AO337" i="3"/>
  <c r="AC338" i="3"/>
  <c r="AQ337" i="3"/>
  <c r="AE337" i="3"/>
  <c r="AN337" i="3" s="1"/>
  <c r="AN330" i="3"/>
  <c r="AN332" i="3"/>
  <c r="AO332" i="3"/>
  <c r="AC333" i="3"/>
  <c r="AQ332" i="3"/>
  <c r="AN331" i="3"/>
  <c r="AN325" i="3"/>
  <c r="AN327" i="3"/>
  <c r="AO327" i="3"/>
  <c r="AC328" i="3"/>
  <c r="AQ327" i="3"/>
  <c r="AN326" i="3"/>
  <c r="AN320" i="3"/>
  <c r="AO322" i="3"/>
  <c r="AC323" i="3"/>
  <c r="AQ322" i="3"/>
  <c r="AN322" i="3"/>
  <c r="AN321" i="3"/>
  <c r="AN315" i="3"/>
  <c r="AN317" i="3"/>
  <c r="AO317" i="3"/>
  <c r="AC318" i="3"/>
  <c r="AQ317" i="3"/>
  <c r="AN316" i="3"/>
  <c r="AN310" i="3"/>
  <c r="AN312" i="3"/>
  <c r="AO312" i="3"/>
  <c r="AC313" i="3"/>
  <c r="AQ312" i="3"/>
  <c r="AN311" i="3"/>
  <c r="AN305" i="3"/>
  <c r="AN307" i="3"/>
  <c r="AO307" i="3"/>
  <c r="AC308" i="3"/>
  <c r="AQ307" i="3"/>
  <c r="AN306" i="3"/>
  <c r="AN300" i="3"/>
  <c r="AN302" i="3"/>
  <c r="AO302" i="3"/>
  <c r="AC303" i="3"/>
  <c r="AQ302" i="3"/>
  <c r="AN301" i="3"/>
  <c r="AN295" i="3"/>
  <c r="AN296" i="3"/>
  <c r="AO297" i="3"/>
  <c r="AC298" i="3"/>
  <c r="AQ297" i="3"/>
  <c r="AE297" i="3"/>
  <c r="AN297" i="3" s="1"/>
  <c r="AN290" i="3"/>
  <c r="AN292" i="3"/>
  <c r="AO292" i="3"/>
  <c r="AC293" i="3"/>
  <c r="AQ292" i="3"/>
  <c r="AN291" i="3"/>
  <c r="AJ103" i="3"/>
  <c r="AN285" i="3"/>
  <c r="AN287" i="3"/>
  <c r="AO287" i="3"/>
  <c r="AC288" i="3"/>
  <c r="AQ287" i="3"/>
  <c r="AN286" i="3"/>
  <c r="AI102" i="3"/>
  <c r="AF100" i="3"/>
  <c r="AK103" i="3"/>
  <c r="AJ101" i="3"/>
  <c r="AG100" i="3"/>
  <c r="AO101" i="3"/>
  <c r="AK101" i="3"/>
  <c r="AE111" i="3"/>
  <c r="AN111" i="3" s="1"/>
  <c r="AO111" i="3"/>
  <c r="AN280" i="3"/>
  <c r="AN282" i="3"/>
  <c r="AO282" i="3"/>
  <c r="AC283" i="3"/>
  <c r="AQ282" i="3"/>
  <c r="AN281" i="3"/>
  <c r="AN275" i="3"/>
  <c r="AN277" i="3"/>
  <c r="AO277" i="3"/>
  <c r="AC278" i="3"/>
  <c r="AQ277" i="3"/>
  <c r="AN276" i="3"/>
  <c r="AN270" i="3"/>
  <c r="AN272" i="3"/>
  <c r="AO272" i="3"/>
  <c r="AC273" i="3"/>
  <c r="AQ272" i="3"/>
  <c r="AN271" i="3"/>
  <c r="AN265" i="3"/>
  <c r="AN267" i="3"/>
  <c r="AO267" i="3"/>
  <c r="AC268" i="3"/>
  <c r="AQ267" i="3"/>
  <c r="AN266" i="3"/>
  <c r="AN260" i="3"/>
  <c r="AN262" i="3"/>
  <c r="AO262" i="3"/>
  <c r="AC263" i="3"/>
  <c r="AQ262" i="3"/>
  <c r="AN261" i="3"/>
  <c r="AN255" i="3"/>
  <c r="AN257" i="3"/>
  <c r="AO257" i="3"/>
  <c r="AC258" i="3"/>
  <c r="AQ257" i="3"/>
  <c r="AN256" i="3"/>
  <c r="AN250" i="3"/>
  <c r="AN252" i="3"/>
  <c r="AO252" i="3"/>
  <c r="AC253" i="3"/>
  <c r="AQ252" i="3"/>
  <c r="AN251" i="3"/>
  <c r="AN245" i="3"/>
  <c r="AN247" i="3"/>
  <c r="AO247" i="3"/>
  <c r="AC248" i="3"/>
  <c r="AQ247" i="3"/>
  <c r="AN246" i="3"/>
  <c r="AN240" i="3"/>
  <c r="AN242" i="3"/>
  <c r="AO242" i="3"/>
  <c r="AC243" i="3"/>
  <c r="AQ242" i="3"/>
  <c r="AN241" i="3"/>
  <c r="AC42" i="3"/>
  <c r="AC43" i="3" s="1"/>
  <c r="AN235" i="3"/>
  <c r="AN237" i="3"/>
  <c r="AO237" i="3"/>
  <c r="AC238" i="3"/>
  <c r="AQ237" i="3"/>
  <c r="AN236" i="3"/>
  <c r="AN230" i="3"/>
  <c r="AN232" i="3"/>
  <c r="AO232" i="3"/>
  <c r="AC233" i="3"/>
  <c r="AQ232" i="3"/>
  <c r="AN231" i="3"/>
  <c r="AN225" i="3"/>
  <c r="AN227" i="3"/>
  <c r="AO227" i="3"/>
  <c r="AC228" i="3"/>
  <c r="AQ227" i="3"/>
  <c r="AC92" i="3"/>
  <c r="AE92" i="3" s="1"/>
  <c r="AN92" i="3" s="1"/>
  <c r="AN226" i="3"/>
  <c r="AN220" i="3"/>
  <c r="AN222" i="3"/>
  <c r="AO222" i="3"/>
  <c r="AC223" i="3"/>
  <c r="AQ222" i="3"/>
  <c r="AN221" i="3"/>
  <c r="AN215" i="3"/>
  <c r="AN217" i="3"/>
  <c r="AO217" i="3"/>
  <c r="AC218" i="3"/>
  <c r="AQ217" i="3"/>
  <c r="AN216" i="3"/>
  <c r="AN210" i="3"/>
  <c r="AN212" i="3"/>
  <c r="AO212" i="3"/>
  <c r="AC213" i="3"/>
  <c r="AQ212" i="3"/>
  <c r="AN211" i="3"/>
  <c r="AF103" i="3"/>
  <c r="AG101" i="3"/>
  <c r="AJ100" i="3"/>
  <c r="AG103" i="3"/>
  <c r="AF102" i="3"/>
  <c r="AF101" i="3"/>
  <c r="AK100" i="3"/>
  <c r="AN205" i="3"/>
  <c r="AL36" i="3"/>
  <c r="AK36" i="3"/>
  <c r="AN206" i="3"/>
  <c r="AO207" i="3"/>
  <c r="AC208" i="3"/>
  <c r="AQ207" i="3"/>
  <c r="AN207" i="3"/>
  <c r="AO96" i="3"/>
  <c r="AN202" i="3"/>
  <c r="AN200" i="3"/>
  <c r="AO202" i="3"/>
  <c r="AC203" i="3"/>
  <c r="AQ202" i="3"/>
  <c r="AN195" i="3"/>
  <c r="AN197" i="3"/>
  <c r="AO197" i="3"/>
  <c r="AC198" i="3"/>
  <c r="AQ197" i="3"/>
  <c r="AN196" i="3"/>
  <c r="AN190" i="3"/>
  <c r="AN192" i="3"/>
  <c r="AO192" i="3"/>
  <c r="AC193" i="3"/>
  <c r="AQ192" i="3"/>
  <c r="AN191" i="3"/>
  <c r="AC97" i="3"/>
  <c r="AE97" i="3" s="1"/>
  <c r="AN97" i="3" s="1"/>
  <c r="AN185" i="3"/>
  <c r="AN187" i="3"/>
  <c r="AO187" i="3"/>
  <c r="AC188" i="3"/>
  <c r="AQ187" i="3"/>
  <c r="AN186" i="3"/>
  <c r="AN180" i="3"/>
  <c r="AN182" i="3"/>
  <c r="AO182" i="3"/>
  <c r="AC183" i="3"/>
  <c r="AQ182" i="3"/>
  <c r="AN181" i="3"/>
  <c r="AN175" i="3"/>
  <c r="AN177" i="3"/>
  <c r="AO177" i="3"/>
  <c r="AC178" i="3"/>
  <c r="AQ177" i="3"/>
  <c r="AC62" i="3"/>
  <c r="AE62" i="3" s="1"/>
  <c r="AN62" i="3" s="1"/>
  <c r="AG86" i="3"/>
  <c r="AJ85" i="3"/>
  <c r="AN176" i="3"/>
  <c r="AN170" i="3"/>
  <c r="AN172" i="3"/>
  <c r="AO172" i="3"/>
  <c r="AC173" i="3"/>
  <c r="AQ172" i="3"/>
  <c r="AN171" i="3"/>
  <c r="AN165" i="3"/>
  <c r="AN167" i="3"/>
  <c r="AO167" i="3"/>
  <c r="AC168" i="3"/>
  <c r="AQ167" i="3"/>
  <c r="AN166" i="3"/>
  <c r="AN160" i="3"/>
  <c r="AO162" i="3"/>
  <c r="AC163" i="3"/>
  <c r="AQ162" i="3"/>
  <c r="AN161" i="3"/>
  <c r="AH18" i="3"/>
  <c r="AH103" i="3"/>
  <c r="AK102" i="3"/>
  <c r="AG102" i="3"/>
  <c r="AI101" i="3"/>
  <c r="AH100" i="3"/>
  <c r="AI103" i="3"/>
  <c r="AL102" i="3"/>
  <c r="AH102" i="3"/>
  <c r="AL101" i="3"/>
  <c r="AH101" i="3"/>
  <c r="AI100" i="3"/>
  <c r="AQ101" i="3"/>
  <c r="AL100" i="3"/>
  <c r="AE162" i="3"/>
  <c r="AN162" i="3" s="1"/>
  <c r="AN155" i="3"/>
  <c r="AN156" i="3"/>
  <c r="AO157" i="3"/>
  <c r="AC158" i="3"/>
  <c r="AQ157" i="3"/>
  <c r="AJ17" i="3"/>
  <c r="AE157" i="3"/>
  <c r="AN157" i="3" s="1"/>
  <c r="AG17" i="3"/>
  <c r="AF15" i="3"/>
  <c r="AK18" i="3"/>
  <c r="AJ16" i="3"/>
  <c r="AG15" i="3"/>
  <c r="AC57" i="3"/>
  <c r="AC58" i="3" s="1"/>
  <c r="AC67" i="3"/>
  <c r="AO67" i="3" s="1"/>
  <c r="AJ88" i="3"/>
  <c r="AH87" i="3"/>
  <c r="AN150" i="3"/>
  <c r="AN152" i="3"/>
  <c r="AO152" i="3"/>
  <c r="AC153" i="3"/>
  <c r="AQ152" i="3"/>
  <c r="AN151" i="3"/>
  <c r="AN145" i="3"/>
  <c r="AN147" i="3"/>
  <c r="AO147" i="3"/>
  <c r="AC148" i="3"/>
  <c r="AQ147" i="3"/>
  <c r="AN146" i="3"/>
  <c r="AN140" i="3"/>
  <c r="AN142" i="3"/>
  <c r="AO142" i="3"/>
  <c r="AC143" i="3"/>
  <c r="AQ142" i="3"/>
  <c r="AN141" i="3"/>
  <c r="AN135" i="3"/>
  <c r="AN137" i="3"/>
  <c r="AO137" i="3"/>
  <c r="AC138" i="3"/>
  <c r="AQ137" i="3"/>
  <c r="AN136" i="3"/>
  <c r="AN130" i="3"/>
  <c r="AN132" i="3"/>
  <c r="AO132" i="3"/>
  <c r="AC133" i="3"/>
  <c r="AQ132" i="3"/>
  <c r="AG37" i="3"/>
  <c r="AF35" i="3"/>
  <c r="AE96" i="3"/>
  <c r="AN96" i="3" s="1"/>
  <c r="AN131" i="3"/>
  <c r="AN125" i="3"/>
  <c r="AN127" i="3"/>
  <c r="AO127" i="3"/>
  <c r="AC128" i="3"/>
  <c r="AQ127" i="3"/>
  <c r="AN126" i="3"/>
  <c r="AN120" i="3"/>
  <c r="AN122" i="3"/>
  <c r="AO122" i="3"/>
  <c r="AC123" i="3"/>
  <c r="AQ122" i="3"/>
  <c r="AN121" i="3"/>
  <c r="AN115" i="3"/>
  <c r="AN116" i="3"/>
  <c r="AO117" i="3"/>
  <c r="AC118" i="3"/>
  <c r="AQ117" i="3"/>
  <c r="AN117" i="3"/>
  <c r="AN112" i="3"/>
  <c r="AN110" i="3"/>
  <c r="AO112" i="3"/>
  <c r="AN105" i="3"/>
  <c r="AN107" i="3"/>
  <c r="AO107" i="3"/>
  <c r="AC108" i="3"/>
  <c r="AQ107" i="3"/>
  <c r="AN106" i="3"/>
  <c r="AQ21" i="3"/>
  <c r="AH38" i="3"/>
  <c r="AL37" i="3"/>
  <c r="AQ46" i="3"/>
  <c r="AO56" i="3"/>
  <c r="AI87" i="3"/>
  <c r="AI88" i="3"/>
  <c r="AH86" i="3"/>
  <c r="AI85" i="3"/>
  <c r="AO41" i="3"/>
  <c r="AE46" i="3"/>
  <c r="AN46" i="3" s="1"/>
  <c r="AE61" i="3"/>
  <c r="AN61" i="3" s="1"/>
  <c r="AO61" i="3"/>
  <c r="AO66" i="3"/>
  <c r="AF88" i="3"/>
  <c r="AF85" i="3"/>
  <c r="AL87" i="3"/>
  <c r="AL86" i="3"/>
  <c r="AO86" i="3"/>
  <c r="AK86" i="3"/>
  <c r="AO91" i="3"/>
  <c r="AO11" i="3"/>
  <c r="AF11" i="3" s="1"/>
  <c r="AK17" i="3"/>
  <c r="AG16" i="3"/>
  <c r="AJ15" i="3"/>
  <c r="AG18" i="3"/>
  <c r="AF17" i="3"/>
  <c r="AF16" i="3"/>
  <c r="AK15" i="3"/>
  <c r="AO16" i="3"/>
  <c r="AL15" i="3"/>
  <c r="AE41" i="3"/>
  <c r="AN41" i="3" s="1"/>
  <c r="AO46" i="3"/>
  <c r="AE56" i="3"/>
  <c r="AN56" i="3" s="1"/>
  <c r="AE66" i="3"/>
  <c r="AN66" i="3" s="1"/>
  <c r="AH88" i="3"/>
  <c r="AK87" i="3"/>
  <c r="AG87" i="3"/>
  <c r="AI86" i="3"/>
  <c r="AH85" i="3"/>
  <c r="AK88" i="3"/>
  <c r="AG88" i="3"/>
  <c r="AJ87" i="3"/>
  <c r="AF87" i="3"/>
  <c r="AJ86" i="3"/>
  <c r="AF86" i="3"/>
  <c r="AK85" i="3"/>
  <c r="AG85" i="3"/>
  <c r="AQ86" i="3"/>
  <c r="AL85" i="3"/>
  <c r="AE91" i="3"/>
  <c r="AN91" i="3" s="1"/>
  <c r="AE21" i="3"/>
  <c r="AN21" i="3" s="1"/>
  <c r="AK37" i="3"/>
  <c r="AG36" i="3"/>
  <c r="AJ35" i="3"/>
  <c r="AI38" i="3"/>
  <c r="AH37" i="3"/>
  <c r="AH36" i="3"/>
  <c r="AI35" i="3"/>
  <c r="AQ36" i="3"/>
  <c r="AL38" i="3"/>
  <c r="AO21" i="3"/>
  <c r="AJ38" i="3"/>
  <c r="AF38" i="3"/>
  <c r="AI37" i="3"/>
  <c r="AI36" i="3"/>
  <c r="AH35" i="3"/>
  <c r="AK38" i="3"/>
  <c r="AJ37" i="3"/>
  <c r="AF37" i="3"/>
  <c r="AJ36" i="3"/>
  <c r="AF36" i="3"/>
  <c r="AK35" i="3"/>
  <c r="AG35" i="3"/>
  <c r="AO36" i="3"/>
  <c r="AL35" i="3"/>
  <c r="AO102" i="3"/>
  <c r="AC103" i="3"/>
  <c r="AQ102" i="3"/>
  <c r="AN95" i="3"/>
  <c r="AN90" i="3"/>
  <c r="AO87" i="3"/>
  <c r="AC88" i="3"/>
  <c r="AQ87" i="3"/>
  <c r="AN82" i="3"/>
  <c r="AN80" i="3"/>
  <c r="AO82" i="3"/>
  <c r="AC83" i="3"/>
  <c r="AQ82" i="3"/>
  <c r="AN81" i="3"/>
  <c r="AN75" i="3"/>
  <c r="AN77" i="3"/>
  <c r="AO77" i="3"/>
  <c r="AC78" i="3"/>
  <c r="AQ77" i="3"/>
  <c r="AN76" i="3"/>
  <c r="AN70" i="3"/>
  <c r="AN71" i="3"/>
  <c r="AO72" i="3"/>
  <c r="AC73" i="3"/>
  <c r="AQ72" i="3"/>
  <c r="AN72" i="3"/>
  <c r="AN65" i="3"/>
  <c r="AJ18" i="3"/>
  <c r="AF18" i="3"/>
  <c r="AI17" i="3"/>
  <c r="AI16" i="3"/>
  <c r="AH15" i="3"/>
  <c r="AI18" i="3"/>
  <c r="AL17" i="3"/>
  <c r="AH17" i="3"/>
  <c r="AL16" i="3"/>
  <c r="AH16" i="3"/>
  <c r="AI15" i="3"/>
  <c r="AK16" i="3"/>
  <c r="AQ16" i="3"/>
  <c r="AN60" i="3"/>
  <c r="AN55" i="3"/>
  <c r="AN50" i="3"/>
  <c r="AN51" i="3"/>
  <c r="AO52" i="3"/>
  <c r="AC53" i="3"/>
  <c r="AQ52" i="3"/>
  <c r="AN52" i="3"/>
  <c r="AO47" i="3"/>
  <c r="AC48" i="3"/>
  <c r="AQ47" i="3"/>
  <c r="AN47" i="3"/>
  <c r="AN45" i="3"/>
  <c r="AN40" i="3"/>
  <c r="AO37" i="3"/>
  <c r="AC38" i="3"/>
  <c r="AQ37" i="3"/>
  <c r="AC12" i="3"/>
  <c r="AE12" i="3" s="1"/>
  <c r="AN30" i="3"/>
  <c r="AN32" i="3"/>
  <c r="AO32" i="3"/>
  <c r="AC33" i="3"/>
  <c r="AQ32" i="3"/>
  <c r="AF10" i="3"/>
  <c r="AN10" i="3" s="1"/>
  <c r="AN31" i="3"/>
  <c r="AN25" i="3"/>
  <c r="AN26" i="3"/>
  <c r="AO27" i="3"/>
  <c r="AC28" i="3"/>
  <c r="AQ27" i="3"/>
  <c r="AE11" i="3"/>
  <c r="AE27" i="3"/>
  <c r="AN27" i="3" s="1"/>
  <c r="AO22" i="3"/>
  <c r="AC23" i="3"/>
  <c r="AQ22" i="3"/>
  <c r="AN22" i="3"/>
  <c r="AN20" i="3"/>
  <c r="AO17" i="3"/>
  <c r="AC18" i="3"/>
  <c r="AQ17" i="3"/>
  <c r="AE17" i="3"/>
  <c r="C526" i="3"/>
  <c r="Y61" i="8" l="1"/>
  <c r="F194" i="9"/>
  <c r="W62" i="8"/>
  <c r="F198" i="9"/>
  <c r="AN420" i="3"/>
  <c r="Y64" i="8"/>
  <c r="W64" i="8"/>
  <c r="Y66" i="8"/>
  <c r="W66" i="8"/>
  <c r="Y68" i="8"/>
  <c r="W68" i="8"/>
  <c r="Y70" i="8"/>
  <c r="W70" i="8"/>
  <c r="Y72" i="8"/>
  <c r="W72" i="8"/>
  <c r="Y74" i="8"/>
  <c r="W74" i="8"/>
  <c r="Y35" i="8"/>
  <c r="W35" i="8"/>
  <c r="Y37" i="8"/>
  <c r="W37" i="8"/>
  <c r="Y39" i="8"/>
  <c r="W39" i="8"/>
  <c r="Y41" i="8"/>
  <c r="W41" i="8"/>
  <c r="Y43" i="8"/>
  <c r="W43" i="8"/>
  <c r="Y45" i="8"/>
  <c r="W45" i="8"/>
  <c r="Y47" i="8"/>
  <c r="W47" i="8"/>
  <c r="Y49" i="8"/>
  <c r="W49" i="8"/>
  <c r="Y51" i="8"/>
  <c r="W51" i="8"/>
  <c r="Y53" i="8"/>
  <c r="W53" i="8"/>
  <c r="Y55" i="8"/>
  <c r="W55" i="8"/>
  <c r="W76" i="8"/>
  <c r="Y76" i="8"/>
  <c r="Y78" i="8"/>
  <c r="W78" i="8"/>
  <c r="W80" i="8"/>
  <c r="Y80" i="8"/>
  <c r="Y82" i="8"/>
  <c r="W82" i="8"/>
  <c r="W84" i="8"/>
  <c r="Y84" i="8"/>
  <c r="W86" i="8"/>
  <c r="Y86" i="8"/>
  <c r="W88" i="8"/>
  <c r="Y88" i="8"/>
  <c r="Y63" i="8"/>
  <c r="W63" i="8"/>
  <c r="Y65" i="8"/>
  <c r="W65" i="8"/>
  <c r="Y67" i="8"/>
  <c r="W67" i="8"/>
  <c r="Y69" i="8"/>
  <c r="W69" i="8"/>
  <c r="Y71" i="8"/>
  <c r="W71" i="8"/>
  <c r="Y73" i="8"/>
  <c r="W73" i="8"/>
  <c r="Y113" i="8"/>
  <c r="W113" i="8"/>
  <c r="Y34" i="8"/>
  <c r="W34" i="8"/>
  <c r="Y36" i="8"/>
  <c r="W36" i="8"/>
  <c r="Y38" i="8"/>
  <c r="W38" i="8"/>
  <c r="Y40" i="8"/>
  <c r="W40" i="8"/>
  <c r="Y42" i="8"/>
  <c r="W42" i="8"/>
  <c r="Y44" i="8"/>
  <c r="W44" i="8"/>
  <c r="Y46" i="8"/>
  <c r="W46" i="8"/>
  <c r="Y48" i="8"/>
  <c r="W48" i="8"/>
  <c r="Y50" i="8"/>
  <c r="W50" i="8"/>
  <c r="Y52" i="8"/>
  <c r="W52" i="8"/>
  <c r="Y54" i="8"/>
  <c r="W54" i="8"/>
  <c r="Y56" i="8"/>
  <c r="W56" i="8"/>
  <c r="Y75" i="8"/>
  <c r="W75" i="8"/>
  <c r="W58" i="8"/>
  <c r="Y58" i="8"/>
  <c r="W60" i="8"/>
  <c r="Y60" i="8"/>
  <c r="Y77" i="8"/>
  <c r="W77" i="8"/>
  <c r="W79" i="8"/>
  <c r="Y79" i="8"/>
  <c r="Y81" i="8"/>
  <c r="W81" i="8"/>
  <c r="W83" i="8"/>
  <c r="Y83" i="8"/>
  <c r="Y85" i="8"/>
  <c r="W85" i="8"/>
  <c r="Y87" i="8"/>
  <c r="W87" i="8"/>
  <c r="Y89" i="8"/>
  <c r="W89" i="8"/>
  <c r="AQ392" i="3"/>
  <c r="AN501" i="3"/>
  <c r="AN421" i="3"/>
  <c r="AQ112" i="3"/>
  <c r="AO392" i="3"/>
  <c r="AN422" i="3"/>
  <c r="AN412" i="3"/>
  <c r="AF502" i="3"/>
  <c r="AG502" i="3"/>
  <c r="AQ503" i="3"/>
  <c r="AM503" i="3" s="1"/>
  <c r="AO503" i="3"/>
  <c r="AE503" i="3"/>
  <c r="AN415" i="3"/>
  <c r="AN410" i="3"/>
  <c r="AC113" i="3"/>
  <c r="AO113" i="3" s="1"/>
  <c r="AC393" i="3"/>
  <c r="AQ393" i="3" s="1"/>
  <c r="AQ498" i="3"/>
  <c r="AO498" i="3"/>
  <c r="AE498" i="3"/>
  <c r="AN498" i="3" s="1"/>
  <c r="AQ493" i="3"/>
  <c r="AO493" i="3"/>
  <c r="AE493" i="3"/>
  <c r="AN493" i="3" s="1"/>
  <c r="AQ488" i="3"/>
  <c r="AO488" i="3"/>
  <c r="AE488" i="3"/>
  <c r="AN488" i="3" s="1"/>
  <c r="AN377" i="3"/>
  <c r="AQ483" i="3"/>
  <c r="AO483" i="3"/>
  <c r="AE483" i="3"/>
  <c r="AN483" i="3" s="1"/>
  <c r="AN376" i="3"/>
  <c r="AN411" i="3"/>
  <c r="AQ478" i="3"/>
  <c r="AO478" i="3"/>
  <c r="AE478" i="3"/>
  <c r="AN478" i="3" s="1"/>
  <c r="AQ473" i="3"/>
  <c r="AO473" i="3"/>
  <c r="AE473" i="3"/>
  <c r="AN473" i="3" s="1"/>
  <c r="AN395" i="3"/>
  <c r="AQ468" i="3"/>
  <c r="AO468" i="3"/>
  <c r="AE468" i="3"/>
  <c r="AN468" i="3" s="1"/>
  <c r="AN396" i="3"/>
  <c r="AN375" i="3"/>
  <c r="AQ463" i="3"/>
  <c r="AO463" i="3"/>
  <c r="AE463" i="3"/>
  <c r="AN463" i="3" s="1"/>
  <c r="AN370" i="3"/>
  <c r="AN397" i="3"/>
  <c r="AN416" i="3"/>
  <c r="AQ458" i="3"/>
  <c r="AO458" i="3"/>
  <c r="AE458" i="3"/>
  <c r="AN458" i="3" s="1"/>
  <c r="AN417" i="3"/>
  <c r="AO97" i="3"/>
  <c r="AQ453" i="3"/>
  <c r="AO453" i="3"/>
  <c r="AE453" i="3"/>
  <c r="AN453" i="3" s="1"/>
  <c r="AQ448" i="3"/>
  <c r="AO448" i="3"/>
  <c r="AE448" i="3"/>
  <c r="AN448" i="3" s="1"/>
  <c r="AN371" i="3"/>
  <c r="AQ443" i="3"/>
  <c r="AO443" i="3"/>
  <c r="AE443" i="3"/>
  <c r="AN443" i="3" s="1"/>
  <c r="AQ438" i="3"/>
  <c r="AO438" i="3"/>
  <c r="AE438" i="3"/>
  <c r="AN438" i="3" s="1"/>
  <c r="AN372" i="3"/>
  <c r="AQ433" i="3"/>
  <c r="AO433" i="3"/>
  <c r="AE433" i="3"/>
  <c r="AN433" i="3" s="1"/>
  <c r="AQ428" i="3"/>
  <c r="AO428" i="3"/>
  <c r="AE428" i="3"/>
  <c r="AN428" i="3" s="1"/>
  <c r="AQ423" i="3"/>
  <c r="AO423" i="3"/>
  <c r="AE423" i="3"/>
  <c r="AN423" i="3" s="1"/>
  <c r="AQ418" i="3"/>
  <c r="AO418" i="3"/>
  <c r="AE418" i="3"/>
  <c r="AN418" i="3" s="1"/>
  <c r="AQ413" i="3"/>
  <c r="AO413" i="3"/>
  <c r="AE413" i="3"/>
  <c r="AN413" i="3" s="1"/>
  <c r="AQ408" i="3"/>
  <c r="AO408" i="3"/>
  <c r="AE408" i="3"/>
  <c r="AN408" i="3" s="1"/>
  <c r="AQ403" i="3"/>
  <c r="AO403" i="3"/>
  <c r="AE403" i="3"/>
  <c r="AN403" i="3" s="1"/>
  <c r="AQ398" i="3"/>
  <c r="AO398" i="3"/>
  <c r="AE398" i="3"/>
  <c r="AN398" i="3" s="1"/>
  <c r="AQ388" i="3"/>
  <c r="AO388" i="3"/>
  <c r="AE388" i="3"/>
  <c r="AN388" i="3" s="1"/>
  <c r="AQ383" i="3"/>
  <c r="AO383" i="3"/>
  <c r="AE383" i="3"/>
  <c r="AN383" i="3" s="1"/>
  <c r="AQ378" i="3"/>
  <c r="AO378" i="3"/>
  <c r="AE378" i="3"/>
  <c r="AN378" i="3" s="1"/>
  <c r="AQ373" i="3"/>
  <c r="AO373" i="3"/>
  <c r="AE373" i="3"/>
  <c r="AN373" i="3" s="1"/>
  <c r="AQ368" i="3"/>
  <c r="AO368" i="3"/>
  <c r="AE368" i="3"/>
  <c r="AN368" i="3" s="1"/>
  <c r="AQ363" i="3"/>
  <c r="AO363" i="3"/>
  <c r="AE363" i="3"/>
  <c r="AN363" i="3" s="1"/>
  <c r="AQ358" i="3"/>
  <c r="AO358" i="3"/>
  <c r="AE358" i="3"/>
  <c r="AN358" i="3" s="1"/>
  <c r="AQ353" i="3"/>
  <c r="AO353" i="3"/>
  <c r="AE353" i="3"/>
  <c r="AN353" i="3" s="1"/>
  <c r="AQ348" i="3"/>
  <c r="AO348" i="3"/>
  <c r="AE348" i="3"/>
  <c r="AN348" i="3" s="1"/>
  <c r="AQ343" i="3"/>
  <c r="AO343" i="3"/>
  <c r="AE343" i="3"/>
  <c r="AN343" i="3" s="1"/>
  <c r="AQ338" i="3"/>
  <c r="AO338" i="3"/>
  <c r="AE338" i="3"/>
  <c r="AN338" i="3" s="1"/>
  <c r="AQ333" i="3"/>
  <c r="AO333" i="3"/>
  <c r="AE333" i="3"/>
  <c r="AN333" i="3" s="1"/>
  <c r="AQ328" i="3"/>
  <c r="AO328" i="3"/>
  <c r="AE328" i="3"/>
  <c r="AN328" i="3" s="1"/>
  <c r="AQ323" i="3"/>
  <c r="AO323" i="3"/>
  <c r="AE323" i="3"/>
  <c r="AN323" i="3" s="1"/>
  <c r="AQ318" i="3"/>
  <c r="AO318" i="3"/>
  <c r="AE318" i="3"/>
  <c r="AN318" i="3" s="1"/>
  <c r="AQ42" i="3"/>
  <c r="AQ313" i="3"/>
  <c r="AO313" i="3"/>
  <c r="AE313" i="3"/>
  <c r="AN313" i="3" s="1"/>
  <c r="AQ308" i="3"/>
  <c r="AO308" i="3"/>
  <c r="AE308" i="3"/>
  <c r="AN308" i="3" s="1"/>
  <c r="AE67" i="3"/>
  <c r="AN67" i="3" s="1"/>
  <c r="AQ303" i="3"/>
  <c r="AO303" i="3"/>
  <c r="AE303" i="3"/>
  <c r="AN303" i="3" s="1"/>
  <c r="AQ298" i="3"/>
  <c r="AO298" i="3"/>
  <c r="AE298" i="3"/>
  <c r="AN298" i="3" s="1"/>
  <c r="AQ293" i="3"/>
  <c r="AO293" i="3"/>
  <c r="AE293" i="3"/>
  <c r="AN293" i="3" s="1"/>
  <c r="AQ288" i="3"/>
  <c r="AO288" i="3"/>
  <c r="AE288" i="3"/>
  <c r="AN288" i="3" s="1"/>
  <c r="AQ283" i="3"/>
  <c r="AO283" i="3"/>
  <c r="AE283" i="3"/>
  <c r="AN283" i="3" s="1"/>
  <c r="AO42" i="3"/>
  <c r="AC93" i="3"/>
  <c r="AO93" i="3" s="1"/>
  <c r="AQ278" i="3"/>
  <c r="AO278" i="3"/>
  <c r="AE278" i="3"/>
  <c r="AN278" i="3" s="1"/>
  <c r="AQ273" i="3"/>
  <c r="AO273" i="3"/>
  <c r="AE273" i="3"/>
  <c r="AN273" i="3" s="1"/>
  <c r="AE42" i="3"/>
  <c r="AN42" i="3" s="1"/>
  <c r="AQ62" i="3"/>
  <c r="AQ92" i="3"/>
  <c r="AO92" i="3"/>
  <c r="AQ268" i="3"/>
  <c r="AO268" i="3"/>
  <c r="AE268" i="3"/>
  <c r="AN268" i="3" s="1"/>
  <c r="AQ263" i="3"/>
  <c r="AO263" i="3"/>
  <c r="AE263" i="3"/>
  <c r="AN263" i="3" s="1"/>
  <c r="AQ258" i="3"/>
  <c r="AO258" i="3"/>
  <c r="AE258" i="3"/>
  <c r="AN258" i="3" s="1"/>
  <c r="AQ253" i="3"/>
  <c r="AO253" i="3"/>
  <c r="AE253" i="3"/>
  <c r="AN253" i="3" s="1"/>
  <c r="AQ248" i="3"/>
  <c r="AO248" i="3"/>
  <c r="AE248" i="3"/>
  <c r="AN248" i="3" s="1"/>
  <c r="AQ243" i="3"/>
  <c r="AO243" i="3"/>
  <c r="AE243" i="3"/>
  <c r="AN243" i="3" s="1"/>
  <c r="AQ238" i="3"/>
  <c r="AO238" i="3"/>
  <c r="AE238" i="3"/>
  <c r="AN238" i="3" s="1"/>
  <c r="AQ233" i="3"/>
  <c r="AO233" i="3"/>
  <c r="AE233" i="3"/>
  <c r="AN233" i="3" s="1"/>
  <c r="AN101" i="3"/>
  <c r="AQ228" i="3"/>
  <c r="AO228" i="3"/>
  <c r="AE228" i="3"/>
  <c r="AN228" i="3" s="1"/>
  <c r="AQ223" i="3"/>
  <c r="AO223" i="3"/>
  <c r="AE223" i="3"/>
  <c r="AN223" i="3" s="1"/>
  <c r="AQ218" i="3"/>
  <c r="AO218" i="3"/>
  <c r="AE218" i="3"/>
  <c r="AN218" i="3" s="1"/>
  <c r="AQ213" i="3"/>
  <c r="AO213" i="3"/>
  <c r="AE213" i="3"/>
  <c r="AN213" i="3" s="1"/>
  <c r="AQ208" i="3"/>
  <c r="AO208" i="3"/>
  <c r="AE208" i="3"/>
  <c r="AN208" i="3" s="1"/>
  <c r="AO62" i="3"/>
  <c r="AQ97" i="3"/>
  <c r="AQ203" i="3"/>
  <c r="AO203" i="3"/>
  <c r="AE203" i="3"/>
  <c r="AN203" i="3" s="1"/>
  <c r="AN102" i="3"/>
  <c r="AG11" i="3"/>
  <c r="AN11" i="3" s="1"/>
  <c r="AQ57" i="3"/>
  <c r="AC63" i="3"/>
  <c r="AO63" i="3" s="1"/>
  <c r="AC98" i="3"/>
  <c r="AQ98" i="3" s="1"/>
  <c r="AQ198" i="3"/>
  <c r="AO198" i="3"/>
  <c r="AE198" i="3"/>
  <c r="AN198" i="3" s="1"/>
  <c r="AQ193" i="3"/>
  <c r="AO193" i="3"/>
  <c r="AE193" i="3"/>
  <c r="AN193" i="3" s="1"/>
  <c r="AQ188" i="3"/>
  <c r="AO188" i="3"/>
  <c r="AE188" i="3"/>
  <c r="AN188" i="3" s="1"/>
  <c r="AQ183" i="3"/>
  <c r="AO183" i="3"/>
  <c r="AE183" i="3"/>
  <c r="AN183" i="3" s="1"/>
  <c r="AC68" i="3"/>
  <c r="AQ68" i="3" s="1"/>
  <c r="AQ178" i="3"/>
  <c r="AO178" i="3"/>
  <c r="AE178" i="3"/>
  <c r="AN178" i="3" s="1"/>
  <c r="AO57" i="3"/>
  <c r="AQ173" i="3"/>
  <c r="AO173" i="3"/>
  <c r="AE173" i="3"/>
  <c r="AN173" i="3" s="1"/>
  <c r="AN100" i="3"/>
  <c r="AE57" i="3"/>
  <c r="AN57" i="3" s="1"/>
  <c r="AQ168" i="3"/>
  <c r="AO168" i="3"/>
  <c r="AE168" i="3"/>
  <c r="AN168" i="3" s="1"/>
  <c r="AQ163" i="3"/>
  <c r="AO163" i="3"/>
  <c r="AE163" i="3"/>
  <c r="AN163" i="3" s="1"/>
  <c r="AQ67" i="3"/>
  <c r="AQ158" i="3"/>
  <c r="AO158" i="3"/>
  <c r="AE158" i="3"/>
  <c r="AN158" i="3" s="1"/>
  <c r="AQ153" i="3"/>
  <c r="AO153" i="3"/>
  <c r="AE153" i="3"/>
  <c r="AN153" i="3" s="1"/>
  <c r="AQ148" i="3"/>
  <c r="AO148" i="3"/>
  <c r="AE148" i="3"/>
  <c r="AN148" i="3" s="1"/>
  <c r="AQ143" i="3"/>
  <c r="AO143" i="3"/>
  <c r="AE143" i="3"/>
  <c r="AN143" i="3" s="1"/>
  <c r="AQ138" i="3"/>
  <c r="AO138" i="3"/>
  <c r="AE138" i="3"/>
  <c r="AN138" i="3" s="1"/>
  <c r="AQ133" i="3"/>
  <c r="AO133" i="3"/>
  <c r="AE133" i="3"/>
  <c r="AN133" i="3" s="1"/>
  <c r="AQ128" i="3"/>
  <c r="AO128" i="3"/>
  <c r="AE128" i="3"/>
  <c r="AN128" i="3" s="1"/>
  <c r="AQ123" i="3"/>
  <c r="AO123" i="3"/>
  <c r="AE123" i="3"/>
  <c r="AN123" i="3" s="1"/>
  <c r="AQ118" i="3"/>
  <c r="AO118" i="3"/>
  <c r="AE118" i="3"/>
  <c r="AN118" i="3" s="1"/>
  <c r="AQ113" i="3"/>
  <c r="AO12" i="3"/>
  <c r="AF12" i="3" s="1"/>
  <c r="AN86" i="3"/>
  <c r="AN87" i="3"/>
  <c r="AQ108" i="3"/>
  <c r="AO108" i="3"/>
  <c r="AE108" i="3"/>
  <c r="AN36" i="3"/>
  <c r="AN35" i="3"/>
  <c r="AN85" i="3"/>
  <c r="AN15" i="3"/>
  <c r="AN37" i="3"/>
  <c r="AN17" i="3"/>
  <c r="AQ103" i="3"/>
  <c r="AO103" i="3"/>
  <c r="AE103" i="3"/>
  <c r="AN103" i="3" s="1"/>
  <c r="AQ88" i="3"/>
  <c r="AO88" i="3"/>
  <c r="AE88" i="3"/>
  <c r="AN88" i="3" s="1"/>
  <c r="AQ83" i="3"/>
  <c r="AO83" i="3"/>
  <c r="AE83" i="3"/>
  <c r="AN83" i="3" s="1"/>
  <c r="AQ78" i="3"/>
  <c r="AO78" i="3"/>
  <c r="AE78" i="3"/>
  <c r="AN78" i="3" s="1"/>
  <c r="AQ73" i="3"/>
  <c r="AO73" i="3"/>
  <c r="AE73" i="3"/>
  <c r="AN73" i="3" s="1"/>
  <c r="AN16" i="3"/>
  <c r="AQ12" i="3"/>
  <c r="AQ58" i="3"/>
  <c r="AO58" i="3"/>
  <c r="AE58" i="3"/>
  <c r="AN58" i="3" s="1"/>
  <c r="AC13" i="3"/>
  <c r="AQ13" i="3" s="1"/>
  <c r="AQ53" i="3"/>
  <c r="AO53" i="3"/>
  <c r="AE53" i="3"/>
  <c r="AN53" i="3" s="1"/>
  <c r="AQ48" i="3"/>
  <c r="AO48" i="3"/>
  <c r="AE48" i="3"/>
  <c r="AN48" i="3" s="1"/>
  <c r="AQ43" i="3"/>
  <c r="AO43" i="3"/>
  <c r="AE43" i="3"/>
  <c r="AN43" i="3" s="1"/>
  <c r="AQ38" i="3"/>
  <c r="AO38" i="3"/>
  <c r="AE38" i="3"/>
  <c r="AN38" i="3" s="1"/>
  <c r="AQ33" i="3"/>
  <c r="AO33" i="3"/>
  <c r="AE33" i="3"/>
  <c r="AN33" i="3" s="1"/>
  <c r="AQ28" i="3"/>
  <c r="AO28" i="3"/>
  <c r="AE28" i="3"/>
  <c r="AN28" i="3" s="1"/>
  <c r="AQ23" i="3"/>
  <c r="AO23" i="3"/>
  <c r="AE23" i="3"/>
  <c r="AN23" i="3" s="1"/>
  <c r="AQ18" i="3"/>
  <c r="AO18" i="3"/>
  <c r="AE18" i="3"/>
  <c r="AN18" i="3" s="1"/>
  <c r="Q24" i="7"/>
  <c r="O24" i="7"/>
  <c r="M24" i="7"/>
  <c r="L24" i="7"/>
  <c r="AN108" i="3" l="1"/>
  <c r="AQ93" i="3"/>
  <c r="AE113" i="3"/>
  <c r="AN113" i="3" s="1"/>
  <c r="AN502" i="3"/>
  <c r="AO68" i="3"/>
  <c r="AO393" i="3"/>
  <c r="AG503" i="3"/>
  <c r="AF503" i="3"/>
  <c r="AE393" i="3"/>
  <c r="AN393" i="3" s="1"/>
  <c r="AE63" i="3"/>
  <c r="AN63" i="3" s="1"/>
  <c r="AQ63" i="3"/>
  <c r="AE93" i="3"/>
  <c r="AN93" i="3" s="1"/>
  <c r="AE68" i="3"/>
  <c r="AN68" i="3" s="1"/>
  <c r="AO98" i="3"/>
  <c r="AE98" i="3"/>
  <c r="AN98" i="3" s="1"/>
  <c r="AG12" i="3"/>
  <c r="AN12" i="3" s="1"/>
  <c r="Z103" i="3"/>
  <c r="AA101" i="3"/>
  <c r="Z101" i="3"/>
  <c r="Z102" i="3"/>
  <c r="AO13" i="3"/>
  <c r="AF13" i="3" s="1"/>
  <c r="AE13" i="3"/>
  <c r="AN415" i="11"/>
  <c r="AO415" i="11"/>
  <c r="AP415" i="11"/>
  <c r="AQ415" i="11"/>
  <c r="AR415" i="11"/>
  <c r="AS415" i="11"/>
  <c r="AT415" i="11"/>
  <c r="AU415" i="11"/>
  <c r="AV415" i="11"/>
  <c r="AW415" i="11"/>
  <c r="AX415" i="11"/>
  <c r="AY415" i="11"/>
  <c r="AZ415" i="11"/>
  <c r="BA415" i="11"/>
  <c r="BB415" i="11"/>
  <c r="BC415" i="11"/>
  <c r="BD415" i="11"/>
  <c r="BE415" i="11"/>
  <c r="BF415" i="11"/>
  <c r="BG415" i="11"/>
  <c r="BH415" i="11"/>
  <c r="BI415" i="11"/>
  <c r="BJ415" i="11"/>
  <c r="BK415" i="11"/>
  <c r="BL415" i="11"/>
  <c r="BM415" i="11"/>
  <c r="BN415" i="11"/>
  <c r="BO415" i="11"/>
  <c r="BP415" i="11"/>
  <c r="BQ415" i="11"/>
  <c r="BR415" i="11"/>
  <c r="BS415" i="11"/>
  <c r="BT415" i="11"/>
  <c r="BU415" i="11"/>
  <c r="AN416" i="11"/>
  <c r="AO416" i="11"/>
  <c r="AP416" i="11"/>
  <c r="AQ416" i="11"/>
  <c r="AR416" i="11"/>
  <c r="AS416" i="11"/>
  <c r="AT416" i="11"/>
  <c r="AU416" i="11"/>
  <c r="AV416" i="11"/>
  <c r="AW416" i="11"/>
  <c r="AX416" i="11"/>
  <c r="AY416" i="11"/>
  <c r="AZ416" i="11"/>
  <c r="BA416" i="11"/>
  <c r="BB416" i="11"/>
  <c r="BC416" i="11"/>
  <c r="BD416" i="11"/>
  <c r="BE416" i="11"/>
  <c r="BF416" i="11"/>
  <c r="BG416" i="11"/>
  <c r="BH416" i="11"/>
  <c r="BI416" i="11"/>
  <c r="BJ416" i="11"/>
  <c r="BK416" i="11"/>
  <c r="BL416" i="11"/>
  <c r="BM416" i="11"/>
  <c r="BN416" i="11"/>
  <c r="BO416" i="11"/>
  <c r="BP416" i="11"/>
  <c r="BQ416" i="11"/>
  <c r="BR416" i="11"/>
  <c r="BS416" i="11"/>
  <c r="BT416" i="11"/>
  <c r="BU416" i="11"/>
  <c r="AN417" i="11"/>
  <c r="AO417" i="11"/>
  <c r="AP417" i="11"/>
  <c r="AQ417" i="11"/>
  <c r="AR417" i="11"/>
  <c r="AS417" i="11"/>
  <c r="AT417" i="11"/>
  <c r="AU417" i="11"/>
  <c r="AV417" i="11"/>
  <c r="AW417" i="11"/>
  <c r="AX417" i="11"/>
  <c r="AY417" i="11"/>
  <c r="AZ417" i="11"/>
  <c r="BA417" i="11"/>
  <c r="BB417" i="11"/>
  <c r="BC417" i="11"/>
  <c r="BD417" i="11"/>
  <c r="BE417" i="11"/>
  <c r="BF417" i="11"/>
  <c r="BG417" i="11"/>
  <c r="BH417" i="11"/>
  <c r="BI417" i="11"/>
  <c r="BJ417" i="11"/>
  <c r="BK417" i="11"/>
  <c r="BL417" i="11"/>
  <c r="BM417" i="11"/>
  <c r="BN417" i="11"/>
  <c r="BO417" i="11"/>
  <c r="BP417" i="11"/>
  <c r="BQ417" i="11"/>
  <c r="BR417" i="11"/>
  <c r="BS417" i="11"/>
  <c r="BT417" i="11"/>
  <c r="BU417" i="11"/>
  <c r="AN418" i="11"/>
  <c r="AO418" i="11"/>
  <c r="AP418" i="11"/>
  <c r="AQ418" i="11"/>
  <c r="AR418" i="11"/>
  <c r="AS418" i="11"/>
  <c r="AT418" i="11"/>
  <c r="AU418" i="11"/>
  <c r="AV418" i="11"/>
  <c r="AW418" i="11"/>
  <c r="AX418" i="11"/>
  <c r="AY418" i="11"/>
  <c r="AZ418" i="11"/>
  <c r="BA418" i="11"/>
  <c r="BB418" i="11"/>
  <c r="BC418" i="11"/>
  <c r="BC419" i="11" s="1"/>
  <c r="BD418" i="11"/>
  <c r="BD419" i="11" s="1"/>
  <c r="BE418" i="11"/>
  <c r="BF418" i="11"/>
  <c r="BF419" i="11" s="1"/>
  <c r="BG418" i="11"/>
  <c r="BG419" i="11" s="1"/>
  <c r="BH418" i="11"/>
  <c r="BI418" i="11"/>
  <c r="BJ418" i="11"/>
  <c r="BJ419" i="11" s="1"/>
  <c r="BK418" i="11"/>
  <c r="BL418" i="11"/>
  <c r="BL419" i="11" s="1"/>
  <c r="BM418" i="11"/>
  <c r="BN418" i="11"/>
  <c r="BN419" i="11" s="1"/>
  <c r="BO418" i="11"/>
  <c r="BP418" i="11"/>
  <c r="BP419" i="11" s="1"/>
  <c r="BQ418" i="11"/>
  <c r="BR418" i="11"/>
  <c r="BR419" i="11" s="1"/>
  <c r="BS418" i="11"/>
  <c r="BT418" i="11"/>
  <c r="BT419" i="11" s="1"/>
  <c r="BU418" i="11"/>
  <c r="BU419" i="11" s="1"/>
  <c r="AN419" i="11"/>
  <c r="AO419" i="11"/>
  <c r="AP419" i="11"/>
  <c r="AQ419" i="11"/>
  <c r="AR419" i="11"/>
  <c r="AS419" i="11"/>
  <c r="AT419" i="11"/>
  <c r="AU419" i="11"/>
  <c r="AV419" i="11"/>
  <c r="AW419" i="11"/>
  <c r="AX419" i="11"/>
  <c r="AY419" i="11"/>
  <c r="AM418" i="11"/>
  <c r="AM417" i="11"/>
  <c r="AM416" i="11"/>
  <c r="AM415" i="11"/>
  <c r="B418" i="11"/>
  <c r="B417" i="11"/>
  <c r="B416" i="11"/>
  <c r="B415" i="11"/>
  <c r="D414" i="11"/>
  <c r="AM414" i="11" s="1"/>
  <c r="AM3" i="11"/>
  <c r="AN3" i="11"/>
  <c r="BU1" i="11"/>
  <c r="AM1" i="11"/>
  <c r="AL1" i="11"/>
  <c r="D1" i="11"/>
  <c r="I109" i="7"/>
  <c r="I110" i="7"/>
  <c r="I111" i="7"/>
  <c r="I112" i="7"/>
  <c r="I113" i="7"/>
  <c r="I114" i="7"/>
  <c r="I115" i="7"/>
  <c r="I116" i="7"/>
  <c r="AN503" i="3" l="1"/>
  <c r="AG13" i="3"/>
  <c r="AN13" i="3" s="1"/>
  <c r="AL416" i="11"/>
  <c r="BE419" i="11"/>
  <c r="BA419" i="11"/>
  <c r="BB419" i="11"/>
  <c r="AZ419" i="11"/>
  <c r="E414" i="11"/>
  <c r="D420" i="11"/>
  <c r="BS419" i="11"/>
  <c r="BQ419" i="11"/>
  <c r="BO419" i="11"/>
  <c r="BM419" i="11"/>
  <c r="BK419" i="11"/>
  <c r="BI419" i="11"/>
  <c r="F415" i="11"/>
  <c r="BH419" i="11"/>
  <c r="AL418" i="11"/>
  <c r="AK417" i="11"/>
  <c r="AM419" i="11"/>
  <c r="D415" i="11"/>
  <c r="AK415" i="11"/>
  <c r="AI415" i="11"/>
  <c r="AG415" i="11"/>
  <c r="AE415" i="11"/>
  <c r="AC415" i="11"/>
  <c r="AA415" i="11"/>
  <c r="Y415" i="11"/>
  <c r="W415" i="11"/>
  <c r="U415" i="11"/>
  <c r="S415" i="11"/>
  <c r="Q415" i="11"/>
  <c r="O415" i="11"/>
  <c r="M415" i="11"/>
  <c r="K415" i="11"/>
  <c r="I415" i="11"/>
  <c r="G415" i="11"/>
  <c r="E415" i="11"/>
  <c r="E416" i="11"/>
  <c r="G416" i="11"/>
  <c r="I416" i="11"/>
  <c r="K416" i="11"/>
  <c r="M416" i="11"/>
  <c r="O416" i="11"/>
  <c r="Q416" i="11"/>
  <c r="S416" i="11"/>
  <c r="U416" i="11"/>
  <c r="W416" i="11"/>
  <c r="Y416" i="11"/>
  <c r="AA416" i="11"/>
  <c r="AC416" i="11"/>
  <c r="AE416" i="11"/>
  <c r="AG416" i="11"/>
  <c r="AI416" i="11"/>
  <c r="AK416" i="11"/>
  <c r="D417" i="11"/>
  <c r="F417" i="11"/>
  <c r="H417" i="11"/>
  <c r="J417" i="11"/>
  <c r="L417" i="11"/>
  <c r="N417" i="11"/>
  <c r="P417" i="11"/>
  <c r="R417" i="11"/>
  <c r="T417" i="11"/>
  <c r="V417" i="11"/>
  <c r="X417" i="11"/>
  <c r="Z417" i="11"/>
  <c r="AB417" i="11"/>
  <c r="AD417" i="11"/>
  <c r="AF417" i="11"/>
  <c r="AH417" i="11"/>
  <c r="AJ417" i="11"/>
  <c r="AL417" i="11"/>
  <c r="E418" i="11"/>
  <c r="G418" i="11"/>
  <c r="I418" i="11"/>
  <c r="K418" i="11"/>
  <c r="M418" i="11"/>
  <c r="O418" i="11"/>
  <c r="Q418" i="11"/>
  <c r="S418" i="11"/>
  <c r="U418" i="11"/>
  <c r="W418" i="11"/>
  <c r="Y418" i="11"/>
  <c r="AA418" i="11"/>
  <c r="AC418" i="11"/>
  <c r="AE418" i="11"/>
  <c r="AG418" i="11"/>
  <c r="AI418" i="11"/>
  <c r="AK418" i="11"/>
  <c r="AL415" i="11"/>
  <c r="AJ415" i="11"/>
  <c r="AH415" i="11"/>
  <c r="AF415" i="11"/>
  <c r="AD415" i="11"/>
  <c r="AB415" i="11"/>
  <c r="Z415" i="11"/>
  <c r="X415" i="11"/>
  <c r="V415" i="11"/>
  <c r="T415" i="11"/>
  <c r="R415" i="11"/>
  <c r="P415" i="11"/>
  <c r="N415" i="11"/>
  <c r="L415" i="11"/>
  <c r="J415" i="11"/>
  <c r="H415" i="11"/>
  <c r="D416" i="11"/>
  <c r="F416" i="11"/>
  <c r="H416" i="11"/>
  <c r="J416" i="11"/>
  <c r="L416" i="11"/>
  <c r="N416" i="11"/>
  <c r="P416" i="11"/>
  <c r="R416" i="11"/>
  <c r="T416" i="11"/>
  <c r="V416" i="11"/>
  <c r="X416" i="11"/>
  <c r="Z416" i="11"/>
  <c r="AB416" i="11"/>
  <c r="AD416" i="11"/>
  <c r="AF416" i="11"/>
  <c r="AH416" i="11"/>
  <c r="AJ416" i="11"/>
  <c r="E417" i="11"/>
  <c r="G417" i="11"/>
  <c r="I417" i="11"/>
  <c r="K417" i="11"/>
  <c r="M417" i="11"/>
  <c r="O417" i="11"/>
  <c r="Q417" i="11"/>
  <c r="S417" i="11"/>
  <c r="U417" i="11"/>
  <c r="W417" i="11"/>
  <c r="Y417" i="11"/>
  <c r="AA417" i="11"/>
  <c r="AC417" i="11"/>
  <c r="AE417" i="11"/>
  <c r="AG417" i="11"/>
  <c r="AI417" i="11"/>
  <c r="D418" i="11"/>
  <c r="F418" i="11"/>
  <c r="H418" i="11"/>
  <c r="J418" i="11"/>
  <c r="L418" i="11"/>
  <c r="N418" i="11"/>
  <c r="P418" i="11"/>
  <c r="R418" i="11"/>
  <c r="T418" i="11"/>
  <c r="V418" i="11"/>
  <c r="X418" i="11"/>
  <c r="Z418" i="11"/>
  <c r="AB418" i="11"/>
  <c r="AD418" i="11"/>
  <c r="AF418" i="11"/>
  <c r="AH418" i="11"/>
  <c r="AJ418" i="11"/>
  <c r="B419" i="11"/>
  <c r="Y109" i="7"/>
  <c r="Y110" i="7"/>
  <c r="Y111" i="7"/>
  <c r="Y112" i="7"/>
  <c r="Y113" i="7"/>
  <c r="Y114" i="7"/>
  <c r="Y115" i="7"/>
  <c r="AB115" i="7" s="1"/>
  <c r="Y116" i="7"/>
  <c r="AB116" i="7" s="1"/>
  <c r="Y117" i="7"/>
  <c r="AB117" i="7" s="1"/>
  <c r="Y118" i="7"/>
  <c r="AB118" i="7" s="1"/>
  <c r="Z118" i="7"/>
  <c r="Z117" i="7"/>
  <c r="Z116" i="7"/>
  <c r="Z115" i="7"/>
  <c r="Z114" i="7"/>
  <c r="Z113" i="7"/>
  <c r="Z112" i="7"/>
  <c r="Z111" i="7"/>
  <c r="Z110" i="7"/>
  <c r="Z109" i="7"/>
  <c r="Z6" i="7"/>
  <c r="Z7" i="7"/>
  <c r="Z8" i="7"/>
  <c r="Z9" i="7"/>
  <c r="Z10" i="7"/>
  <c r="Z11" i="7"/>
  <c r="Z12" i="7"/>
  <c r="Z13" i="7"/>
  <c r="Z14" i="7"/>
  <c r="Z15" i="7"/>
  <c r="Z16" i="7"/>
  <c r="Z17" i="7"/>
  <c r="Z18" i="7"/>
  <c r="Z19" i="7"/>
  <c r="Z20" i="7"/>
  <c r="Z21" i="7"/>
  <c r="Z22" i="7"/>
  <c r="Z23" i="7"/>
  <c r="Z24" i="7"/>
  <c r="Z5" i="7"/>
  <c r="D521" i="11" l="1"/>
  <c r="AM521" i="11" s="1"/>
  <c r="AM420" i="11"/>
  <c r="G414" i="11"/>
  <c r="G420" i="11" s="1"/>
  <c r="F414" i="11"/>
  <c r="F420" i="11" s="1"/>
  <c r="E420" i="11"/>
  <c r="AN414" i="11"/>
  <c r="AL419" i="11"/>
  <c r="AJ419" i="11"/>
  <c r="AH419" i="11"/>
  <c r="AF419" i="11"/>
  <c r="AD419" i="11"/>
  <c r="AB419" i="11"/>
  <c r="Z419" i="11"/>
  <c r="X419" i="11"/>
  <c r="V419" i="11"/>
  <c r="T419" i="11"/>
  <c r="R419" i="11"/>
  <c r="P419" i="11"/>
  <c r="N419" i="11"/>
  <c r="L419" i="11"/>
  <c r="J419" i="11"/>
  <c r="H419" i="11"/>
  <c r="F419" i="11"/>
  <c r="D419" i="11"/>
  <c r="AK419" i="11"/>
  <c r="AI419" i="11"/>
  <c r="AG419" i="11"/>
  <c r="AE419" i="11"/>
  <c r="AC419" i="11"/>
  <c r="AA419" i="11"/>
  <c r="Y419" i="11"/>
  <c r="W419" i="11"/>
  <c r="U419" i="11"/>
  <c r="S419" i="11"/>
  <c r="Q419" i="11"/>
  <c r="O419" i="11"/>
  <c r="M419" i="11"/>
  <c r="K419" i="11"/>
  <c r="I419" i="11"/>
  <c r="G419" i="11"/>
  <c r="E419" i="11"/>
  <c r="AO414" i="11"/>
  <c r="AO3" i="11"/>
  <c r="AC109" i="7"/>
  <c r="J1" i="9"/>
  <c r="H1" i="9"/>
  <c r="AA6" i="7"/>
  <c r="AA7" i="7" s="1"/>
  <c r="AA8" i="7" s="1"/>
  <c r="AA9" i="7" s="1"/>
  <c r="AA10" i="7" s="1"/>
  <c r="AA11" i="7" s="1"/>
  <c r="AA12" i="7" s="1"/>
  <c r="AA13" i="7" s="1"/>
  <c r="AA14" i="7" s="1"/>
  <c r="AA15" i="7" s="1"/>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Y24" i="7"/>
  <c r="AB24" i="7" s="1"/>
  <c r="Y23" i="7"/>
  <c r="AB23" i="7" s="1"/>
  <c r="Y22" i="7"/>
  <c r="AB22" i="7" s="1"/>
  <c r="Y21" i="7"/>
  <c r="AB21" i="7" s="1"/>
  <c r="Y20" i="7"/>
  <c r="AB20" i="7" s="1"/>
  <c r="Y19" i="7"/>
  <c r="Y18" i="7"/>
  <c r="AB18" i="7" s="1"/>
  <c r="Y17" i="7"/>
  <c r="AB17" i="7" s="1"/>
  <c r="Y16" i="7"/>
  <c r="AB16" i="7" s="1"/>
  <c r="Y15" i="7"/>
  <c r="AB15" i="7" s="1"/>
  <c r="Y14" i="7"/>
  <c r="AB14" i="7" s="1"/>
  <c r="Y13" i="7"/>
  <c r="AB13" i="7" s="1"/>
  <c r="Y12" i="7"/>
  <c r="AB12" i="7" s="1"/>
  <c r="Y11" i="7"/>
  <c r="AB11" i="7" s="1"/>
  <c r="Y10" i="7"/>
  <c r="AB10" i="7" s="1"/>
  <c r="Y9" i="7"/>
  <c r="AB9" i="7" s="1"/>
  <c r="Y8" i="7"/>
  <c r="AB8" i="7" s="1"/>
  <c r="Y7" i="7"/>
  <c r="AB7" i="7" s="1"/>
  <c r="Y6" i="7"/>
  <c r="AB6" i="7" s="1"/>
  <c r="Y5" i="7"/>
  <c r="AB5" i="7" s="1"/>
  <c r="AB19" i="7" l="1"/>
  <c r="AC5" i="7"/>
  <c r="AA16" i="7"/>
  <c r="AA17" i="7" s="1"/>
  <c r="AA18" i="7" s="1"/>
  <c r="AA19" i="7" s="1"/>
  <c r="AA20" i="7" s="1"/>
  <c r="AA21" i="7" s="1"/>
  <c r="AA22" i="7" s="1"/>
  <c r="AA23" i="7" s="1"/>
  <c r="AA24" i="7" s="1"/>
  <c r="AA25" i="7" s="1"/>
  <c r="AA26" i="7" s="1"/>
  <c r="AA27" i="7" s="1"/>
  <c r="AA28" i="7" s="1"/>
  <c r="AA29" i="7" s="1"/>
  <c r="AA30" i="7" s="1"/>
  <c r="AA31" i="7" s="1"/>
  <c r="AA32" i="7" s="1"/>
  <c r="AA33" i="7" s="1"/>
  <c r="AA34" i="7" s="1"/>
  <c r="AA35" i="7" s="1"/>
  <c r="AA36" i="7" s="1"/>
  <c r="AA37" i="7" s="1"/>
  <c r="AA38" i="7" s="1"/>
  <c r="AA39" i="7" s="1"/>
  <c r="AA40" i="7" s="1"/>
  <c r="AA41" i="7" s="1"/>
  <c r="AA42" i="7" s="1"/>
  <c r="AA43" i="7" s="1"/>
  <c r="AA44" i="7" s="1"/>
  <c r="AA45" i="7" s="1"/>
  <c r="AA46" i="7" s="1"/>
  <c r="AA47" i="7" s="1"/>
  <c r="AA48" i="7" s="1"/>
  <c r="AA49" i="7" s="1"/>
  <c r="AA50" i="7" s="1"/>
  <c r="AA51" i="7" s="1"/>
  <c r="AA52" i="7" s="1"/>
  <c r="AA53" i="7" s="1"/>
  <c r="AA54" i="7" s="1"/>
  <c r="AA55" i="7" s="1"/>
  <c r="AA56" i="7" s="1"/>
  <c r="AA57" i="7" s="1"/>
  <c r="AA58" i="7" s="1"/>
  <c r="AA59" i="7" s="1"/>
  <c r="AA60" i="7" s="1"/>
  <c r="AA61" i="7" s="1"/>
  <c r="AA62" i="7" s="1"/>
  <c r="AA63" i="7" s="1"/>
  <c r="AA64" i="7" s="1"/>
  <c r="AA65" i="7" s="1"/>
  <c r="AA66" i="7" s="1"/>
  <c r="AA67" i="7" s="1"/>
  <c r="AA68" i="7" s="1"/>
  <c r="AA69" i="7" s="1"/>
  <c r="AA70" i="7" s="1"/>
  <c r="AA71" i="7" s="1"/>
  <c r="AA72" i="7" s="1"/>
  <c r="AA73" i="7" s="1"/>
  <c r="AA74" i="7" s="1"/>
  <c r="AA75" i="7" s="1"/>
  <c r="AA76" i="7" s="1"/>
  <c r="AA77" i="7" s="1"/>
  <c r="AA78" i="7" s="1"/>
  <c r="AA79" i="7" s="1"/>
  <c r="AA80" i="7" s="1"/>
  <c r="AA81" i="7" s="1"/>
  <c r="AA82" i="7" s="1"/>
  <c r="AA83" i="7" s="1"/>
  <c r="AA84" i="7" s="1"/>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F521" i="11"/>
  <c r="AO521" i="11" s="1"/>
  <c r="AO420" i="11"/>
  <c r="AN420" i="11"/>
  <c r="E521" i="11"/>
  <c r="AN521" i="11" s="1"/>
  <c r="AP420" i="11"/>
  <c r="G521" i="11"/>
  <c r="AP521" i="11" s="1"/>
  <c r="C530" i="11"/>
  <c r="C528" i="11"/>
  <c r="C531" i="11"/>
  <c r="C529" i="11"/>
  <c r="AB109" i="7"/>
  <c r="AB110" i="7" s="1"/>
  <c r="AP414" i="11"/>
  <c r="AP3" i="11"/>
  <c r="H414" i="11"/>
  <c r="H420" i="11" s="1"/>
  <c r="K128" i="8"/>
  <c r="K127" i="8"/>
  <c r="K126" i="8"/>
  <c r="K125" i="8"/>
  <c r="K124" i="8"/>
  <c r="K123" i="8"/>
  <c r="K122" i="8"/>
  <c r="K121" i="8"/>
  <c r="K120" i="8"/>
  <c r="K119" i="8"/>
  <c r="I128" i="8"/>
  <c r="I127" i="8"/>
  <c r="I126" i="8"/>
  <c r="I125" i="8"/>
  <c r="I124" i="8"/>
  <c r="I123" i="8"/>
  <c r="I122" i="8"/>
  <c r="I121" i="8"/>
  <c r="I120" i="8"/>
  <c r="I119" i="8"/>
  <c r="Z33" i="8"/>
  <c r="X33" i="8"/>
  <c r="Z32" i="8"/>
  <c r="X32" i="8"/>
  <c r="Z31" i="8"/>
  <c r="X31" i="8"/>
  <c r="Z30" i="8"/>
  <c r="X30" i="8"/>
  <c r="Z29" i="8"/>
  <c r="X29" i="8"/>
  <c r="Z28" i="8"/>
  <c r="X28" i="8"/>
  <c r="Z27" i="8"/>
  <c r="X27" i="8"/>
  <c r="Z26" i="8"/>
  <c r="X26" i="8"/>
  <c r="Z25" i="8"/>
  <c r="X25" i="8"/>
  <c r="Z24" i="8"/>
  <c r="X24" i="8"/>
  <c r="Z23" i="8"/>
  <c r="X23" i="8"/>
  <c r="Z22" i="8"/>
  <c r="X22" i="8"/>
  <c r="Z21" i="8"/>
  <c r="X21" i="8"/>
  <c r="Z20" i="8"/>
  <c r="X20" i="8"/>
  <c r="Z19" i="8"/>
  <c r="X19" i="8"/>
  <c r="Z18" i="8"/>
  <c r="X18" i="8"/>
  <c r="Z17" i="8"/>
  <c r="X17" i="8"/>
  <c r="Z16" i="8"/>
  <c r="X16" i="8"/>
  <c r="Z15" i="8"/>
  <c r="X15" i="8"/>
  <c r="Z14" i="8"/>
  <c r="X14" i="8"/>
  <c r="U33" i="8"/>
  <c r="S33" i="8"/>
  <c r="U32" i="8"/>
  <c r="S32" i="8"/>
  <c r="U31" i="8"/>
  <c r="S31" i="8"/>
  <c r="U30" i="8"/>
  <c r="S30" i="8"/>
  <c r="U29" i="8"/>
  <c r="S29" i="8"/>
  <c r="U28" i="8"/>
  <c r="S28" i="8"/>
  <c r="U27" i="8"/>
  <c r="S27" i="8"/>
  <c r="U26" i="8"/>
  <c r="S26" i="8"/>
  <c r="U25" i="8"/>
  <c r="S25" i="8"/>
  <c r="U24" i="8"/>
  <c r="S24" i="8"/>
  <c r="U23" i="8"/>
  <c r="S23" i="8"/>
  <c r="U22" i="8"/>
  <c r="S22" i="8"/>
  <c r="U21" i="8"/>
  <c r="S21" i="8"/>
  <c r="U20" i="8"/>
  <c r="S20" i="8"/>
  <c r="U19" i="8"/>
  <c r="S19" i="8"/>
  <c r="U18" i="8"/>
  <c r="S18" i="8"/>
  <c r="U17" i="8"/>
  <c r="S17" i="8"/>
  <c r="U16" i="8"/>
  <c r="S16" i="8"/>
  <c r="U15" i="8"/>
  <c r="S15" i="8"/>
  <c r="U14" i="8"/>
  <c r="S14" i="8"/>
  <c r="P33" i="8"/>
  <c r="N33" i="8"/>
  <c r="P32" i="8"/>
  <c r="N32" i="8"/>
  <c r="P31" i="8"/>
  <c r="N31" i="8"/>
  <c r="P30" i="8"/>
  <c r="N30" i="8"/>
  <c r="P29" i="8"/>
  <c r="N29" i="8"/>
  <c r="P28" i="8"/>
  <c r="N28" i="8"/>
  <c r="P27" i="8"/>
  <c r="N27" i="8"/>
  <c r="P26" i="8"/>
  <c r="N26" i="8"/>
  <c r="P25" i="8"/>
  <c r="N25" i="8"/>
  <c r="P24" i="8"/>
  <c r="N24" i="8"/>
  <c r="P23" i="8"/>
  <c r="N23" i="8"/>
  <c r="P22" i="8"/>
  <c r="N22" i="8"/>
  <c r="P21" i="8"/>
  <c r="N21" i="8"/>
  <c r="P20" i="8"/>
  <c r="N20" i="8"/>
  <c r="P19" i="8"/>
  <c r="N19" i="8"/>
  <c r="P18" i="8"/>
  <c r="N18" i="8"/>
  <c r="P17" i="8"/>
  <c r="N17" i="8"/>
  <c r="P16" i="8"/>
  <c r="N16" i="8"/>
  <c r="P15" i="8"/>
  <c r="N15" i="8"/>
  <c r="P14" i="8"/>
  <c r="N14" i="8"/>
  <c r="K33" i="8"/>
  <c r="K32" i="8"/>
  <c r="K31" i="8"/>
  <c r="K30" i="8"/>
  <c r="K29" i="8"/>
  <c r="K28" i="8"/>
  <c r="K27" i="8"/>
  <c r="K26" i="8"/>
  <c r="K25" i="8"/>
  <c r="K24" i="8"/>
  <c r="K23" i="8"/>
  <c r="K22" i="8"/>
  <c r="K21" i="8"/>
  <c r="K20" i="8"/>
  <c r="K19" i="8"/>
  <c r="K18" i="8"/>
  <c r="K17" i="8"/>
  <c r="K16" i="8"/>
  <c r="K15" i="8"/>
  <c r="K14" i="8"/>
  <c r="I33" i="8"/>
  <c r="I32" i="8"/>
  <c r="I31" i="8"/>
  <c r="I30" i="8"/>
  <c r="I29" i="8"/>
  <c r="I28" i="8"/>
  <c r="I27" i="8"/>
  <c r="I26" i="8"/>
  <c r="I25" i="8"/>
  <c r="I24" i="8"/>
  <c r="I23" i="8"/>
  <c r="I22" i="8"/>
  <c r="I21" i="8"/>
  <c r="I20" i="8"/>
  <c r="I19" i="8"/>
  <c r="I18" i="8"/>
  <c r="I17" i="8"/>
  <c r="I16" i="8"/>
  <c r="I15" i="8"/>
  <c r="I14" i="8"/>
  <c r="S3" i="5"/>
  <c r="R3" i="5"/>
  <c r="Q3" i="5"/>
  <c r="P3" i="5"/>
  <c r="O3" i="5"/>
  <c r="U3" i="2"/>
  <c r="T3" i="2"/>
  <c r="S3" i="2"/>
  <c r="R3" i="2"/>
  <c r="Q3" i="2"/>
  <c r="B128" i="8"/>
  <c r="G128" i="8" s="1"/>
  <c r="F412" i="9" s="1"/>
  <c r="B127" i="8"/>
  <c r="G127" i="8" s="1"/>
  <c r="F411" i="9" s="1"/>
  <c r="B126" i="8"/>
  <c r="G126" i="8" s="1"/>
  <c r="F410" i="9" s="1"/>
  <c r="B125" i="8"/>
  <c r="G125" i="8" s="1"/>
  <c r="F409" i="9" s="1"/>
  <c r="B124" i="8"/>
  <c r="G124" i="8" s="1"/>
  <c r="F408" i="9" s="1"/>
  <c r="B123" i="8"/>
  <c r="G123" i="8" s="1"/>
  <c r="F407" i="9" s="1"/>
  <c r="B122" i="8"/>
  <c r="G122" i="8" s="1"/>
  <c r="B121" i="8"/>
  <c r="G121" i="8" s="1"/>
  <c r="B120" i="8"/>
  <c r="G120" i="8" s="1"/>
  <c r="B119" i="8"/>
  <c r="F119" i="8" s="1"/>
  <c r="I403" i="9" s="1"/>
  <c r="B15" i="8"/>
  <c r="B16" i="8"/>
  <c r="L16" i="8" s="1"/>
  <c r="F12" i="9" s="1"/>
  <c r="B17" i="8"/>
  <c r="L17" i="8" s="1"/>
  <c r="F16" i="9" s="1"/>
  <c r="B18" i="8"/>
  <c r="G18" i="8" s="1"/>
  <c r="F19" i="9" s="1"/>
  <c r="B19" i="8"/>
  <c r="B20" i="8"/>
  <c r="G20" i="8" s="1"/>
  <c r="F27" i="9" s="1"/>
  <c r="B21" i="8"/>
  <c r="G21" i="8" s="1"/>
  <c r="F31" i="9" s="1"/>
  <c r="B22" i="8"/>
  <c r="E22" i="8" s="1"/>
  <c r="B23" i="8"/>
  <c r="B24" i="8"/>
  <c r="Q24" i="8" s="1"/>
  <c r="F45" i="9" s="1"/>
  <c r="B25" i="8"/>
  <c r="D25" i="8" s="1"/>
  <c r="B26" i="8"/>
  <c r="E26" i="8" s="1"/>
  <c r="B27" i="8"/>
  <c r="B28" i="8"/>
  <c r="E28" i="8" s="1"/>
  <c r="B29" i="8"/>
  <c r="Q29" i="8" s="1"/>
  <c r="F65" i="9" s="1"/>
  <c r="B30" i="8"/>
  <c r="E30" i="8" s="1"/>
  <c r="B31" i="8"/>
  <c r="B32" i="8"/>
  <c r="E32" i="8" s="1"/>
  <c r="B33" i="8"/>
  <c r="Q33" i="8" s="1"/>
  <c r="F81" i="9" s="1"/>
  <c r="B14" i="8"/>
  <c r="Q533" i="3"/>
  <c r="Q532" i="3"/>
  <c r="Q530" i="3"/>
  <c r="Q529" i="3"/>
  <c r="Q527" i="3"/>
  <c r="Q526" i="3"/>
  <c r="Q524" i="3"/>
  <c r="Q523" i="3"/>
  <c r="Q521" i="3"/>
  <c r="Q520" i="3"/>
  <c r="Q518" i="3"/>
  <c r="Q517" i="3"/>
  <c r="Q515" i="3"/>
  <c r="Q514" i="3"/>
  <c r="Q512" i="3"/>
  <c r="Q511" i="3"/>
  <c r="Q509" i="3"/>
  <c r="Q508" i="3"/>
  <c r="Q506" i="3"/>
  <c r="M3" i="5" s="1"/>
  <c r="Q505" i="3"/>
  <c r="N40" i="2"/>
  <c r="C532" i="3"/>
  <c r="C529" i="3"/>
  <c r="C523" i="3"/>
  <c r="C520" i="3"/>
  <c r="C517" i="3"/>
  <c r="C514" i="3"/>
  <c r="C511" i="3"/>
  <c r="C508" i="3"/>
  <c r="C505" i="3"/>
  <c r="AM8" i="3"/>
  <c r="G23" i="2" s="1"/>
  <c r="AM7" i="3"/>
  <c r="F23" i="2" s="1"/>
  <c r="AC5" i="3"/>
  <c r="AC6" i="3" s="1"/>
  <c r="AC7" i="3" s="1"/>
  <c r="AC8" i="3" s="1"/>
  <c r="AD5" i="3"/>
  <c r="Y532" i="3"/>
  <c r="AO532" i="3" s="1"/>
  <c r="X532" i="3"/>
  <c r="U532" i="3"/>
  <c r="B532" i="3"/>
  <c r="Y529" i="3"/>
  <c r="AO529" i="3" s="1"/>
  <c r="X529" i="3"/>
  <c r="U529" i="3"/>
  <c r="B529" i="3"/>
  <c r="Y526" i="3"/>
  <c r="AO526" i="3" s="1"/>
  <c r="AF526" i="3" s="1"/>
  <c r="X526" i="3"/>
  <c r="U526" i="3"/>
  <c r="B526" i="3"/>
  <c r="Y523" i="3"/>
  <c r="AO523" i="3" s="1"/>
  <c r="X523" i="3"/>
  <c r="U523" i="3"/>
  <c r="B523" i="3"/>
  <c r="Y520" i="3"/>
  <c r="AO520" i="3" s="1"/>
  <c r="X520" i="3"/>
  <c r="U520" i="3"/>
  <c r="B520" i="3"/>
  <c r="Y517" i="3"/>
  <c r="AO517" i="3" s="1"/>
  <c r="X517" i="3"/>
  <c r="U517" i="3"/>
  <c r="B517" i="3"/>
  <c r="Y514" i="3"/>
  <c r="AO514" i="3" s="1"/>
  <c r="X514" i="3"/>
  <c r="U514" i="3"/>
  <c r="B514" i="3"/>
  <c r="Y511" i="3"/>
  <c r="AO511" i="3" s="1"/>
  <c r="X511" i="3"/>
  <c r="U511" i="3"/>
  <c r="B511" i="3"/>
  <c r="Y508" i="3"/>
  <c r="AO508" i="3" s="1"/>
  <c r="X508" i="3"/>
  <c r="U508" i="3"/>
  <c r="B508" i="3"/>
  <c r="Y505" i="3"/>
  <c r="AO505" i="3" s="1"/>
  <c r="X505" i="3"/>
  <c r="D8" i="5" s="1"/>
  <c r="U505" i="3"/>
  <c r="E6" i="5" s="1"/>
  <c r="B505" i="3"/>
  <c r="D5" i="5" s="1"/>
  <c r="AO5" i="3"/>
  <c r="Q5" i="7"/>
  <c r="Z8" i="3" s="1"/>
  <c r="O5" i="7"/>
  <c r="Z7" i="3" s="1"/>
  <c r="M5" i="7"/>
  <c r="AA6" i="3" s="1"/>
  <c r="L5" i="7"/>
  <c r="Z6" i="3" s="1"/>
  <c r="Q23" i="7"/>
  <c r="Z98" i="3" s="1"/>
  <c r="O23" i="7"/>
  <c r="Z97" i="3" s="1"/>
  <c r="M23" i="7"/>
  <c r="AA96" i="3" s="1"/>
  <c r="L23" i="7"/>
  <c r="Z96" i="3" s="1"/>
  <c r="Q22" i="7"/>
  <c r="Z93" i="3" s="1"/>
  <c r="O22" i="7"/>
  <c r="Z92" i="3" s="1"/>
  <c r="M22" i="7"/>
  <c r="AA91" i="3" s="1"/>
  <c r="L22" i="7"/>
  <c r="Z91" i="3" s="1"/>
  <c r="Q21" i="7"/>
  <c r="Z88" i="3" s="1"/>
  <c r="O21" i="7"/>
  <c r="Z87" i="3" s="1"/>
  <c r="M21" i="7"/>
  <c r="AA86" i="3" s="1"/>
  <c r="L21" i="7"/>
  <c r="Z86" i="3" s="1"/>
  <c r="Q20" i="7"/>
  <c r="Z83" i="3" s="1"/>
  <c r="O20" i="7"/>
  <c r="Z82" i="3" s="1"/>
  <c r="M20" i="7"/>
  <c r="AA81" i="3" s="1"/>
  <c r="L20" i="7"/>
  <c r="Z81" i="3" s="1"/>
  <c r="Q19" i="7"/>
  <c r="Z78" i="3" s="1"/>
  <c r="O19" i="7"/>
  <c r="Z77" i="3" s="1"/>
  <c r="M19" i="7"/>
  <c r="AA76" i="3" s="1"/>
  <c r="L19" i="7"/>
  <c r="Z76" i="3" s="1"/>
  <c r="Q18" i="7"/>
  <c r="Z73" i="3" s="1"/>
  <c r="O18" i="7"/>
  <c r="Z72" i="3" s="1"/>
  <c r="M18" i="7"/>
  <c r="AA71" i="3" s="1"/>
  <c r="L18" i="7"/>
  <c r="Z71" i="3" s="1"/>
  <c r="Q17" i="7"/>
  <c r="Z68" i="3" s="1"/>
  <c r="O17" i="7"/>
  <c r="Z67" i="3" s="1"/>
  <c r="M17" i="7"/>
  <c r="AA66" i="3" s="1"/>
  <c r="L17" i="7"/>
  <c r="Z66" i="3" s="1"/>
  <c r="Q16" i="7"/>
  <c r="Z63" i="3" s="1"/>
  <c r="O16" i="7"/>
  <c r="Z62" i="3" s="1"/>
  <c r="M16" i="7"/>
  <c r="AA61" i="3" s="1"/>
  <c r="L16" i="7"/>
  <c r="Z61" i="3" s="1"/>
  <c r="Q15" i="7"/>
  <c r="Z58" i="3" s="1"/>
  <c r="O15" i="7"/>
  <c r="Z57" i="3" s="1"/>
  <c r="M15" i="7"/>
  <c r="AA56" i="3" s="1"/>
  <c r="L15" i="7"/>
  <c r="Z56" i="3" s="1"/>
  <c r="Q14" i="7"/>
  <c r="Z53" i="3" s="1"/>
  <c r="O14" i="7"/>
  <c r="Z52" i="3" s="1"/>
  <c r="M14" i="7"/>
  <c r="AA51" i="3" s="1"/>
  <c r="L14" i="7"/>
  <c r="Z51" i="3" s="1"/>
  <c r="Q13" i="7"/>
  <c r="Z48" i="3" s="1"/>
  <c r="O13" i="7"/>
  <c r="Z47" i="3" s="1"/>
  <c r="M13" i="7"/>
  <c r="AA46" i="3" s="1"/>
  <c r="L13" i="7"/>
  <c r="Z46" i="3" s="1"/>
  <c r="Q12" i="7"/>
  <c r="Z43" i="3" s="1"/>
  <c r="O12" i="7"/>
  <c r="Z42" i="3" s="1"/>
  <c r="M12" i="7"/>
  <c r="AA41" i="3" s="1"/>
  <c r="L12" i="7"/>
  <c r="Z41" i="3" s="1"/>
  <c r="Q11" i="7"/>
  <c r="Z38" i="3" s="1"/>
  <c r="O11" i="7"/>
  <c r="Z37" i="3" s="1"/>
  <c r="M11" i="7"/>
  <c r="AA36" i="3" s="1"/>
  <c r="L11" i="7"/>
  <c r="Z36" i="3" s="1"/>
  <c r="Q10" i="7"/>
  <c r="Z33" i="3" s="1"/>
  <c r="O10" i="7"/>
  <c r="Z32" i="3" s="1"/>
  <c r="M10" i="7"/>
  <c r="AA31" i="3" s="1"/>
  <c r="L10" i="7"/>
  <c r="Z31" i="3" s="1"/>
  <c r="Q9" i="7"/>
  <c r="Z28" i="3" s="1"/>
  <c r="O9" i="7"/>
  <c r="Z27" i="3" s="1"/>
  <c r="M9" i="7"/>
  <c r="AA26" i="3" s="1"/>
  <c r="L9" i="7"/>
  <c r="Z26" i="3" s="1"/>
  <c r="Q8" i="7"/>
  <c r="Z23" i="3" s="1"/>
  <c r="O8" i="7"/>
  <c r="Z22" i="3" s="1"/>
  <c r="M8" i="7"/>
  <c r="AA21" i="3" s="1"/>
  <c r="L8" i="7"/>
  <c r="Z21" i="3" s="1"/>
  <c r="Q7" i="7"/>
  <c r="Z18" i="3" s="1"/>
  <c r="O7" i="7"/>
  <c r="Z17" i="3" s="1"/>
  <c r="M7" i="7"/>
  <c r="AA16" i="3" s="1"/>
  <c r="L7" i="7"/>
  <c r="Z16" i="3" s="1"/>
  <c r="Q6" i="7"/>
  <c r="Z13" i="3" s="1"/>
  <c r="O6" i="7"/>
  <c r="Z12" i="3" s="1"/>
  <c r="M6" i="7"/>
  <c r="AA11" i="3" s="1"/>
  <c r="L6" i="7"/>
  <c r="Z11" i="3" s="1"/>
  <c r="I118" i="7"/>
  <c r="AA532" i="3" s="1"/>
  <c r="H118" i="7"/>
  <c r="Z532" i="3" s="1"/>
  <c r="I117" i="7"/>
  <c r="AA529" i="3" s="1"/>
  <c r="H117" i="7"/>
  <c r="Z529" i="3" s="1"/>
  <c r="AA526" i="3"/>
  <c r="H116" i="7"/>
  <c r="Z526" i="3" s="1"/>
  <c r="AA523" i="3"/>
  <c r="H115" i="7"/>
  <c r="Z523" i="3" s="1"/>
  <c r="AA520" i="3"/>
  <c r="H114" i="7"/>
  <c r="Z520" i="3" s="1"/>
  <c r="AA517" i="3"/>
  <c r="H113" i="7"/>
  <c r="Z517" i="3" s="1"/>
  <c r="AA514" i="3"/>
  <c r="H112" i="7"/>
  <c r="Z514" i="3" s="1"/>
  <c r="AA511" i="3"/>
  <c r="H111" i="7"/>
  <c r="Z511" i="3" s="1"/>
  <c r="AA508" i="3"/>
  <c r="H110" i="7"/>
  <c r="Z508" i="3" s="1"/>
  <c r="AA505" i="3"/>
  <c r="H109" i="7"/>
  <c r="Z505" i="3" s="1"/>
  <c r="O40" i="2"/>
  <c r="AY40" i="2"/>
  <c r="AX40" i="2"/>
  <c r="AW40" i="2"/>
  <c r="AV40" i="2"/>
  <c r="AU40" i="2"/>
  <c r="AT40" i="2"/>
  <c r="AS40" i="2"/>
  <c r="AR40" i="2"/>
  <c r="AQ40" i="2"/>
  <c r="AP40" i="2"/>
  <c r="AO40" i="2"/>
  <c r="AN40" i="2"/>
  <c r="AM40" i="2"/>
  <c r="AL40" i="2"/>
  <c r="AK40" i="2"/>
  <c r="AJ40" i="2"/>
  <c r="AI40" i="2"/>
  <c r="AH40" i="2"/>
  <c r="AG40" i="2"/>
  <c r="AF40" i="2"/>
  <c r="AE40" i="2"/>
  <c r="AD40" i="2"/>
  <c r="AC40" i="2"/>
  <c r="AB40" i="2"/>
  <c r="AA40" i="2"/>
  <c r="Z40" i="2"/>
  <c r="Y40" i="2"/>
  <c r="X40" i="2"/>
  <c r="W40" i="2"/>
  <c r="V40" i="2"/>
  <c r="U40" i="2"/>
  <c r="T40" i="2"/>
  <c r="S40" i="2"/>
  <c r="R40" i="2"/>
  <c r="Q40" i="2"/>
  <c r="E24" i="8"/>
  <c r="Q31" i="8"/>
  <c r="F73" i="9" s="1"/>
  <c r="L31" i="8"/>
  <c r="F72" i="9" s="1"/>
  <c r="G31" i="8"/>
  <c r="F71" i="9" s="1"/>
  <c r="F31" i="8"/>
  <c r="G29" i="8"/>
  <c r="F63" i="9" s="1"/>
  <c r="Q27" i="8"/>
  <c r="F57" i="9" s="1"/>
  <c r="L27" i="8"/>
  <c r="F56" i="9" s="1"/>
  <c r="G27" i="8"/>
  <c r="F55" i="9" s="1"/>
  <c r="F27" i="8"/>
  <c r="Q23" i="8"/>
  <c r="F41" i="9" s="1"/>
  <c r="L23" i="8"/>
  <c r="F40" i="9" s="1"/>
  <c r="G23" i="8"/>
  <c r="F39" i="9" s="1"/>
  <c r="F23" i="8"/>
  <c r="Q21" i="8"/>
  <c r="F33" i="9" s="1"/>
  <c r="L21" i="8"/>
  <c r="F32" i="9" s="1"/>
  <c r="Q19" i="8"/>
  <c r="F25" i="9" s="1"/>
  <c r="L19" i="8"/>
  <c r="F24" i="9" s="1"/>
  <c r="G19" i="8"/>
  <c r="F23" i="9" s="1"/>
  <c r="F19" i="8"/>
  <c r="E19" i="8"/>
  <c r="Q17" i="8"/>
  <c r="F17" i="9" s="1"/>
  <c r="F17" i="8"/>
  <c r="E17" i="8"/>
  <c r="Q15" i="8"/>
  <c r="F9" i="9" s="1"/>
  <c r="L15" i="8"/>
  <c r="F8" i="9" s="1"/>
  <c r="G15" i="8"/>
  <c r="F7" i="9" s="1"/>
  <c r="F15" i="8"/>
  <c r="E15" i="8"/>
  <c r="D31" i="8"/>
  <c r="D27" i="8"/>
  <c r="D23" i="8"/>
  <c r="D21" i="8"/>
  <c r="D19" i="8"/>
  <c r="D15" i="8"/>
  <c r="G32" i="8"/>
  <c r="F75" i="9" s="1"/>
  <c r="G28" i="8"/>
  <c r="F59" i="9" s="1"/>
  <c r="L24" i="8"/>
  <c r="F44" i="9" s="1"/>
  <c r="Q22" i="8"/>
  <c r="F37" i="9" s="1"/>
  <c r="L18" i="8"/>
  <c r="F20" i="9" s="1"/>
  <c r="G16" i="8"/>
  <c r="F11" i="9" s="1"/>
  <c r="E16" i="8"/>
  <c r="D32" i="8"/>
  <c r="D28" i="8"/>
  <c r="D16" i="8"/>
  <c r="E33" i="8"/>
  <c r="E31" i="8"/>
  <c r="E27" i="8"/>
  <c r="E25" i="8"/>
  <c r="E23" i="8"/>
  <c r="D122" i="8"/>
  <c r="D406" i="9" s="1"/>
  <c r="B406" i="9" s="1"/>
  <c r="D124" i="8"/>
  <c r="D408" i="9" s="1"/>
  <c r="B408" i="9" s="1"/>
  <c r="D128" i="8"/>
  <c r="D412" i="9" s="1"/>
  <c r="B412" i="9" s="1"/>
  <c r="E128" i="8"/>
  <c r="G412" i="9" s="1"/>
  <c r="E122" i="8"/>
  <c r="G406" i="9" s="1"/>
  <c r="E120" i="8"/>
  <c r="G404" i="9" s="1"/>
  <c r="F120" i="8"/>
  <c r="I404" i="9" s="1"/>
  <c r="F122" i="8"/>
  <c r="I406" i="9" s="1"/>
  <c r="F128" i="8"/>
  <c r="I412" i="9" s="1"/>
  <c r="D125" i="8"/>
  <c r="D409" i="9" s="1"/>
  <c r="B409" i="9" s="1"/>
  <c r="E125" i="8"/>
  <c r="G409" i="9" s="1"/>
  <c r="F121" i="8"/>
  <c r="I405" i="9" s="1"/>
  <c r="F125" i="8"/>
  <c r="I409" i="9" s="1"/>
  <c r="V27" i="8"/>
  <c r="F58" i="9" s="1"/>
  <c r="C422" i="11"/>
  <c r="C421" i="11"/>
  <c r="BS422" i="11" l="1"/>
  <c r="BO422" i="11"/>
  <c r="BK422" i="11"/>
  <c r="BG422" i="11"/>
  <c r="BC422" i="11"/>
  <c r="AY422" i="11"/>
  <c r="AU422" i="11"/>
  <c r="AQ422" i="11"/>
  <c r="AM422" i="11"/>
  <c r="BP422" i="11"/>
  <c r="BH422" i="11"/>
  <c r="AZ422" i="11"/>
  <c r="AR422" i="11"/>
  <c r="BF422" i="11"/>
  <c r="B422" i="11"/>
  <c r="D422" i="11" s="1"/>
  <c r="E422" i="11" s="1"/>
  <c r="F422" i="11" s="1"/>
  <c r="G422" i="11" s="1"/>
  <c r="H422" i="11" s="1"/>
  <c r="I422" i="11" s="1"/>
  <c r="J422" i="11" s="1"/>
  <c r="K422" i="11" s="1"/>
  <c r="L422" i="11" s="1"/>
  <c r="M422" i="11" s="1"/>
  <c r="N422" i="11" s="1"/>
  <c r="O422" i="11" s="1"/>
  <c r="P422" i="11" s="1"/>
  <c r="Q422" i="11" s="1"/>
  <c r="R422" i="11" s="1"/>
  <c r="S422" i="11" s="1"/>
  <c r="T422" i="11" s="1"/>
  <c r="U422" i="11" s="1"/>
  <c r="V422" i="11" s="1"/>
  <c r="W422" i="11" s="1"/>
  <c r="X422" i="11" s="1"/>
  <c r="Y422" i="11" s="1"/>
  <c r="Z422" i="11" s="1"/>
  <c r="AA422" i="11" s="1"/>
  <c r="AB422" i="11" s="1"/>
  <c r="AC422" i="11" s="1"/>
  <c r="AD422" i="11" s="1"/>
  <c r="AE422" i="11" s="1"/>
  <c r="AF422" i="11" s="1"/>
  <c r="AG422" i="11" s="1"/>
  <c r="AH422" i="11" s="1"/>
  <c r="AI422" i="11" s="1"/>
  <c r="AJ422" i="11" s="1"/>
  <c r="AK422" i="11" s="1"/>
  <c r="AL422" i="11" s="1"/>
  <c r="BN422" i="11"/>
  <c r="BB422" i="11"/>
  <c r="AT422" i="11"/>
  <c r="BU422" i="11"/>
  <c r="BQ422" i="11"/>
  <c r="BM422" i="11"/>
  <c r="BI422" i="11"/>
  <c r="BE422" i="11"/>
  <c r="BA422" i="11"/>
  <c r="AW422" i="11"/>
  <c r="AS422" i="11"/>
  <c r="AO422" i="11"/>
  <c r="BT422" i="11"/>
  <c r="BL422" i="11"/>
  <c r="BD422" i="11"/>
  <c r="AV422" i="11"/>
  <c r="AN422" i="11"/>
  <c r="AP422" i="11"/>
  <c r="BR422" i="11"/>
  <c r="BJ422" i="11"/>
  <c r="AX422" i="11"/>
  <c r="G50" i="9"/>
  <c r="G49" i="9"/>
  <c r="G48" i="9"/>
  <c r="G47" i="9"/>
  <c r="D14" i="9"/>
  <c r="B14" i="9" s="1"/>
  <c r="D13" i="9"/>
  <c r="B13" i="9" s="1"/>
  <c r="D12" i="9"/>
  <c r="B12" i="9" s="1"/>
  <c r="D11" i="9"/>
  <c r="B11" i="9" s="1"/>
  <c r="D10" i="9"/>
  <c r="B10" i="9" s="1"/>
  <c r="D9" i="9"/>
  <c r="B9" i="9" s="1"/>
  <c r="D8" i="9"/>
  <c r="B8" i="9" s="1"/>
  <c r="D7" i="9"/>
  <c r="B7" i="9" s="1"/>
  <c r="D34" i="9"/>
  <c r="B34" i="9" s="1"/>
  <c r="D33" i="9"/>
  <c r="B33" i="9" s="1"/>
  <c r="D32" i="9"/>
  <c r="D31" i="9"/>
  <c r="G10" i="9"/>
  <c r="G9" i="9"/>
  <c r="G8" i="9"/>
  <c r="G7" i="9"/>
  <c r="I18" i="9"/>
  <c r="I17" i="9"/>
  <c r="I16" i="9"/>
  <c r="I15" i="9"/>
  <c r="G26" i="9"/>
  <c r="G25" i="9"/>
  <c r="G24" i="9"/>
  <c r="G23" i="9"/>
  <c r="G46" i="9"/>
  <c r="G45" i="9"/>
  <c r="G44" i="9"/>
  <c r="G43" i="9"/>
  <c r="D50" i="9"/>
  <c r="B50" i="9" s="1"/>
  <c r="D49" i="9"/>
  <c r="D48" i="9"/>
  <c r="D47" i="9"/>
  <c r="C520" i="11"/>
  <c r="C518" i="11"/>
  <c r="C516" i="11"/>
  <c r="C514" i="11"/>
  <c r="C512" i="11"/>
  <c r="C510" i="11"/>
  <c r="C508" i="11"/>
  <c r="C506" i="11"/>
  <c r="C504" i="11"/>
  <c r="C502" i="11"/>
  <c r="C500" i="11"/>
  <c r="C498" i="11"/>
  <c r="C496" i="11"/>
  <c r="C494" i="11"/>
  <c r="C492" i="11"/>
  <c r="C490" i="11"/>
  <c r="C488" i="11"/>
  <c r="C486" i="11"/>
  <c r="C484" i="11"/>
  <c r="C482" i="11"/>
  <c r="C480" i="11"/>
  <c r="C478" i="11"/>
  <c r="C476" i="11"/>
  <c r="C474" i="11"/>
  <c r="C472" i="11"/>
  <c r="C470" i="11"/>
  <c r="C468" i="11"/>
  <c r="C466" i="11"/>
  <c r="C464" i="11"/>
  <c r="C462" i="11"/>
  <c r="C460" i="11"/>
  <c r="C458" i="11"/>
  <c r="C456" i="11"/>
  <c r="C454" i="11"/>
  <c r="C452" i="11"/>
  <c r="C450" i="11"/>
  <c r="C448" i="11"/>
  <c r="C446" i="11"/>
  <c r="C444" i="11"/>
  <c r="C442" i="11"/>
  <c r="C440" i="11"/>
  <c r="C438" i="11"/>
  <c r="C436" i="11"/>
  <c r="C434" i="11"/>
  <c r="C432" i="11"/>
  <c r="C430" i="11"/>
  <c r="C428" i="11"/>
  <c r="C426" i="11"/>
  <c r="C424" i="11"/>
  <c r="C519" i="11"/>
  <c r="C517" i="11"/>
  <c r="C515" i="11"/>
  <c r="C513" i="11"/>
  <c r="C511" i="11"/>
  <c r="C509" i="11"/>
  <c r="C507" i="11"/>
  <c r="C505" i="11"/>
  <c r="C503" i="11"/>
  <c r="C501" i="11"/>
  <c r="C499" i="11"/>
  <c r="C497" i="11"/>
  <c r="C495" i="11"/>
  <c r="C493" i="11"/>
  <c r="C491" i="11"/>
  <c r="C489" i="11"/>
  <c r="C487" i="11"/>
  <c r="C485" i="11"/>
  <c r="C483" i="11"/>
  <c r="C481" i="11"/>
  <c r="C479" i="11"/>
  <c r="C477" i="11"/>
  <c r="C475" i="11"/>
  <c r="C473" i="11"/>
  <c r="C471" i="11"/>
  <c r="C469" i="11"/>
  <c r="C467" i="11"/>
  <c r="C465" i="11"/>
  <c r="C463" i="11"/>
  <c r="C461" i="11"/>
  <c r="C459" i="11"/>
  <c r="C457" i="11"/>
  <c r="C455" i="11"/>
  <c r="C453" i="11"/>
  <c r="C451" i="11"/>
  <c r="C449" i="11"/>
  <c r="C447" i="11"/>
  <c r="C445" i="11"/>
  <c r="C443" i="11"/>
  <c r="C441" i="11"/>
  <c r="C439" i="11"/>
  <c r="C437" i="11"/>
  <c r="C435" i="11"/>
  <c r="C433" i="11"/>
  <c r="C431" i="11"/>
  <c r="C429" i="11"/>
  <c r="C427" i="11"/>
  <c r="C425" i="11"/>
  <c r="C423" i="11"/>
  <c r="G42" i="9"/>
  <c r="G41" i="9"/>
  <c r="G40" i="9"/>
  <c r="G39" i="9"/>
  <c r="G14" i="9"/>
  <c r="G13" i="9"/>
  <c r="G12" i="9"/>
  <c r="G11" i="9"/>
  <c r="D26" i="9"/>
  <c r="B26" i="9" s="1"/>
  <c r="D25" i="9"/>
  <c r="B25" i="9" s="1"/>
  <c r="D24" i="9"/>
  <c r="B24" i="9" s="1"/>
  <c r="D23" i="9"/>
  <c r="B23" i="9" s="1"/>
  <c r="D42" i="9"/>
  <c r="B42" i="9" s="1"/>
  <c r="D41" i="9"/>
  <c r="D40" i="9"/>
  <c r="B40" i="9" s="1"/>
  <c r="D39" i="9"/>
  <c r="B39" i="9" s="1"/>
  <c r="I10" i="9"/>
  <c r="I9" i="9"/>
  <c r="I8" i="9"/>
  <c r="I7" i="9"/>
  <c r="G18" i="9"/>
  <c r="G17" i="9"/>
  <c r="G16" i="9"/>
  <c r="G15" i="9"/>
  <c r="I26" i="9"/>
  <c r="I25" i="9"/>
  <c r="I24" i="9"/>
  <c r="I23" i="9"/>
  <c r="I42" i="9"/>
  <c r="I41" i="9"/>
  <c r="I40" i="9"/>
  <c r="I39" i="9"/>
  <c r="E14" i="8"/>
  <c r="V114" i="8"/>
  <c r="L114" i="8"/>
  <c r="Q114" i="8"/>
  <c r="G114" i="8"/>
  <c r="G38" i="9"/>
  <c r="G37" i="9"/>
  <c r="G36" i="9"/>
  <c r="G35" i="9"/>
  <c r="G58" i="9"/>
  <c r="G57" i="9"/>
  <c r="G56" i="9"/>
  <c r="G55" i="9"/>
  <c r="G82" i="9"/>
  <c r="G81" i="9"/>
  <c r="G80" i="9"/>
  <c r="G79" i="9"/>
  <c r="D62" i="9"/>
  <c r="B62" i="9" s="1"/>
  <c r="D61" i="9"/>
  <c r="B61" i="9" s="1"/>
  <c r="D60" i="9"/>
  <c r="D59" i="9"/>
  <c r="B59" i="9" s="1"/>
  <c r="D74" i="9"/>
  <c r="B74" i="9" s="1"/>
  <c r="D73" i="9"/>
  <c r="B73" i="9" s="1"/>
  <c r="D72" i="9"/>
  <c r="B72" i="9" s="1"/>
  <c r="D71" i="9"/>
  <c r="B71" i="9" s="1"/>
  <c r="I58" i="9"/>
  <c r="I57" i="9"/>
  <c r="I56" i="9"/>
  <c r="I55" i="9"/>
  <c r="G74" i="9"/>
  <c r="G73" i="9"/>
  <c r="G72" i="9"/>
  <c r="G71" i="9"/>
  <c r="D78" i="9"/>
  <c r="D77" i="9"/>
  <c r="B77" i="9" s="1"/>
  <c r="D76" i="9"/>
  <c r="B76" i="9" s="1"/>
  <c r="D75" i="9"/>
  <c r="B75" i="9" s="1"/>
  <c r="D58" i="9"/>
  <c r="B58" i="9" s="1"/>
  <c r="D57" i="9"/>
  <c r="B57" i="9" s="1"/>
  <c r="D56" i="9"/>
  <c r="B56" i="9" s="1"/>
  <c r="D55" i="9"/>
  <c r="B55" i="9" s="1"/>
  <c r="I74" i="9"/>
  <c r="I73" i="9"/>
  <c r="I72" i="9"/>
  <c r="I71" i="9"/>
  <c r="G78" i="9"/>
  <c r="G77" i="9"/>
  <c r="G76" i="9"/>
  <c r="G75" i="9"/>
  <c r="G70" i="9"/>
  <c r="G69" i="9"/>
  <c r="G68" i="9"/>
  <c r="G67" i="9"/>
  <c r="G62" i="9"/>
  <c r="G61" i="9"/>
  <c r="G60" i="9"/>
  <c r="G59" i="9"/>
  <c r="G54" i="9"/>
  <c r="G53" i="9"/>
  <c r="G52" i="9"/>
  <c r="G51" i="9"/>
  <c r="F123" i="8"/>
  <c r="I407" i="9" s="1"/>
  <c r="E121" i="8"/>
  <c r="G405" i="9" s="1"/>
  <c r="D127" i="8"/>
  <c r="D411" i="9" s="1"/>
  <c r="B411" i="9" s="1"/>
  <c r="D121" i="8"/>
  <c r="D405" i="9" s="1"/>
  <c r="B405" i="9" s="1"/>
  <c r="D22" i="8"/>
  <c r="D30" i="8"/>
  <c r="Q16" i="8"/>
  <c r="F13" i="9" s="1"/>
  <c r="F16" i="8"/>
  <c r="F20" i="8"/>
  <c r="F24" i="8"/>
  <c r="Q28" i="8"/>
  <c r="F61" i="9" s="1"/>
  <c r="Q32" i="8"/>
  <c r="F77" i="9" s="1"/>
  <c r="F32" i="8"/>
  <c r="L32" i="8"/>
  <c r="F76" i="9" s="1"/>
  <c r="L3" i="5"/>
  <c r="G119" i="8"/>
  <c r="H119" i="8" s="1"/>
  <c r="B41" i="9"/>
  <c r="M27" i="8"/>
  <c r="D126" i="8"/>
  <c r="D410" i="9" s="1"/>
  <c r="B410" i="9" s="1"/>
  <c r="E126" i="8"/>
  <c r="G410" i="9" s="1"/>
  <c r="F126" i="8"/>
  <c r="I410" i="9" s="1"/>
  <c r="F124" i="8"/>
  <c r="I408" i="9" s="1"/>
  <c r="D120" i="8"/>
  <c r="D404" i="9" s="1"/>
  <c r="B404" i="9" s="1"/>
  <c r="E123" i="8"/>
  <c r="G407" i="9" s="1"/>
  <c r="E124" i="8"/>
  <c r="G408" i="9" s="1"/>
  <c r="E119" i="8"/>
  <c r="G403" i="9" s="1"/>
  <c r="D119" i="8"/>
  <c r="D403" i="9" s="1"/>
  <c r="B403" i="9" s="1"/>
  <c r="Q30" i="8"/>
  <c r="F69" i="9" s="1"/>
  <c r="F33" i="8"/>
  <c r="G33" i="8"/>
  <c r="F79" i="9" s="1"/>
  <c r="D29" i="8"/>
  <c r="F29" i="8"/>
  <c r="G24" i="8"/>
  <c r="F43" i="9" s="1"/>
  <c r="F28" i="8"/>
  <c r="J28" i="8"/>
  <c r="D24" i="8"/>
  <c r="Q26" i="8"/>
  <c r="F53" i="9" s="1"/>
  <c r="L28" i="8"/>
  <c r="F60" i="9" s="1"/>
  <c r="H28" i="8"/>
  <c r="L20" i="8"/>
  <c r="F28" i="9" s="1"/>
  <c r="D20" i="8"/>
  <c r="Q20" i="8"/>
  <c r="F29" i="9" s="1"/>
  <c r="Q18" i="8"/>
  <c r="F21" i="9" s="1"/>
  <c r="G14" i="8"/>
  <c r="F3" i="9" s="1"/>
  <c r="AF532" i="3"/>
  <c r="F127" i="8"/>
  <c r="I411" i="9" s="1"/>
  <c r="E127" i="8"/>
  <c r="G411" i="9" s="1"/>
  <c r="D123" i="8"/>
  <c r="D407" i="9" s="1"/>
  <c r="B407" i="9" s="1"/>
  <c r="E21" i="8"/>
  <c r="E29" i="8"/>
  <c r="D18" i="8"/>
  <c r="D26" i="8"/>
  <c r="D14" i="8"/>
  <c r="F18" i="8"/>
  <c r="G22" i="8"/>
  <c r="F35" i="9" s="1"/>
  <c r="G26" i="8"/>
  <c r="F51" i="9" s="1"/>
  <c r="G30" i="8"/>
  <c r="F67" i="9" s="1"/>
  <c r="F14" i="8"/>
  <c r="D33" i="8"/>
  <c r="G17" i="8"/>
  <c r="F21" i="8"/>
  <c r="F25" i="8"/>
  <c r="L29" i="8"/>
  <c r="F64" i="9" s="1"/>
  <c r="L33" i="8"/>
  <c r="F80" i="9" s="1"/>
  <c r="E18" i="8"/>
  <c r="F22" i="8"/>
  <c r="F26" i="8"/>
  <c r="F30" i="8"/>
  <c r="Q14" i="8"/>
  <c r="F5" i="9" s="1"/>
  <c r="L14" i="8"/>
  <c r="F4" i="9" s="1"/>
  <c r="B49" i="9"/>
  <c r="L22" i="8"/>
  <c r="F36" i="9" s="1"/>
  <c r="L26" i="8"/>
  <c r="F52" i="9" s="1"/>
  <c r="L30" i="8"/>
  <c r="F68" i="9" s="1"/>
  <c r="D17" i="8"/>
  <c r="L25" i="8"/>
  <c r="F48" i="9" s="1"/>
  <c r="R24" i="8"/>
  <c r="J24" i="8"/>
  <c r="H24" i="8"/>
  <c r="G25" i="8"/>
  <c r="F47" i="9" s="1"/>
  <c r="Q25" i="8"/>
  <c r="F49" i="9" s="1"/>
  <c r="AF520" i="3"/>
  <c r="E20" i="8"/>
  <c r="AF508" i="3"/>
  <c r="AF514" i="3"/>
  <c r="B529" i="11"/>
  <c r="D529" i="11" s="1"/>
  <c r="E529" i="11" s="1"/>
  <c r="F529" i="11" s="1"/>
  <c r="G529" i="11" s="1"/>
  <c r="H529" i="11" s="1"/>
  <c r="I529" i="11" s="1"/>
  <c r="J529" i="11" s="1"/>
  <c r="K529" i="11" s="1"/>
  <c r="L529" i="11" s="1"/>
  <c r="M529" i="11" s="1"/>
  <c r="N529" i="11" s="1"/>
  <c r="O529" i="11" s="1"/>
  <c r="P529" i="11" s="1"/>
  <c r="Q529" i="11" s="1"/>
  <c r="R529" i="11" s="1"/>
  <c r="S529" i="11" s="1"/>
  <c r="T529" i="11" s="1"/>
  <c r="U529" i="11" s="1"/>
  <c r="V529" i="11" s="1"/>
  <c r="W529" i="11" s="1"/>
  <c r="X529" i="11" s="1"/>
  <c r="Y529" i="11" s="1"/>
  <c r="Z529" i="11" s="1"/>
  <c r="AA529" i="11" s="1"/>
  <c r="AB529" i="11" s="1"/>
  <c r="AC529" i="11" s="1"/>
  <c r="AD529" i="11" s="1"/>
  <c r="AE529" i="11" s="1"/>
  <c r="AF529" i="11" s="1"/>
  <c r="AG529" i="11" s="1"/>
  <c r="AH529" i="11" s="1"/>
  <c r="AI529" i="11" s="1"/>
  <c r="AJ529" i="11" s="1"/>
  <c r="AK529" i="11" s="1"/>
  <c r="AL529" i="11" s="1"/>
  <c r="AQ529" i="11"/>
  <c r="AU529" i="11"/>
  <c r="AY529" i="11"/>
  <c r="BC529" i="11"/>
  <c r="BG529" i="11"/>
  <c r="BK529" i="11"/>
  <c r="BO529" i="11"/>
  <c r="BS529" i="11"/>
  <c r="AN529" i="11"/>
  <c r="AR529" i="11"/>
  <c r="AV529" i="11"/>
  <c r="AZ529" i="11"/>
  <c r="BD529" i="11"/>
  <c r="BH529" i="11"/>
  <c r="BL529" i="11"/>
  <c r="BP529" i="11"/>
  <c r="BT529" i="11"/>
  <c r="AO529" i="11"/>
  <c r="AS529" i="11"/>
  <c r="AW529" i="11"/>
  <c r="BA529" i="11"/>
  <c r="BE529" i="11"/>
  <c r="BI529" i="11"/>
  <c r="BM529" i="11"/>
  <c r="BQ529" i="11"/>
  <c r="BU529" i="11"/>
  <c r="AP529" i="11"/>
  <c r="AT529" i="11"/>
  <c r="AX529" i="11"/>
  <c r="BB529" i="11"/>
  <c r="BF529" i="11"/>
  <c r="BJ529" i="11"/>
  <c r="BN529" i="11"/>
  <c r="BR529" i="11"/>
  <c r="AM529" i="11"/>
  <c r="AO528" i="11"/>
  <c r="AS528" i="11"/>
  <c r="AW528" i="11"/>
  <c r="BA528" i="11"/>
  <c r="BE528" i="11"/>
  <c r="BI528" i="11"/>
  <c r="BM528" i="11"/>
  <c r="BQ528" i="11"/>
  <c r="BU528" i="11"/>
  <c r="AP528" i="11"/>
  <c r="AT528" i="11"/>
  <c r="AX528" i="11"/>
  <c r="BB528" i="11"/>
  <c r="BF528" i="11"/>
  <c r="BJ528" i="11"/>
  <c r="BN528" i="11"/>
  <c r="BR528" i="11"/>
  <c r="B528" i="11"/>
  <c r="D528" i="11" s="1"/>
  <c r="E528" i="11" s="1"/>
  <c r="F528" i="11" s="1"/>
  <c r="G528" i="11" s="1"/>
  <c r="H528" i="11" s="1"/>
  <c r="I528" i="11" s="1"/>
  <c r="J528" i="11" s="1"/>
  <c r="K528" i="11" s="1"/>
  <c r="L528" i="11" s="1"/>
  <c r="M528" i="11" s="1"/>
  <c r="N528" i="11" s="1"/>
  <c r="O528" i="11" s="1"/>
  <c r="P528" i="11" s="1"/>
  <c r="Q528" i="11" s="1"/>
  <c r="R528" i="11" s="1"/>
  <c r="S528" i="11" s="1"/>
  <c r="T528" i="11" s="1"/>
  <c r="U528" i="11" s="1"/>
  <c r="V528" i="11" s="1"/>
  <c r="W528" i="11" s="1"/>
  <c r="X528" i="11" s="1"/>
  <c r="Y528" i="11" s="1"/>
  <c r="Z528" i="11" s="1"/>
  <c r="AA528" i="11" s="1"/>
  <c r="AB528" i="11" s="1"/>
  <c r="AC528" i="11" s="1"/>
  <c r="AD528" i="11" s="1"/>
  <c r="AE528" i="11" s="1"/>
  <c r="AF528" i="11" s="1"/>
  <c r="AG528" i="11" s="1"/>
  <c r="AH528" i="11" s="1"/>
  <c r="AI528" i="11" s="1"/>
  <c r="AJ528" i="11" s="1"/>
  <c r="AK528" i="11" s="1"/>
  <c r="AL528" i="11" s="1"/>
  <c r="AQ528" i="11"/>
  <c r="AU528" i="11"/>
  <c r="AY528" i="11"/>
  <c r="BC528" i="11"/>
  <c r="BG528" i="11"/>
  <c r="BK528" i="11"/>
  <c r="BO528" i="11"/>
  <c r="BS528" i="11"/>
  <c r="AN528" i="11"/>
  <c r="AR528" i="11"/>
  <c r="AV528" i="11"/>
  <c r="AZ528" i="11"/>
  <c r="BD528" i="11"/>
  <c r="BH528" i="11"/>
  <c r="BL528" i="11"/>
  <c r="BP528" i="11"/>
  <c r="BT528" i="11"/>
  <c r="AM528" i="11"/>
  <c r="AO531" i="11"/>
  <c r="AS531" i="11"/>
  <c r="AW531" i="11"/>
  <c r="BA531" i="11"/>
  <c r="BE531" i="11"/>
  <c r="BI531" i="11"/>
  <c r="BM531" i="11"/>
  <c r="BQ531" i="11"/>
  <c r="BU531" i="11"/>
  <c r="AP531" i="11"/>
  <c r="AT531" i="11"/>
  <c r="AX531" i="11"/>
  <c r="BB531" i="11"/>
  <c r="BF531" i="11"/>
  <c r="BJ531" i="11"/>
  <c r="BN531" i="11"/>
  <c r="BR531" i="11"/>
  <c r="BT531" i="11"/>
  <c r="B531" i="11"/>
  <c r="D531" i="11" s="1"/>
  <c r="E531" i="11" s="1"/>
  <c r="F531" i="11" s="1"/>
  <c r="G531" i="11" s="1"/>
  <c r="H531" i="11" s="1"/>
  <c r="I531" i="11" s="1"/>
  <c r="J531" i="11" s="1"/>
  <c r="K531" i="11" s="1"/>
  <c r="L531" i="11" s="1"/>
  <c r="M531" i="11" s="1"/>
  <c r="N531" i="11" s="1"/>
  <c r="O531" i="11" s="1"/>
  <c r="P531" i="11" s="1"/>
  <c r="Q531" i="11" s="1"/>
  <c r="R531" i="11" s="1"/>
  <c r="S531" i="11" s="1"/>
  <c r="T531" i="11" s="1"/>
  <c r="U531" i="11" s="1"/>
  <c r="V531" i="11" s="1"/>
  <c r="W531" i="11" s="1"/>
  <c r="X531" i="11" s="1"/>
  <c r="Y531" i="11" s="1"/>
  <c r="Z531" i="11" s="1"/>
  <c r="AA531" i="11" s="1"/>
  <c r="AB531" i="11" s="1"/>
  <c r="AC531" i="11" s="1"/>
  <c r="AD531" i="11" s="1"/>
  <c r="AE531" i="11" s="1"/>
  <c r="AF531" i="11" s="1"/>
  <c r="AG531" i="11" s="1"/>
  <c r="AH531" i="11" s="1"/>
  <c r="AI531" i="11" s="1"/>
  <c r="AJ531" i="11" s="1"/>
  <c r="AK531" i="11" s="1"/>
  <c r="AL531" i="11" s="1"/>
  <c r="AQ531" i="11"/>
  <c r="AU531" i="11"/>
  <c r="AY531" i="11"/>
  <c r="BC531" i="11"/>
  <c r="BG531" i="11"/>
  <c r="BK531" i="11"/>
  <c r="BO531" i="11"/>
  <c r="BS531" i="11"/>
  <c r="AN531" i="11"/>
  <c r="AR531" i="11"/>
  <c r="AV531" i="11"/>
  <c r="AZ531" i="11"/>
  <c r="BD531" i="11"/>
  <c r="BH531" i="11"/>
  <c r="BL531" i="11"/>
  <c r="BP531" i="11"/>
  <c r="AM531" i="11"/>
  <c r="B530" i="11"/>
  <c r="D530" i="11" s="1"/>
  <c r="E530" i="11" s="1"/>
  <c r="F530" i="11" s="1"/>
  <c r="G530" i="11" s="1"/>
  <c r="H530" i="11" s="1"/>
  <c r="I530" i="11" s="1"/>
  <c r="J530" i="11" s="1"/>
  <c r="K530" i="11" s="1"/>
  <c r="L530" i="11" s="1"/>
  <c r="M530" i="11" s="1"/>
  <c r="N530" i="11" s="1"/>
  <c r="O530" i="11" s="1"/>
  <c r="P530" i="11" s="1"/>
  <c r="Q530" i="11" s="1"/>
  <c r="R530" i="11" s="1"/>
  <c r="S530" i="11" s="1"/>
  <c r="T530" i="11" s="1"/>
  <c r="U530" i="11" s="1"/>
  <c r="V530" i="11" s="1"/>
  <c r="W530" i="11" s="1"/>
  <c r="X530" i="11" s="1"/>
  <c r="Y530" i="11" s="1"/>
  <c r="Z530" i="11" s="1"/>
  <c r="AA530" i="11" s="1"/>
  <c r="AB530" i="11" s="1"/>
  <c r="AC530" i="11" s="1"/>
  <c r="AD530" i="11" s="1"/>
  <c r="AE530" i="11" s="1"/>
  <c r="AF530" i="11" s="1"/>
  <c r="AG530" i="11" s="1"/>
  <c r="AH530" i="11" s="1"/>
  <c r="AI530" i="11" s="1"/>
  <c r="AJ530" i="11" s="1"/>
  <c r="AK530" i="11" s="1"/>
  <c r="AL530" i="11" s="1"/>
  <c r="BR530" i="11"/>
  <c r="BN530" i="11"/>
  <c r="BJ530" i="11"/>
  <c r="BF530" i="11"/>
  <c r="BB530" i="11"/>
  <c r="AX530" i="11"/>
  <c r="AT530" i="11"/>
  <c r="AP530" i="11"/>
  <c r="BU530" i="11"/>
  <c r="BQ530" i="11"/>
  <c r="BM530" i="11"/>
  <c r="BI530" i="11"/>
  <c r="BE530" i="11"/>
  <c r="BA530" i="11"/>
  <c r="AW530" i="11"/>
  <c r="BT530" i="11"/>
  <c r="BP530" i="11"/>
  <c r="BL530" i="11"/>
  <c r="BH530" i="11"/>
  <c r="BD530" i="11"/>
  <c r="AZ530" i="11"/>
  <c r="AV530" i="11"/>
  <c r="AR530" i="11"/>
  <c r="AN530" i="11"/>
  <c r="BO530" i="11"/>
  <c r="BG530" i="11"/>
  <c r="AY530" i="11"/>
  <c r="AS530" i="11"/>
  <c r="AO530" i="11"/>
  <c r="AM530" i="11"/>
  <c r="BS530" i="11"/>
  <c r="BK530" i="11"/>
  <c r="BC530" i="11"/>
  <c r="AU530" i="11"/>
  <c r="AQ530" i="11"/>
  <c r="R18" i="8"/>
  <c r="BU421" i="11"/>
  <c r="AP421" i="11"/>
  <c r="AT421" i="11"/>
  <c r="AX421" i="11"/>
  <c r="BB421" i="11"/>
  <c r="BF421" i="11"/>
  <c r="BJ421" i="11"/>
  <c r="BN421" i="11"/>
  <c r="BR421" i="11"/>
  <c r="AO421" i="11"/>
  <c r="AS421" i="11"/>
  <c r="AW421" i="11"/>
  <c r="BA421" i="11"/>
  <c r="BE421" i="11"/>
  <c r="BI421" i="11"/>
  <c r="BM421" i="11"/>
  <c r="BQ421" i="11"/>
  <c r="AN421" i="11"/>
  <c r="AV421" i="11"/>
  <c r="BD421" i="11"/>
  <c r="BL421" i="11"/>
  <c r="BT421" i="11"/>
  <c r="AU421" i="11"/>
  <c r="BC421" i="11"/>
  <c r="BK421" i="11"/>
  <c r="AR421" i="11"/>
  <c r="AZ421" i="11"/>
  <c r="BH421" i="11"/>
  <c r="BP421" i="11"/>
  <c r="AQ421" i="11"/>
  <c r="AY421" i="11"/>
  <c r="BG421" i="11"/>
  <c r="BO421" i="11"/>
  <c r="BS421" i="11"/>
  <c r="AM421" i="11"/>
  <c r="B421" i="11"/>
  <c r="AB111" i="7"/>
  <c r="H521" i="11"/>
  <c r="AQ521" i="11" s="1"/>
  <c r="AQ420" i="11"/>
  <c r="AQ414" i="11"/>
  <c r="K4" i="5"/>
  <c r="AQ3" i="11"/>
  <c r="I414" i="11"/>
  <c r="I420" i="11" s="1"/>
  <c r="M19" i="8"/>
  <c r="M25" i="8"/>
  <c r="V16" i="8"/>
  <c r="F14" i="9" s="1"/>
  <c r="O27" i="8"/>
  <c r="T24" i="8"/>
  <c r="V33" i="8"/>
  <c r="F82" i="9" s="1"/>
  <c r="Y27" i="8"/>
  <c r="T29" i="8"/>
  <c r="T27" i="8"/>
  <c r="O24" i="8"/>
  <c r="J27" i="8"/>
  <c r="H27" i="8"/>
  <c r="W27" i="8"/>
  <c r="R29" i="8"/>
  <c r="R27" i="8"/>
  <c r="M24" i="8"/>
  <c r="T19" i="8"/>
  <c r="V30" i="8"/>
  <c r="F70" i="9" s="1"/>
  <c r="V26" i="8"/>
  <c r="F54" i="9" s="1"/>
  <c r="V24" i="8"/>
  <c r="F46" i="9" s="1"/>
  <c r="V31" i="8"/>
  <c r="F74" i="9" s="1"/>
  <c r="T30" i="8"/>
  <c r="T28" i="8"/>
  <c r="T26" i="8"/>
  <c r="O28" i="8"/>
  <c r="O26" i="8"/>
  <c r="J29" i="8"/>
  <c r="H29" i="8"/>
  <c r="R28" i="8"/>
  <c r="R26" i="8"/>
  <c r="M30" i="8"/>
  <c r="M26" i="8"/>
  <c r="J30" i="8"/>
  <c r="J26" i="8"/>
  <c r="H30" i="8"/>
  <c r="H26" i="8"/>
  <c r="AE8" i="3"/>
  <c r="G31" i="2" s="1"/>
  <c r="M22" i="2"/>
  <c r="M5" i="2"/>
  <c r="M23" i="8"/>
  <c r="H19" i="8"/>
  <c r="M4" i="2"/>
  <c r="M6" i="2"/>
  <c r="V21" i="8"/>
  <c r="F34" i="9" s="1"/>
  <c r="V14" i="8"/>
  <c r="F6" i="9" s="1"/>
  <c r="V15" i="8"/>
  <c r="F10" i="9" s="1"/>
  <c r="V22" i="8"/>
  <c r="F38" i="9" s="1"/>
  <c r="D4" i="8"/>
  <c r="R19" i="8"/>
  <c r="J18" i="8"/>
  <c r="M17" i="8"/>
  <c r="M21" i="8"/>
  <c r="R15" i="8"/>
  <c r="AE6" i="3"/>
  <c r="E31" i="2" s="1"/>
  <c r="D5" i="8"/>
  <c r="E5" i="3"/>
  <c r="E6" i="3" s="1"/>
  <c r="E7" i="3" s="1"/>
  <c r="E8" i="3" s="1"/>
  <c r="M24" i="2"/>
  <c r="E37" i="2"/>
  <c r="AF505" i="3"/>
  <c r="AF511" i="3"/>
  <c r="AF517" i="3"/>
  <c r="AF523" i="3"/>
  <c r="AF529" i="3"/>
  <c r="O25" i="8"/>
  <c r="T25" i="8"/>
  <c r="H25" i="8"/>
  <c r="J25" i="8"/>
  <c r="R25" i="8"/>
  <c r="H15" i="8"/>
  <c r="H21" i="8"/>
  <c r="J15" i="8"/>
  <c r="J17" i="8"/>
  <c r="J19" i="8"/>
  <c r="J21" i="8"/>
  <c r="O17" i="8"/>
  <c r="O19" i="8"/>
  <c r="O21" i="8"/>
  <c r="O23" i="8"/>
  <c r="T15" i="8"/>
  <c r="T18" i="8"/>
  <c r="D11" i="5"/>
  <c r="F11" i="5" s="1"/>
  <c r="AE7" i="3"/>
  <c r="F31" i="2" s="1"/>
  <c r="H23" i="8"/>
  <c r="K8" i="5"/>
  <c r="K13" i="5"/>
  <c r="T21" i="8"/>
  <c r="R21" i="8"/>
  <c r="T23" i="8"/>
  <c r="R23" i="8"/>
  <c r="V23" i="8"/>
  <c r="F42" i="9" s="1"/>
  <c r="J23" i="8"/>
  <c r="F403" i="9"/>
  <c r="J119" i="8"/>
  <c r="B60" i="9"/>
  <c r="H18" i="8"/>
  <c r="V18" i="8"/>
  <c r="F22" i="9" s="1"/>
  <c r="V20" i="8"/>
  <c r="F30" i="9" s="1"/>
  <c r="D6" i="8"/>
  <c r="B32" i="9"/>
  <c r="B31" i="9"/>
  <c r="B48" i="9"/>
  <c r="B47" i="9"/>
  <c r="M15" i="8"/>
  <c r="O15" i="8"/>
  <c r="H17" i="8"/>
  <c r="T17" i="8"/>
  <c r="R17" i="8"/>
  <c r="V19" i="8"/>
  <c r="F26" i="9" s="1"/>
  <c r="F5" i="3"/>
  <c r="F6" i="3" s="1"/>
  <c r="J121" i="8"/>
  <c r="H121" i="8"/>
  <c r="F405" i="9"/>
  <c r="H122" i="8"/>
  <c r="J122" i="8"/>
  <c r="F406" i="9"/>
  <c r="F404" i="9"/>
  <c r="G129" i="8"/>
  <c r="D8" i="8" s="1"/>
  <c r="R31" i="8"/>
  <c r="M31" i="8"/>
  <c r="H31" i="8"/>
  <c r="T31" i="8"/>
  <c r="O31" i="8"/>
  <c r="J31" i="8"/>
  <c r="B78" i="9"/>
  <c r="W33" i="8"/>
  <c r="R33" i="8"/>
  <c r="M33" i="8"/>
  <c r="H33" i="8"/>
  <c r="Y33" i="8"/>
  <c r="T33" i="8"/>
  <c r="O33" i="8"/>
  <c r="J33" i="8"/>
  <c r="T32" i="8"/>
  <c r="O32" i="8"/>
  <c r="J32" i="8"/>
  <c r="R32" i="8"/>
  <c r="M32" i="8"/>
  <c r="H32" i="8"/>
  <c r="H120" i="8"/>
  <c r="J120" i="8"/>
  <c r="J123" i="8"/>
  <c r="H123" i="8"/>
  <c r="H124" i="8"/>
  <c r="J124" i="8"/>
  <c r="J125" i="8"/>
  <c r="H125" i="8"/>
  <c r="H126" i="8"/>
  <c r="J126" i="8"/>
  <c r="J127" i="8"/>
  <c r="H127" i="8"/>
  <c r="H128" i="8"/>
  <c r="J128" i="8"/>
  <c r="O16" i="8"/>
  <c r="O18" i="8"/>
  <c r="O20" i="8"/>
  <c r="O22" i="8"/>
  <c r="T14" i="8"/>
  <c r="T16" i="8"/>
  <c r="T20" i="8"/>
  <c r="T22" i="8"/>
  <c r="Y16" i="8"/>
  <c r="Y22" i="8"/>
  <c r="H14" i="8"/>
  <c r="H16" i="8"/>
  <c r="H20" i="8"/>
  <c r="H22" i="8"/>
  <c r="J14" i="8"/>
  <c r="J16" i="8"/>
  <c r="J20" i="8"/>
  <c r="J22" i="8"/>
  <c r="M16" i="8"/>
  <c r="M18" i="8"/>
  <c r="M20" i="8"/>
  <c r="M22" i="8"/>
  <c r="R14" i="8"/>
  <c r="R16" i="8"/>
  <c r="R20" i="8"/>
  <c r="R22" i="8"/>
  <c r="W20" i="8"/>
  <c r="AP5" i="3"/>
  <c r="AM5" i="3" s="1"/>
  <c r="D23" i="2" s="1"/>
  <c r="AD6" i="3"/>
  <c r="AJ5" i="3"/>
  <c r="D26" i="2" s="1"/>
  <c r="AI5" i="3"/>
  <c r="D27" i="2" s="1"/>
  <c r="AL5" i="3"/>
  <c r="D24" i="2" s="1"/>
  <c r="AF5" i="3"/>
  <c r="D30" i="2" s="1"/>
  <c r="AH5" i="3"/>
  <c r="D28" i="2" s="1"/>
  <c r="AG5" i="3"/>
  <c r="D29" i="2" s="1"/>
  <c r="AK5" i="3"/>
  <c r="D25" i="2" s="1"/>
  <c r="D18" i="9" l="1"/>
  <c r="D17" i="9"/>
  <c r="D16" i="9"/>
  <c r="B16" i="9" s="1"/>
  <c r="D15" i="9"/>
  <c r="B15" i="9" s="1"/>
  <c r="I38" i="9"/>
  <c r="I37" i="9"/>
  <c r="I36" i="9"/>
  <c r="I35" i="9"/>
  <c r="I50" i="9"/>
  <c r="I49" i="9"/>
  <c r="I48" i="9"/>
  <c r="I47" i="9"/>
  <c r="V17" i="8"/>
  <c r="F18" i="9" s="1"/>
  <c r="F15" i="9"/>
  <c r="I5" i="9"/>
  <c r="I3" i="9"/>
  <c r="I6" i="9"/>
  <c r="I4" i="9"/>
  <c r="I22" i="9"/>
  <c r="I21" i="9"/>
  <c r="I20" i="9"/>
  <c r="I19" i="9"/>
  <c r="D30" i="9"/>
  <c r="B30" i="9" s="1"/>
  <c r="D29" i="9"/>
  <c r="B29" i="9" s="1"/>
  <c r="D28" i="9"/>
  <c r="D27" i="9"/>
  <c r="I30" i="9"/>
  <c r="I29" i="9"/>
  <c r="I28" i="9"/>
  <c r="I27" i="9"/>
  <c r="D38" i="9"/>
  <c r="B38" i="9" s="1"/>
  <c r="D37" i="9"/>
  <c r="D36" i="9"/>
  <c r="B36" i="9" s="1"/>
  <c r="D35" i="9"/>
  <c r="B35" i="9" s="1"/>
  <c r="BU423" i="11"/>
  <c r="AT423" i="11"/>
  <c r="BB423" i="11"/>
  <c r="BJ423" i="11"/>
  <c r="BR423" i="11"/>
  <c r="AP423" i="11"/>
  <c r="AX423" i="11"/>
  <c r="BF423" i="11"/>
  <c r="BN423" i="11"/>
  <c r="B423" i="11"/>
  <c r="D423" i="11" s="1"/>
  <c r="E423" i="11" s="1"/>
  <c r="F423" i="11" s="1"/>
  <c r="G423" i="11" s="1"/>
  <c r="H423" i="11" s="1"/>
  <c r="I423" i="11" s="1"/>
  <c r="J423" i="11" s="1"/>
  <c r="K423" i="11" s="1"/>
  <c r="L423" i="11" s="1"/>
  <c r="M423" i="11" s="1"/>
  <c r="N423" i="11" s="1"/>
  <c r="O423" i="11" s="1"/>
  <c r="P423" i="11" s="1"/>
  <c r="Q423" i="11" s="1"/>
  <c r="R423" i="11" s="1"/>
  <c r="S423" i="11" s="1"/>
  <c r="T423" i="11" s="1"/>
  <c r="U423" i="11" s="1"/>
  <c r="V423" i="11" s="1"/>
  <c r="W423" i="11" s="1"/>
  <c r="X423" i="11" s="1"/>
  <c r="Y423" i="11" s="1"/>
  <c r="Z423" i="11" s="1"/>
  <c r="AA423" i="11" s="1"/>
  <c r="AB423" i="11" s="1"/>
  <c r="AC423" i="11" s="1"/>
  <c r="AD423" i="11" s="1"/>
  <c r="AE423" i="11" s="1"/>
  <c r="AF423" i="11" s="1"/>
  <c r="AG423" i="11" s="1"/>
  <c r="AH423" i="11" s="1"/>
  <c r="AI423" i="11" s="1"/>
  <c r="AJ423" i="11" s="1"/>
  <c r="AK423" i="11" s="1"/>
  <c r="AL423" i="11" s="1"/>
  <c r="AR423" i="11"/>
  <c r="AZ423" i="11"/>
  <c r="BH423" i="11"/>
  <c r="BP423" i="11"/>
  <c r="AN423" i="11"/>
  <c r="AV423" i="11"/>
  <c r="BD423" i="11"/>
  <c r="BL423" i="11"/>
  <c r="BT423" i="11"/>
  <c r="AM423" i="11"/>
  <c r="AQ423" i="11"/>
  <c r="AU423" i="11"/>
  <c r="AY423" i="11"/>
  <c r="BC423" i="11"/>
  <c r="BG423" i="11"/>
  <c r="BK423" i="11"/>
  <c r="BO423" i="11"/>
  <c r="BS423" i="11"/>
  <c r="AO423" i="11"/>
  <c r="AS423" i="11"/>
  <c r="AW423" i="11"/>
  <c r="BA423" i="11"/>
  <c r="BE423" i="11"/>
  <c r="BI423" i="11"/>
  <c r="BM423" i="11"/>
  <c r="BQ423" i="11"/>
  <c r="BU427" i="11"/>
  <c r="AT427" i="11"/>
  <c r="BB427" i="11"/>
  <c r="AP427" i="11"/>
  <c r="AX427" i="11"/>
  <c r="BF427" i="11"/>
  <c r="BN427" i="11"/>
  <c r="BJ427" i="11"/>
  <c r="B427" i="11"/>
  <c r="D427" i="11" s="1"/>
  <c r="E427" i="11" s="1"/>
  <c r="F427" i="11" s="1"/>
  <c r="G427" i="11" s="1"/>
  <c r="H427" i="11" s="1"/>
  <c r="I427" i="11" s="1"/>
  <c r="J427" i="11" s="1"/>
  <c r="K427" i="11" s="1"/>
  <c r="L427" i="11" s="1"/>
  <c r="M427" i="11" s="1"/>
  <c r="N427" i="11" s="1"/>
  <c r="O427" i="11" s="1"/>
  <c r="P427" i="11" s="1"/>
  <c r="Q427" i="11" s="1"/>
  <c r="R427" i="11" s="1"/>
  <c r="S427" i="11" s="1"/>
  <c r="T427" i="11" s="1"/>
  <c r="U427" i="11" s="1"/>
  <c r="V427" i="11" s="1"/>
  <c r="W427" i="11" s="1"/>
  <c r="X427" i="11" s="1"/>
  <c r="Y427" i="11" s="1"/>
  <c r="Z427" i="11" s="1"/>
  <c r="AA427" i="11" s="1"/>
  <c r="AB427" i="11" s="1"/>
  <c r="AC427" i="11" s="1"/>
  <c r="AD427" i="11" s="1"/>
  <c r="AE427" i="11" s="1"/>
  <c r="AF427" i="11" s="1"/>
  <c r="AG427" i="11" s="1"/>
  <c r="AH427" i="11" s="1"/>
  <c r="AI427" i="11" s="1"/>
  <c r="AJ427" i="11" s="1"/>
  <c r="AK427" i="11" s="1"/>
  <c r="AL427" i="11" s="1"/>
  <c r="AR427" i="11"/>
  <c r="AZ427" i="11"/>
  <c r="BH427" i="11"/>
  <c r="BP427" i="11"/>
  <c r="BR427" i="11"/>
  <c r="AN427" i="11"/>
  <c r="AV427" i="11"/>
  <c r="BD427" i="11"/>
  <c r="BL427" i="11"/>
  <c r="BT427" i="11"/>
  <c r="AM427" i="11"/>
  <c r="AQ427" i="11"/>
  <c r="AU427" i="11"/>
  <c r="AY427" i="11"/>
  <c r="BC427" i="11"/>
  <c r="BG427" i="11"/>
  <c r="BK427" i="11"/>
  <c r="BO427" i="11"/>
  <c r="BS427" i="11"/>
  <c r="AO427" i="11"/>
  <c r="AS427" i="11"/>
  <c r="AW427" i="11"/>
  <c r="BA427" i="11"/>
  <c r="BE427" i="11"/>
  <c r="BI427" i="11"/>
  <c r="BM427" i="11"/>
  <c r="BQ427" i="11"/>
  <c r="BU431" i="11"/>
  <c r="AP431" i="11"/>
  <c r="AX431" i="11"/>
  <c r="BF431" i="11"/>
  <c r="BN431" i="11"/>
  <c r="AT431" i="11"/>
  <c r="BJ431" i="11"/>
  <c r="B431" i="11"/>
  <c r="D431" i="11" s="1"/>
  <c r="E431" i="11" s="1"/>
  <c r="F431" i="11" s="1"/>
  <c r="G431" i="11" s="1"/>
  <c r="H431" i="11" s="1"/>
  <c r="I431" i="11" s="1"/>
  <c r="J431" i="11" s="1"/>
  <c r="K431" i="11" s="1"/>
  <c r="L431" i="11" s="1"/>
  <c r="M431" i="11" s="1"/>
  <c r="N431" i="11" s="1"/>
  <c r="O431" i="11" s="1"/>
  <c r="P431" i="11" s="1"/>
  <c r="Q431" i="11" s="1"/>
  <c r="R431" i="11" s="1"/>
  <c r="S431" i="11" s="1"/>
  <c r="T431" i="11" s="1"/>
  <c r="U431" i="11" s="1"/>
  <c r="V431" i="11" s="1"/>
  <c r="W431" i="11" s="1"/>
  <c r="X431" i="11" s="1"/>
  <c r="Y431" i="11" s="1"/>
  <c r="Z431" i="11" s="1"/>
  <c r="AA431" i="11" s="1"/>
  <c r="AB431" i="11" s="1"/>
  <c r="AC431" i="11" s="1"/>
  <c r="AD431" i="11" s="1"/>
  <c r="AE431" i="11" s="1"/>
  <c r="AF431" i="11" s="1"/>
  <c r="AG431" i="11" s="1"/>
  <c r="AH431" i="11" s="1"/>
  <c r="AI431" i="11" s="1"/>
  <c r="AJ431" i="11" s="1"/>
  <c r="AK431" i="11" s="1"/>
  <c r="AL431" i="11" s="1"/>
  <c r="AR431" i="11"/>
  <c r="AZ431" i="11"/>
  <c r="BH431" i="11"/>
  <c r="BP431" i="11"/>
  <c r="BB431" i="11"/>
  <c r="BR431" i="11"/>
  <c r="AN431" i="11"/>
  <c r="AV431" i="11"/>
  <c r="BD431" i="11"/>
  <c r="BL431" i="11"/>
  <c r="BT431" i="11"/>
  <c r="AM431" i="11"/>
  <c r="AQ431" i="11"/>
  <c r="AU431" i="11"/>
  <c r="AY431" i="11"/>
  <c r="BC431" i="11"/>
  <c r="BG431" i="11"/>
  <c r="BK431" i="11"/>
  <c r="BO431" i="11"/>
  <c r="BS431" i="11"/>
  <c r="AO431" i="11"/>
  <c r="AS431" i="11"/>
  <c r="AW431" i="11"/>
  <c r="BA431" i="11"/>
  <c r="BE431" i="11"/>
  <c r="BI431" i="11"/>
  <c r="BM431" i="11"/>
  <c r="BQ431" i="11"/>
  <c r="BU435" i="11"/>
  <c r="AP435" i="11"/>
  <c r="AX435" i="11"/>
  <c r="BF435" i="11"/>
  <c r="AT435" i="11"/>
  <c r="BJ435" i="11"/>
  <c r="BR435" i="11"/>
  <c r="B435" i="11"/>
  <c r="D435" i="11" s="1"/>
  <c r="E435" i="11" s="1"/>
  <c r="F435" i="11" s="1"/>
  <c r="G435" i="11" s="1"/>
  <c r="H435" i="11" s="1"/>
  <c r="I435" i="11" s="1"/>
  <c r="J435" i="11" s="1"/>
  <c r="K435" i="11" s="1"/>
  <c r="L435" i="11" s="1"/>
  <c r="M435" i="11" s="1"/>
  <c r="N435" i="11" s="1"/>
  <c r="O435" i="11" s="1"/>
  <c r="P435" i="11" s="1"/>
  <c r="Q435" i="11" s="1"/>
  <c r="R435" i="11" s="1"/>
  <c r="S435" i="11" s="1"/>
  <c r="T435" i="11" s="1"/>
  <c r="U435" i="11" s="1"/>
  <c r="V435" i="11" s="1"/>
  <c r="W435" i="11" s="1"/>
  <c r="X435" i="11" s="1"/>
  <c r="Y435" i="11" s="1"/>
  <c r="Z435" i="11" s="1"/>
  <c r="AA435" i="11" s="1"/>
  <c r="AB435" i="11" s="1"/>
  <c r="AC435" i="11" s="1"/>
  <c r="AD435" i="11" s="1"/>
  <c r="AE435" i="11" s="1"/>
  <c r="AF435" i="11" s="1"/>
  <c r="AG435" i="11" s="1"/>
  <c r="AH435" i="11" s="1"/>
  <c r="AI435" i="11" s="1"/>
  <c r="AJ435" i="11" s="1"/>
  <c r="AK435" i="11" s="1"/>
  <c r="AL435" i="11" s="1"/>
  <c r="AR435" i="11"/>
  <c r="AZ435" i="11"/>
  <c r="BH435" i="11"/>
  <c r="BP435" i="11"/>
  <c r="BB435" i="11"/>
  <c r="BN435" i="11"/>
  <c r="AN435" i="11"/>
  <c r="AV435" i="11"/>
  <c r="BD435" i="11"/>
  <c r="BL435" i="11"/>
  <c r="BT435" i="11"/>
  <c r="AO435" i="11"/>
  <c r="AS435" i="11"/>
  <c r="AW435" i="11"/>
  <c r="BA435" i="11"/>
  <c r="BE435" i="11"/>
  <c r="BI435" i="11"/>
  <c r="AQ435" i="11"/>
  <c r="AY435" i="11"/>
  <c r="BG435" i="11"/>
  <c r="BM435" i="11"/>
  <c r="BQ435" i="11"/>
  <c r="AM435" i="11"/>
  <c r="AU435" i="11"/>
  <c r="BC435" i="11"/>
  <c r="BK435" i="11"/>
  <c r="BO435" i="11"/>
  <c r="BS435" i="11"/>
  <c r="BU439" i="11"/>
  <c r="AT439" i="11"/>
  <c r="BB439" i="11"/>
  <c r="BJ439" i="11"/>
  <c r="BR439" i="11"/>
  <c r="B439" i="11"/>
  <c r="D439" i="11" s="1"/>
  <c r="E439" i="11" s="1"/>
  <c r="F439" i="11" s="1"/>
  <c r="G439" i="11" s="1"/>
  <c r="H439" i="11" s="1"/>
  <c r="I439" i="11" s="1"/>
  <c r="J439" i="11" s="1"/>
  <c r="K439" i="11" s="1"/>
  <c r="L439" i="11" s="1"/>
  <c r="M439" i="11" s="1"/>
  <c r="N439" i="11" s="1"/>
  <c r="O439" i="11" s="1"/>
  <c r="P439" i="11" s="1"/>
  <c r="Q439" i="11" s="1"/>
  <c r="R439" i="11" s="1"/>
  <c r="S439" i="11" s="1"/>
  <c r="T439" i="11" s="1"/>
  <c r="U439" i="11" s="1"/>
  <c r="V439" i="11" s="1"/>
  <c r="W439" i="11" s="1"/>
  <c r="X439" i="11" s="1"/>
  <c r="Y439" i="11" s="1"/>
  <c r="Z439" i="11" s="1"/>
  <c r="AA439" i="11" s="1"/>
  <c r="AB439" i="11" s="1"/>
  <c r="AC439" i="11" s="1"/>
  <c r="AD439" i="11" s="1"/>
  <c r="AE439" i="11" s="1"/>
  <c r="AF439" i="11" s="1"/>
  <c r="AG439" i="11" s="1"/>
  <c r="AH439" i="11" s="1"/>
  <c r="AI439" i="11" s="1"/>
  <c r="AJ439" i="11" s="1"/>
  <c r="AK439" i="11" s="1"/>
  <c r="AL439" i="11" s="1"/>
  <c r="AR439" i="11"/>
  <c r="AZ439" i="11"/>
  <c r="BH439" i="11"/>
  <c r="BP439" i="11"/>
  <c r="AP439" i="11"/>
  <c r="AX439" i="11"/>
  <c r="BF439" i="11"/>
  <c r="BN439" i="11"/>
  <c r="AN439" i="11"/>
  <c r="AV439" i="11"/>
  <c r="BD439" i="11"/>
  <c r="BL439" i="11"/>
  <c r="BT439" i="11"/>
  <c r="AO439" i="11"/>
  <c r="AS439" i="11"/>
  <c r="AW439" i="11"/>
  <c r="BA439" i="11"/>
  <c r="BE439" i="11"/>
  <c r="BI439" i="11"/>
  <c r="BM439" i="11"/>
  <c r="BQ439" i="11"/>
  <c r="AM439" i="11"/>
  <c r="AQ439" i="11"/>
  <c r="AU439" i="11"/>
  <c r="AY439" i="11"/>
  <c r="BC439" i="11"/>
  <c r="BG439" i="11"/>
  <c r="BK439" i="11"/>
  <c r="BO439" i="11"/>
  <c r="BS439" i="11"/>
  <c r="BR443" i="11"/>
  <c r="BJ443" i="11"/>
  <c r="AT443" i="11"/>
  <c r="BB443" i="11"/>
  <c r="BL443" i="11"/>
  <c r="B443" i="11"/>
  <c r="D443" i="11" s="1"/>
  <c r="E443" i="11" s="1"/>
  <c r="F443" i="11" s="1"/>
  <c r="G443" i="11" s="1"/>
  <c r="H443" i="11" s="1"/>
  <c r="I443" i="11" s="1"/>
  <c r="J443" i="11" s="1"/>
  <c r="K443" i="11" s="1"/>
  <c r="L443" i="11" s="1"/>
  <c r="M443" i="11" s="1"/>
  <c r="N443" i="11" s="1"/>
  <c r="O443" i="11" s="1"/>
  <c r="P443" i="11" s="1"/>
  <c r="Q443" i="11" s="1"/>
  <c r="R443" i="11" s="1"/>
  <c r="S443" i="11" s="1"/>
  <c r="T443" i="11" s="1"/>
  <c r="U443" i="11" s="1"/>
  <c r="V443" i="11" s="1"/>
  <c r="W443" i="11" s="1"/>
  <c r="X443" i="11" s="1"/>
  <c r="Y443" i="11" s="1"/>
  <c r="Z443" i="11" s="1"/>
  <c r="AA443" i="11" s="1"/>
  <c r="AB443" i="11" s="1"/>
  <c r="AC443" i="11" s="1"/>
  <c r="AD443" i="11" s="1"/>
  <c r="AE443" i="11" s="1"/>
  <c r="AF443" i="11" s="1"/>
  <c r="AG443" i="11" s="1"/>
  <c r="AH443" i="11" s="1"/>
  <c r="AI443" i="11" s="1"/>
  <c r="AJ443" i="11" s="1"/>
  <c r="AK443" i="11" s="1"/>
  <c r="AL443" i="11" s="1"/>
  <c r="AR443" i="11"/>
  <c r="AZ443" i="11"/>
  <c r="BH443" i="11"/>
  <c r="BU443" i="11"/>
  <c r="BN443" i="11"/>
  <c r="AP443" i="11"/>
  <c r="AX443" i="11"/>
  <c r="BF443" i="11"/>
  <c r="BT443" i="11"/>
  <c r="AN443" i="11"/>
  <c r="AV443" i="11"/>
  <c r="BD443" i="11"/>
  <c r="BP443" i="11"/>
  <c r="AO443" i="11"/>
  <c r="AS443" i="11"/>
  <c r="AW443" i="11"/>
  <c r="BA443" i="11"/>
  <c r="BE443" i="11"/>
  <c r="BI443" i="11"/>
  <c r="BM443" i="11"/>
  <c r="BQ443" i="11"/>
  <c r="AM443" i="11"/>
  <c r="AQ443" i="11"/>
  <c r="AU443" i="11"/>
  <c r="AY443" i="11"/>
  <c r="BC443" i="11"/>
  <c r="BG443" i="11"/>
  <c r="BK443" i="11"/>
  <c r="BO443" i="11"/>
  <c r="BS443" i="11"/>
  <c r="BU447" i="11"/>
  <c r="AZ447" i="11"/>
  <c r="BP447" i="11"/>
  <c r="AN447" i="11"/>
  <c r="BD447" i="11"/>
  <c r="BT447" i="11"/>
  <c r="AR447" i="11"/>
  <c r="B447" i="11"/>
  <c r="D447" i="11" s="1"/>
  <c r="E447" i="11" s="1"/>
  <c r="F447" i="11" s="1"/>
  <c r="G447" i="11" s="1"/>
  <c r="H447" i="11" s="1"/>
  <c r="I447" i="11" s="1"/>
  <c r="J447" i="11" s="1"/>
  <c r="K447" i="11" s="1"/>
  <c r="L447" i="11" s="1"/>
  <c r="M447" i="11" s="1"/>
  <c r="N447" i="11" s="1"/>
  <c r="O447" i="11" s="1"/>
  <c r="P447" i="11" s="1"/>
  <c r="Q447" i="11" s="1"/>
  <c r="R447" i="11" s="1"/>
  <c r="S447" i="11" s="1"/>
  <c r="T447" i="11" s="1"/>
  <c r="U447" i="11" s="1"/>
  <c r="V447" i="11" s="1"/>
  <c r="W447" i="11" s="1"/>
  <c r="X447" i="11" s="1"/>
  <c r="Y447" i="11" s="1"/>
  <c r="Z447" i="11" s="1"/>
  <c r="AA447" i="11" s="1"/>
  <c r="AB447" i="11" s="1"/>
  <c r="AC447" i="11" s="1"/>
  <c r="AD447" i="11" s="1"/>
  <c r="AE447" i="11" s="1"/>
  <c r="AF447" i="11" s="1"/>
  <c r="AG447" i="11" s="1"/>
  <c r="AH447" i="11" s="1"/>
  <c r="AI447" i="11" s="1"/>
  <c r="AJ447" i="11" s="1"/>
  <c r="AK447" i="11" s="1"/>
  <c r="AL447" i="11" s="1"/>
  <c r="BL447" i="11"/>
  <c r="BH447" i="11"/>
  <c r="AV447" i="11"/>
  <c r="AT447" i="11"/>
  <c r="BB447" i="11"/>
  <c r="BJ447" i="11"/>
  <c r="BR447" i="11"/>
  <c r="AP447" i="11"/>
  <c r="AX447" i="11"/>
  <c r="BF447" i="11"/>
  <c r="BN447" i="11"/>
  <c r="AO447" i="11"/>
  <c r="AS447" i="11"/>
  <c r="AW447" i="11"/>
  <c r="BA447" i="11"/>
  <c r="BE447" i="11"/>
  <c r="BI447" i="11"/>
  <c r="BM447" i="11"/>
  <c r="BQ447" i="11"/>
  <c r="AM447" i="11"/>
  <c r="AQ447" i="11"/>
  <c r="AU447" i="11"/>
  <c r="AY447" i="11"/>
  <c r="BC447" i="11"/>
  <c r="BG447" i="11"/>
  <c r="BK447" i="11"/>
  <c r="BO447" i="11"/>
  <c r="BS447" i="11"/>
  <c r="BU451" i="11"/>
  <c r="AZ451" i="11"/>
  <c r="BP451" i="11"/>
  <c r="AN451" i="11"/>
  <c r="BD451" i="11"/>
  <c r="BT451" i="11"/>
  <c r="AR451" i="11"/>
  <c r="AV451" i="11"/>
  <c r="BH451" i="11"/>
  <c r="B451" i="11"/>
  <c r="D451" i="11" s="1"/>
  <c r="E451" i="11" s="1"/>
  <c r="F451" i="11" s="1"/>
  <c r="G451" i="11" s="1"/>
  <c r="H451" i="11" s="1"/>
  <c r="I451" i="11" s="1"/>
  <c r="J451" i="11" s="1"/>
  <c r="K451" i="11" s="1"/>
  <c r="L451" i="11" s="1"/>
  <c r="M451" i="11" s="1"/>
  <c r="N451" i="11" s="1"/>
  <c r="O451" i="11" s="1"/>
  <c r="P451" i="11" s="1"/>
  <c r="Q451" i="11" s="1"/>
  <c r="R451" i="11" s="1"/>
  <c r="S451" i="11" s="1"/>
  <c r="T451" i="11" s="1"/>
  <c r="U451" i="11" s="1"/>
  <c r="V451" i="11" s="1"/>
  <c r="W451" i="11" s="1"/>
  <c r="X451" i="11" s="1"/>
  <c r="Y451" i="11" s="1"/>
  <c r="Z451" i="11" s="1"/>
  <c r="AA451" i="11" s="1"/>
  <c r="AB451" i="11" s="1"/>
  <c r="AC451" i="11" s="1"/>
  <c r="AD451" i="11" s="1"/>
  <c r="AE451" i="11" s="1"/>
  <c r="AF451" i="11" s="1"/>
  <c r="AG451" i="11" s="1"/>
  <c r="AH451" i="11" s="1"/>
  <c r="AI451" i="11" s="1"/>
  <c r="AJ451" i="11" s="1"/>
  <c r="AK451" i="11" s="1"/>
  <c r="AL451" i="11" s="1"/>
  <c r="BL451" i="11"/>
  <c r="AT451" i="11"/>
  <c r="BB451" i="11"/>
  <c r="BJ451" i="11"/>
  <c r="BR451" i="11"/>
  <c r="AP451" i="11"/>
  <c r="AX451" i="11"/>
  <c r="BF451" i="11"/>
  <c r="BN451" i="11"/>
  <c r="AO451" i="11"/>
  <c r="AS451" i="11"/>
  <c r="AW451" i="11"/>
  <c r="BA451" i="11"/>
  <c r="BE451" i="11"/>
  <c r="BI451" i="11"/>
  <c r="BM451" i="11"/>
  <c r="BQ451" i="11"/>
  <c r="AM451" i="11"/>
  <c r="AQ451" i="11"/>
  <c r="AU451" i="11"/>
  <c r="AY451" i="11"/>
  <c r="BC451" i="11"/>
  <c r="BG451" i="11"/>
  <c r="BK451" i="11"/>
  <c r="BO451" i="11"/>
  <c r="BS451" i="11"/>
  <c r="BU455" i="11"/>
  <c r="AZ455" i="11"/>
  <c r="BP455" i="11"/>
  <c r="AN455" i="11"/>
  <c r="BD455" i="11"/>
  <c r="BT455" i="11"/>
  <c r="AR455" i="11"/>
  <c r="B455" i="11"/>
  <c r="D455" i="11" s="1"/>
  <c r="E455" i="11" s="1"/>
  <c r="F455" i="11" s="1"/>
  <c r="G455" i="11" s="1"/>
  <c r="H455" i="11" s="1"/>
  <c r="I455" i="11" s="1"/>
  <c r="J455" i="11" s="1"/>
  <c r="K455" i="11" s="1"/>
  <c r="L455" i="11" s="1"/>
  <c r="M455" i="11" s="1"/>
  <c r="N455" i="11" s="1"/>
  <c r="O455" i="11" s="1"/>
  <c r="P455" i="11" s="1"/>
  <c r="Q455" i="11" s="1"/>
  <c r="R455" i="11" s="1"/>
  <c r="S455" i="11" s="1"/>
  <c r="T455" i="11" s="1"/>
  <c r="U455" i="11" s="1"/>
  <c r="V455" i="11" s="1"/>
  <c r="W455" i="11" s="1"/>
  <c r="X455" i="11" s="1"/>
  <c r="Y455" i="11" s="1"/>
  <c r="Z455" i="11" s="1"/>
  <c r="AA455" i="11" s="1"/>
  <c r="AB455" i="11" s="1"/>
  <c r="AC455" i="11" s="1"/>
  <c r="AD455" i="11" s="1"/>
  <c r="AE455" i="11" s="1"/>
  <c r="AF455" i="11" s="1"/>
  <c r="AG455" i="11" s="1"/>
  <c r="AH455" i="11" s="1"/>
  <c r="AI455" i="11" s="1"/>
  <c r="AJ455" i="11" s="1"/>
  <c r="AK455" i="11" s="1"/>
  <c r="AL455" i="11" s="1"/>
  <c r="BL455" i="11"/>
  <c r="BH455" i="11"/>
  <c r="AV455" i="11"/>
  <c r="AT455" i="11"/>
  <c r="BB455" i="11"/>
  <c r="BJ455" i="11"/>
  <c r="BR455" i="11"/>
  <c r="AP455" i="11"/>
  <c r="AX455" i="11"/>
  <c r="BF455" i="11"/>
  <c r="BN455" i="11"/>
  <c r="AO455" i="11"/>
  <c r="AS455" i="11"/>
  <c r="AW455" i="11"/>
  <c r="BA455" i="11"/>
  <c r="BE455" i="11"/>
  <c r="BI455" i="11"/>
  <c r="BM455" i="11"/>
  <c r="BQ455" i="11"/>
  <c r="AM455" i="11"/>
  <c r="AQ455" i="11"/>
  <c r="AU455" i="11"/>
  <c r="AY455" i="11"/>
  <c r="BC455" i="11"/>
  <c r="BG455" i="11"/>
  <c r="BK455" i="11"/>
  <c r="BO455" i="11"/>
  <c r="BS455" i="11"/>
  <c r="BU459" i="11"/>
  <c r="AZ459" i="11"/>
  <c r="BP459" i="11"/>
  <c r="AR459" i="11"/>
  <c r="AN459" i="11"/>
  <c r="BD459" i="11"/>
  <c r="BT459" i="11"/>
  <c r="BH459" i="11"/>
  <c r="B459" i="11"/>
  <c r="D459" i="11" s="1"/>
  <c r="E459" i="11" s="1"/>
  <c r="F459" i="11" s="1"/>
  <c r="G459" i="11" s="1"/>
  <c r="H459" i="11" s="1"/>
  <c r="I459" i="11" s="1"/>
  <c r="J459" i="11" s="1"/>
  <c r="K459" i="11" s="1"/>
  <c r="L459" i="11" s="1"/>
  <c r="M459" i="11" s="1"/>
  <c r="N459" i="11" s="1"/>
  <c r="O459" i="11" s="1"/>
  <c r="P459" i="11" s="1"/>
  <c r="Q459" i="11" s="1"/>
  <c r="R459" i="11" s="1"/>
  <c r="S459" i="11" s="1"/>
  <c r="T459" i="11" s="1"/>
  <c r="U459" i="11" s="1"/>
  <c r="V459" i="11" s="1"/>
  <c r="W459" i="11" s="1"/>
  <c r="X459" i="11" s="1"/>
  <c r="Y459" i="11" s="1"/>
  <c r="Z459" i="11" s="1"/>
  <c r="AA459" i="11" s="1"/>
  <c r="AB459" i="11" s="1"/>
  <c r="AC459" i="11" s="1"/>
  <c r="AD459" i="11" s="1"/>
  <c r="AE459" i="11" s="1"/>
  <c r="AF459" i="11" s="1"/>
  <c r="AG459" i="11" s="1"/>
  <c r="AH459" i="11" s="1"/>
  <c r="AI459" i="11" s="1"/>
  <c r="AJ459" i="11" s="1"/>
  <c r="AK459" i="11" s="1"/>
  <c r="AL459" i="11" s="1"/>
  <c r="AV459" i="11"/>
  <c r="BL459" i="11"/>
  <c r="AT459" i="11"/>
  <c r="BB459" i="11"/>
  <c r="BJ459" i="11"/>
  <c r="BR459" i="11"/>
  <c r="AP459" i="11"/>
  <c r="AX459" i="11"/>
  <c r="BF459" i="11"/>
  <c r="BN459" i="11"/>
  <c r="AO459" i="11"/>
  <c r="AS459" i="11"/>
  <c r="AW459" i="11"/>
  <c r="BA459" i="11"/>
  <c r="BE459" i="11"/>
  <c r="BI459" i="11"/>
  <c r="BM459" i="11"/>
  <c r="BQ459" i="11"/>
  <c r="AM459" i="11"/>
  <c r="AQ459" i="11"/>
  <c r="AU459" i="11"/>
  <c r="AY459" i="11"/>
  <c r="BC459" i="11"/>
  <c r="BG459" i="11"/>
  <c r="BK459" i="11"/>
  <c r="BO459" i="11"/>
  <c r="BS459" i="11"/>
  <c r="BU463" i="11"/>
  <c r="AZ463" i="11"/>
  <c r="BP463" i="11"/>
  <c r="AR463" i="11"/>
  <c r="AN463" i="11"/>
  <c r="BD463" i="11"/>
  <c r="BT463" i="11"/>
  <c r="BH463" i="11"/>
  <c r="B463" i="11"/>
  <c r="D463" i="11" s="1"/>
  <c r="E463" i="11" s="1"/>
  <c r="F463" i="11" s="1"/>
  <c r="G463" i="11" s="1"/>
  <c r="H463" i="11" s="1"/>
  <c r="I463" i="11" s="1"/>
  <c r="J463" i="11" s="1"/>
  <c r="K463" i="11" s="1"/>
  <c r="L463" i="11" s="1"/>
  <c r="M463" i="11" s="1"/>
  <c r="N463" i="11" s="1"/>
  <c r="O463" i="11" s="1"/>
  <c r="P463" i="11" s="1"/>
  <c r="Q463" i="11" s="1"/>
  <c r="R463" i="11" s="1"/>
  <c r="S463" i="11" s="1"/>
  <c r="T463" i="11" s="1"/>
  <c r="U463" i="11" s="1"/>
  <c r="V463" i="11" s="1"/>
  <c r="W463" i="11" s="1"/>
  <c r="X463" i="11" s="1"/>
  <c r="Y463" i="11" s="1"/>
  <c r="Z463" i="11" s="1"/>
  <c r="AA463" i="11" s="1"/>
  <c r="AB463" i="11" s="1"/>
  <c r="AC463" i="11" s="1"/>
  <c r="AD463" i="11" s="1"/>
  <c r="AE463" i="11" s="1"/>
  <c r="AF463" i="11" s="1"/>
  <c r="AG463" i="11" s="1"/>
  <c r="AH463" i="11" s="1"/>
  <c r="AI463" i="11" s="1"/>
  <c r="AJ463" i="11" s="1"/>
  <c r="AK463" i="11" s="1"/>
  <c r="AL463" i="11" s="1"/>
  <c r="AV463" i="11"/>
  <c r="BL463" i="11"/>
  <c r="AT463" i="11"/>
  <c r="BB463" i="11"/>
  <c r="BJ463" i="11"/>
  <c r="BR463" i="11"/>
  <c r="AP463" i="11"/>
  <c r="AX463" i="11"/>
  <c r="BF463" i="11"/>
  <c r="BN463" i="11"/>
  <c r="AM463" i="11"/>
  <c r="AQ463" i="11"/>
  <c r="AU463" i="11"/>
  <c r="AY463" i="11"/>
  <c r="BC463" i="11"/>
  <c r="BG463" i="11"/>
  <c r="BK463" i="11"/>
  <c r="BO463" i="11"/>
  <c r="BS463" i="11"/>
  <c r="AO463" i="11"/>
  <c r="AS463" i="11"/>
  <c r="AW463" i="11"/>
  <c r="BA463" i="11"/>
  <c r="BE463" i="11"/>
  <c r="BI463" i="11"/>
  <c r="BM463" i="11"/>
  <c r="BQ463" i="11"/>
  <c r="BT467" i="11"/>
  <c r="AZ467" i="11"/>
  <c r="BP467" i="11"/>
  <c r="BU467" i="11"/>
  <c r="BH467" i="11"/>
  <c r="AN467" i="11"/>
  <c r="BD467" i="11"/>
  <c r="AR467" i="11"/>
  <c r="B467" i="11"/>
  <c r="D467" i="11" s="1"/>
  <c r="E467" i="11" s="1"/>
  <c r="F467" i="11" s="1"/>
  <c r="G467" i="11" s="1"/>
  <c r="H467" i="11" s="1"/>
  <c r="I467" i="11" s="1"/>
  <c r="J467" i="11" s="1"/>
  <c r="K467" i="11" s="1"/>
  <c r="L467" i="11" s="1"/>
  <c r="M467" i="11" s="1"/>
  <c r="N467" i="11" s="1"/>
  <c r="O467" i="11" s="1"/>
  <c r="P467" i="11" s="1"/>
  <c r="Q467" i="11" s="1"/>
  <c r="R467" i="11" s="1"/>
  <c r="S467" i="11" s="1"/>
  <c r="T467" i="11" s="1"/>
  <c r="U467" i="11" s="1"/>
  <c r="V467" i="11" s="1"/>
  <c r="W467" i="11" s="1"/>
  <c r="X467" i="11" s="1"/>
  <c r="Y467" i="11" s="1"/>
  <c r="Z467" i="11" s="1"/>
  <c r="AA467" i="11" s="1"/>
  <c r="AB467" i="11" s="1"/>
  <c r="AC467" i="11" s="1"/>
  <c r="AD467" i="11" s="1"/>
  <c r="AE467" i="11" s="1"/>
  <c r="AF467" i="11" s="1"/>
  <c r="AG467" i="11" s="1"/>
  <c r="AH467" i="11" s="1"/>
  <c r="AI467" i="11" s="1"/>
  <c r="AJ467" i="11" s="1"/>
  <c r="AK467" i="11" s="1"/>
  <c r="AL467" i="11" s="1"/>
  <c r="AV467" i="11"/>
  <c r="BL467" i="11"/>
  <c r="AT467" i="11"/>
  <c r="BB467" i="11"/>
  <c r="BJ467" i="11"/>
  <c r="BR467" i="11"/>
  <c r="AP467" i="11"/>
  <c r="AX467" i="11"/>
  <c r="BF467" i="11"/>
  <c r="BN467" i="11"/>
  <c r="AM467" i="11"/>
  <c r="AQ467" i="11"/>
  <c r="AU467" i="11"/>
  <c r="AY467" i="11"/>
  <c r="BC467" i="11"/>
  <c r="BG467" i="11"/>
  <c r="BK467" i="11"/>
  <c r="BO467" i="11"/>
  <c r="BS467" i="11"/>
  <c r="AO467" i="11"/>
  <c r="AS467" i="11"/>
  <c r="AW467" i="11"/>
  <c r="BA467" i="11"/>
  <c r="BE467" i="11"/>
  <c r="BI467" i="11"/>
  <c r="BM467" i="11"/>
  <c r="BQ467" i="11"/>
  <c r="BU471" i="11"/>
  <c r="BL471" i="11"/>
  <c r="AV471" i="11"/>
  <c r="B471" i="11"/>
  <c r="D471" i="11" s="1"/>
  <c r="E471" i="11" s="1"/>
  <c r="F471" i="11" s="1"/>
  <c r="G471" i="11" s="1"/>
  <c r="H471" i="11" s="1"/>
  <c r="I471" i="11" s="1"/>
  <c r="J471" i="11" s="1"/>
  <c r="K471" i="11" s="1"/>
  <c r="L471" i="11" s="1"/>
  <c r="M471" i="11" s="1"/>
  <c r="N471" i="11" s="1"/>
  <c r="O471" i="11" s="1"/>
  <c r="P471" i="11" s="1"/>
  <c r="Q471" i="11" s="1"/>
  <c r="R471" i="11" s="1"/>
  <c r="S471" i="11" s="1"/>
  <c r="T471" i="11" s="1"/>
  <c r="U471" i="11" s="1"/>
  <c r="V471" i="11" s="1"/>
  <c r="W471" i="11" s="1"/>
  <c r="X471" i="11" s="1"/>
  <c r="Y471" i="11" s="1"/>
  <c r="Z471" i="11" s="1"/>
  <c r="AA471" i="11" s="1"/>
  <c r="AB471" i="11" s="1"/>
  <c r="AC471" i="11" s="1"/>
  <c r="AD471" i="11" s="1"/>
  <c r="AE471" i="11" s="1"/>
  <c r="AF471" i="11" s="1"/>
  <c r="AG471" i="11" s="1"/>
  <c r="AH471" i="11" s="1"/>
  <c r="AI471" i="11" s="1"/>
  <c r="AJ471" i="11" s="1"/>
  <c r="AK471" i="11" s="1"/>
  <c r="AL471" i="11" s="1"/>
  <c r="BP471" i="11"/>
  <c r="BT471" i="11"/>
  <c r="AN471" i="11"/>
  <c r="AR471" i="11"/>
  <c r="BD471" i="11"/>
  <c r="AZ471" i="11"/>
  <c r="BH471" i="11"/>
  <c r="AT471" i="11"/>
  <c r="BB471" i="11"/>
  <c r="BJ471" i="11"/>
  <c r="BR471" i="11"/>
  <c r="AP471" i="11"/>
  <c r="AX471" i="11"/>
  <c r="BF471" i="11"/>
  <c r="BN471" i="11"/>
  <c r="AM471" i="11"/>
  <c r="AQ471" i="11"/>
  <c r="AU471" i="11"/>
  <c r="AY471" i="11"/>
  <c r="BC471" i="11"/>
  <c r="BG471" i="11"/>
  <c r="BK471" i="11"/>
  <c r="BO471" i="11"/>
  <c r="BS471" i="11"/>
  <c r="AO471" i="11"/>
  <c r="AS471" i="11"/>
  <c r="AW471" i="11"/>
  <c r="BA471" i="11"/>
  <c r="BE471" i="11"/>
  <c r="BI471" i="11"/>
  <c r="BM471" i="11"/>
  <c r="BQ471" i="11"/>
  <c r="BU475" i="11"/>
  <c r="BL475" i="11"/>
  <c r="AV475" i="11"/>
  <c r="B475" i="11"/>
  <c r="D475" i="11" s="1"/>
  <c r="E475" i="11" s="1"/>
  <c r="F475" i="11" s="1"/>
  <c r="G475" i="11" s="1"/>
  <c r="H475" i="11" s="1"/>
  <c r="I475" i="11" s="1"/>
  <c r="J475" i="11" s="1"/>
  <c r="K475" i="11" s="1"/>
  <c r="L475" i="11" s="1"/>
  <c r="M475" i="11" s="1"/>
  <c r="N475" i="11" s="1"/>
  <c r="O475" i="11" s="1"/>
  <c r="P475" i="11" s="1"/>
  <c r="Q475" i="11" s="1"/>
  <c r="R475" i="11" s="1"/>
  <c r="S475" i="11" s="1"/>
  <c r="T475" i="11" s="1"/>
  <c r="U475" i="11" s="1"/>
  <c r="V475" i="11" s="1"/>
  <c r="W475" i="11" s="1"/>
  <c r="X475" i="11" s="1"/>
  <c r="Y475" i="11" s="1"/>
  <c r="Z475" i="11" s="1"/>
  <c r="AA475" i="11" s="1"/>
  <c r="AB475" i="11" s="1"/>
  <c r="AC475" i="11" s="1"/>
  <c r="AD475" i="11" s="1"/>
  <c r="AE475" i="11" s="1"/>
  <c r="AF475" i="11" s="1"/>
  <c r="AG475" i="11" s="1"/>
  <c r="AH475" i="11" s="1"/>
  <c r="AI475" i="11" s="1"/>
  <c r="AJ475" i="11" s="1"/>
  <c r="AK475" i="11" s="1"/>
  <c r="AL475" i="11" s="1"/>
  <c r="BP475" i="11"/>
  <c r="BD475" i="11"/>
  <c r="AZ475" i="11"/>
  <c r="AR475" i="11"/>
  <c r="BT475" i="11"/>
  <c r="AN475" i="11"/>
  <c r="BH475" i="11"/>
  <c r="AP475" i="11"/>
  <c r="AX475" i="11"/>
  <c r="BF475" i="11"/>
  <c r="BN475" i="11"/>
  <c r="AT475" i="11"/>
  <c r="BJ475" i="11"/>
  <c r="BB475" i="11"/>
  <c r="BR475" i="11"/>
  <c r="AM475" i="11"/>
  <c r="AQ475" i="11"/>
  <c r="AU475" i="11"/>
  <c r="AY475" i="11"/>
  <c r="BC475" i="11"/>
  <c r="BG475" i="11"/>
  <c r="BK475" i="11"/>
  <c r="BO475" i="11"/>
  <c r="BS475" i="11"/>
  <c r="AO475" i="11"/>
  <c r="AS475" i="11"/>
  <c r="AW475" i="11"/>
  <c r="BA475" i="11"/>
  <c r="BE475" i="11"/>
  <c r="BI475" i="11"/>
  <c r="BM475" i="11"/>
  <c r="BQ475" i="11"/>
  <c r="AP479" i="11"/>
  <c r="BN479" i="11"/>
  <c r="BF479" i="11"/>
  <c r="AX479" i="11"/>
  <c r="BU479" i="11"/>
  <c r="BP479" i="11"/>
  <c r="BH479" i="11"/>
  <c r="AZ479" i="11"/>
  <c r="AR479" i="11"/>
  <c r="B479" i="11"/>
  <c r="D479" i="11" s="1"/>
  <c r="E479" i="11" s="1"/>
  <c r="F479" i="11" s="1"/>
  <c r="G479" i="11" s="1"/>
  <c r="H479" i="11" s="1"/>
  <c r="I479" i="11" s="1"/>
  <c r="J479" i="11" s="1"/>
  <c r="K479" i="11" s="1"/>
  <c r="L479" i="11" s="1"/>
  <c r="M479" i="11" s="1"/>
  <c r="N479" i="11" s="1"/>
  <c r="O479" i="11" s="1"/>
  <c r="P479" i="11" s="1"/>
  <c r="Q479" i="11" s="1"/>
  <c r="R479" i="11" s="1"/>
  <c r="S479" i="11" s="1"/>
  <c r="T479" i="11" s="1"/>
  <c r="U479" i="11" s="1"/>
  <c r="V479" i="11" s="1"/>
  <c r="W479" i="11" s="1"/>
  <c r="X479" i="11" s="1"/>
  <c r="Y479" i="11" s="1"/>
  <c r="Z479" i="11" s="1"/>
  <c r="AA479" i="11" s="1"/>
  <c r="AB479" i="11" s="1"/>
  <c r="AC479" i="11" s="1"/>
  <c r="AD479" i="11" s="1"/>
  <c r="AE479" i="11" s="1"/>
  <c r="AF479" i="11" s="1"/>
  <c r="AG479" i="11" s="1"/>
  <c r="AH479" i="11" s="1"/>
  <c r="AI479" i="11" s="1"/>
  <c r="AJ479" i="11" s="1"/>
  <c r="AK479" i="11" s="1"/>
  <c r="AL479" i="11" s="1"/>
  <c r="BB479" i="11"/>
  <c r="BR479" i="11"/>
  <c r="BL479" i="11"/>
  <c r="AV479" i="11"/>
  <c r="AT479" i="11"/>
  <c r="BT479" i="11"/>
  <c r="BD479" i="11"/>
  <c r="AN479" i="11"/>
  <c r="BJ479" i="11"/>
  <c r="AM479" i="11"/>
  <c r="AQ479" i="11"/>
  <c r="AU479" i="11"/>
  <c r="AY479" i="11"/>
  <c r="BC479" i="11"/>
  <c r="BG479" i="11"/>
  <c r="BK479" i="11"/>
  <c r="BO479" i="11"/>
  <c r="BS479" i="11"/>
  <c r="AO479" i="11"/>
  <c r="AS479" i="11"/>
  <c r="AW479" i="11"/>
  <c r="BA479" i="11"/>
  <c r="BE479" i="11"/>
  <c r="BI479" i="11"/>
  <c r="BM479" i="11"/>
  <c r="BQ479" i="11"/>
  <c r="AP483" i="11"/>
  <c r="BF483" i="11"/>
  <c r="BN483" i="11"/>
  <c r="AX483" i="11"/>
  <c r="BU483" i="11"/>
  <c r="BP483" i="11"/>
  <c r="BH483" i="11"/>
  <c r="AZ483" i="11"/>
  <c r="AR483" i="11"/>
  <c r="B483" i="11"/>
  <c r="D483" i="11" s="1"/>
  <c r="E483" i="11" s="1"/>
  <c r="F483" i="11" s="1"/>
  <c r="G483" i="11" s="1"/>
  <c r="H483" i="11" s="1"/>
  <c r="I483" i="11" s="1"/>
  <c r="J483" i="11" s="1"/>
  <c r="K483" i="11" s="1"/>
  <c r="L483" i="11" s="1"/>
  <c r="M483" i="11" s="1"/>
  <c r="N483" i="11" s="1"/>
  <c r="O483" i="11" s="1"/>
  <c r="P483" i="11" s="1"/>
  <c r="Q483" i="11" s="1"/>
  <c r="R483" i="11" s="1"/>
  <c r="S483" i="11" s="1"/>
  <c r="T483" i="11" s="1"/>
  <c r="U483" i="11" s="1"/>
  <c r="V483" i="11" s="1"/>
  <c r="W483" i="11" s="1"/>
  <c r="X483" i="11" s="1"/>
  <c r="Y483" i="11" s="1"/>
  <c r="Z483" i="11" s="1"/>
  <c r="AA483" i="11" s="1"/>
  <c r="AB483" i="11" s="1"/>
  <c r="AC483" i="11" s="1"/>
  <c r="AD483" i="11" s="1"/>
  <c r="AE483" i="11" s="1"/>
  <c r="AF483" i="11" s="1"/>
  <c r="AG483" i="11" s="1"/>
  <c r="AH483" i="11" s="1"/>
  <c r="AI483" i="11" s="1"/>
  <c r="AJ483" i="11" s="1"/>
  <c r="AK483" i="11" s="1"/>
  <c r="AL483" i="11" s="1"/>
  <c r="BB483" i="11"/>
  <c r="BR483" i="11"/>
  <c r="BT483" i="11"/>
  <c r="BL483" i="11"/>
  <c r="BD483" i="11"/>
  <c r="AV483" i="11"/>
  <c r="AN483" i="11"/>
  <c r="AT483" i="11"/>
  <c r="BJ483" i="11"/>
  <c r="AM483" i="11"/>
  <c r="AQ483" i="11"/>
  <c r="AU483" i="11"/>
  <c r="AY483" i="11"/>
  <c r="BC483" i="11"/>
  <c r="BG483" i="11"/>
  <c r="BK483" i="11"/>
  <c r="BO483" i="11"/>
  <c r="BS483" i="11"/>
  <c r="AO483" i="11"/>
  <c r="AS483" i="11"/>
  <c r="AW483" i="11"/>
  <c r="BA483" i="11"/>
  <c r="BE483" i="11"/>
  <c r="BI483" i="11"/>
  <c r="BM483" i="11"/>
  <c r="BQ483" i="11"/>
  <c r="BN487" i="11"/>
  <c r="AP487" i="11"/>
  <c r="BF487" i="11"/>
  <c r="AX487" i="11"/>
  <c r="BU487" i="11"/>
  <c r="BP487" i="11"/>
  <c r="BH487" i="11"/>
  <c r="AZ487" i="11"/>
  <c r="AR487" i="11"/>
  <c r="B487" i="11"/>
  <c r="D487" i="11" s="1"/>
  <c r="E487" i="11" s="1"/>
  <c r="F487" i="11" s="1"/>
  <c r="G487" i="11" s="1"/>
  <c r="H487" i="11" s="1"/>
  <c r="I487" i="11" s="1"/>
  <c r="J487" i="11" s="1"/>
  <c r="K487" i="11" s="1"/>
  <c r="L487" i="11" s="1"/>
  <c r="M487" i="11" s="1"/>
  <c r="N487" i="11" s="1"/>
  <c r="O487" i="11" s="1"/>
  <c r="P487" i="11" s="1"/>
  <c r="Q487" i="11" s="1"/>
  <c r="R487" i="11" s="1"/>
  <c r="S487" i="11" s="1"/>
  <c r="T487" i="11" s="1"/>
  <c r="U487" i="11" s="1"/>
  <c r="V487" i="11" s="1"/>
  <c r="W487" i="11" s="1"/>
  <c r="X487" i="11" s="1"/>
  <c r="Y487" i="11" s="1"/>
  <c r="Z487" i="11" s="1"/>
  <c r="AA487" i="11" s="1"/>
  <c r="AB487" i="11" s="1"/>
  <c r="AC487" i="11" s="1"/>
  <c r="AD487" i="11" s="1"/>
  <c r="AE487" i="11" s="1"/>
  <c r="AF487" i="11" s="1"/>
  <c r="AG487" i="11" s="1"/>
  <c r="AH487" i="11" s="1"/>
  <c r="AI487" i="11" s="1"/>
  <c r="AJ487" i="11" s="1"/>
  <c r="AK487" i="11" s="1"/>
  <c r="AL487" i="11" s="1"/>
  <c r="BB487" i="11"/>
  <c r="BR487" i="11"/>
  <c r="BT487" i="11"/>
  <c r="BL487" i="11"/>
  <c r="BD487" i="11"/>
  <c r="AV487" i="11"/>
  <c r="AN487" i="11"/>
  <c r="AT487" i="11"/>
  <c r="BJ487" i="11"/>
  <c r="AM487" i="11"/>
  <c r="AQ487" i="11"/>
  <c r="AU487" i="11"/>
  <c r="AY487" i="11"/>
  <c r="BC487" i="11"/>
  <c r="BG487" i="11"/>
  <c r="BK487" i="11"/>
  <c r="BO487" i="11"/>
  <c r="BS487" i="11"/>
  <c r="AO487" i="11"/>
  <c r="AS487" i="11"/>
  <c r="AW487" i="11"/>
  <c r="BA487" i="11"/>
  <c r="BE487" i="11"/>
  <c r="BI487" i="11"/>
  <c r="BM487" i="11"/>
  <c r="BQ487" i="11"/>
  <c r="BN491" i="11"/>
  <c r="AP491" i="11"/>
  <c r="BF491" i="11"/>
  <c r="AX491" i="11"/>
  <c r="BU491" i="11"/>
  <c r="BP491" i="11"/>
  <c r="BH491" i="11"/>
  <c r="AZ491" i="11"/>
  <c r="AR491" i="11"/>
  <c r="B491" i="11"/>
  <c r="D491" i="11" s="1"/>
  <c r="E491" i="11" s="1"/>
  <c r="F491" i="11" s="1"/>
  <c r="G491" i="11" s="1"/>
  <c r="H491" i="11" s="1"/>
  <c r="I491" i="11" s="1"/>
  <c r="J491" i="11" s="1"/>
  <c r="K491" i="11" s="1"/>
  <c r="L491" i="11" s="1"/>
  <c r="M491" i="11" s="1"/>
  <c r="N491" i="11" s="1"/>
  <c r="O491" i="11" s="1"/>
  <c r="P491" i="11" s="1"/>
  <c r="Q491" i="11" s="1"/>
  <c r="R491" i="11" s="1"/>
  <c r="S491" i="11" s="1"/>
  <c r="T491" i="11" s="1"/>
  <c r="U491" i="11" s="1"/>
  <c r="V491" i="11" s="1"/>
  <c r="W491" i="11" s="1"/>
  <c r="X491" i="11" s="1"/>
  <c r="Y491" i="11" s="1"/>
  <c r="Z491" i="11" s="1"/>
  <c r="AA491" i="11" s="1"/>
  <c r="AB491" i="11" s="1"/>
  <c r="AC491" i="11" s="1"/>
  <c r="AD491" i="11" s="1"/>
  <c r="AE491" i="11" s="1"/>
  <c r="AF491" i="11" s="1"/>
  <c r="AG491" i="11" s="1"/>
  <c r="AH491" i="11" s="1"/>
  <c r="AI491" i="11" s="1"/>
  <c r="AJ491" i="11" s="1"/>
  <c r="AK491" i="11" s="1"/>
  <c r="AL491" i="11" s="1"/>
  <c r="BB491" i="11"/>
  <c r="BR491" i="11"/>
  <c r="BT491" i="11"/>
  <c r="BL491" i="11"/>
  <c r="BD491" i="11"/>
  <c r="AV491" i="11"/>
  <c r="AN491" i="11"/>
  <c r="AT491" i="11"/>
  <c r="BJ491" i="11"/>
  <c r="AM491" i="11"/>
  <c r="AQ491" i="11"/>
  <c r="AU491" i="11"/>
  <c r="AY491" i="11"/>
  <c r="BC491" i="11"/>
  <c r="BG491" i="11"/>
  <c r="BK491" i="11"/>
  <c r="BO491" i="11"/>
  <c r="BS491" i="11"/>
  <c r="AO491" i="11"/>
  <c r="AS491" i="11"/>
  <c r="AW491" i="11"/>
  <c r="BA491" i="11"/>
  <c r="BE491" i="11"/>
  <c r="BI491" i="11"/>
  <c r="BM491" i="11"/>
  <c r="BQ491" i="11"/>
  <c r="BN495" i="11"/>
  <c r="BF495" i="11"/>
  <c r="AX495" i="11"/>
  <c r="AP495" i="11"/>
  <c r="BU495" i="11"/>
  <c r="BP495" i="11"/>
  <c r="BH495" i="11"/>
  <c r="AZ495" i="11"/>
  <c r="AR495" i="11"/>
  <c r="B495" i="11"/>
  <c r="D495" i="11" s="1"/>
  <c r="E495" i="11" s="1"/>
  <c r="F495" i="11" s="1"/>
  <c r="G495" i="11" s="1"/>
  <c r="H495" i="11" s="1"/>
  <c r="I495" i="11" s="1"/>
  <c r="J495" i="11" s="1"/>
  <c r="K495" i="11" s="1"/>
  <c r="L495" i="11" s="1"/>
  <c r="M495" i="11" s="1"/>
  <c r="N495" i="11" s="1"/>
  <c r="O495" i="11" s="1"/>
  <c r="P495" i="11" s="1"/>
  <c r="Q495" i="11" s="1"/>
  <c r="R495" i="11" s="1"/>
  <c r="S495" i="11" s="1"/>
  <c r="T495" i="11" s="1"/>
  <c r="U495" i="11" s="1"/>
  <c r="V495" i="11" s="1"/>
  <c r="W495" i="11" s="1"/>
  <c r="X495" i="11" s="1"/>
  <c r="Y495" i="11" s="1"/>
  <c r="Z495" i="11" s="1"/>
  <c r="AA495" i="11" s="1"/>
  <c r="AB495" i="11" s="1"/>
  <c r="AC495" i="11" s="1"/>
  <c r="AD495" i="11" s="1"/>
  <c r="AE495" i="11" s="1"/>
  <c r="AF495" i="11" s="1"/>
  <c r="AG495" i="11" s="1"/>
  <c r="AH495" i="11" s="1"/>
  <c r="AI495" i="11" s="1"/>
  <c r="AJ495" i="11" s="1"/>
  <c r="AK495" i="11" s="1"/>
  <c r="AL495" i="11" s="1"/>
  <c r="BB495" i="11"/>
  <c r="BR495" i="11"/>
  <c r="BT495" i="11"/>
  <c r="BL495" i="11"/>
  <c r="BD495" i="11"/>
  <c r="AV495" i="11"/>
  <c r="AN495" i="11"/>
  <c r="AT495" i="11"/>
  <c r="BJ495" i="11"/>
  <c r="AO495" i="11"/>
  <c r="AS495" i="11"/>
  <c r="AW495" i="11"/>
  <c r="BA495" i="11"/>
  <c r="BE495" i="11"/>
  <c r="BI495" i="11"/>
  <c r="BM495" i="11"/>
  <c r="BQ495" i="11"/>
  <c r="AM495" i="11"/>
  <c r="AQ495" i="11"/>
  <c r="AU495" i="11"/>
  <c r="AY495" i="11"/>
  <c r="BC495" i="11"/>
  <c r="BG495" i="11"/>
  <c r="BK495" i="11"/>
  <c r="BO495" i="11"/>
  <c r="BS495" i="11"/>
  <c r="BN499" i="11"/>
  <c r="BF499" i="11"/>
  <c r="AX499" i="11"/>
  <c r="AP499" i="11"/>
  <c r="BU499" i="11"/>
  <c r="BP499" i="11"/>
  <c r="BH499" i="11"/>
  <c r="AZ499" i="11"/>
  <c r="AR499" i="11"/>
  <c r="B499" i="11"/>
  <c r="D499" i="11" s="1"/>
  <c r="E499" i="11" s="1"/>
  <c r="F499" i="11" s="1"/>
  <c r="G499" i="11" s="1"/>
  <c r="H499" i="11" s="1"/>
  <c r="I499" i="11" s="1"/>
  <c r="J499" i="11" s="1"/>
  <c r="K499" i="11" s="1"/>
  <c r="L499" i="11" s="1"/>
  <c r="M499" i="11" s="1"/>
  <c r="N499" i="11" s="1"/>
  <c r="O499" i="11" s="1"/>
  <c r="P499" i="11" s="1"/>
  <c r="Q499" i="11" s="1"/>
  <c r="R499" i="11" s="1"/>
  <c r="S499" i="11" s="1"/>
  <c r="T499" i="11" s="1"/>
  <c r="U499" i="11" s="1"/>
  <c r="V499" i="11" s="1"/>
  <c r="W499" i="11" s="1"/>
  <c r="X499" i="11" s="1"/>
  <c r="Y499" i="11" s="1"/>
  <c r="Z499" i="11" s="1"/>
  <c r="AA499" i="11" s="1"/>
  <c r="AB499" i="11" s="1"/>
  <c r="AC499" i="11" s="1"/>
  <c r="AD499" i="11" s="1"/>
  <c r="AE499" i="11" s="1"/>
  <c r="AF499" i="11" s="1"/>
  <c r="AG499" i="11" s="1"/>
  <c r="AH499" i="11" s="1"/>
  <c r="AI499" i="11" s="1"/>
  <c r="AJ499" i="11" s="1"/>
  <c r="AK499" i="11" s="1"/>
  <c r="AL499" i="11" s="1"/>
  <c r="BB499" i="11"/>
  <c r="BR499" i="11"/>
  <c r="BT499" i="11"/>
  <c r="BL499" i="11"/>
  <c r="BD499" i="11"/>
  <c r="AV499" i="11"/>
  <c r="AN499" i="11"/>
  <c r="AT499" i="11"/>
  <c r="BJ499" i="11"/>
  <c r="AM499" i="11"/>
  <c r="AQ499" i="11"/>
  <c r="AU499" i="11"/>
  <c r="AY499" i="11"/>
  <c r="AS499" i="11"/>
  <c r="BA499" i="11"/>
  <c r="BE499" i="11"/>
  <c r="BI499" i="11"/>
  <c r="BM499" i="11"/>
  <c r="BQ499" i="11"/>
  <c r="AO499" i="11"/>
  <c r="AW499" i="11"/>
  <c r="BC499" i="11"/>
  <c r="BG499" i="11"/>
  <c r="BK499" i="11"/>
  <c r="BO499" i="11"/>
  <c r="BS499" i="11"/>
  <c r="BB503" i="11"/>
  <c r="BT503" i="11"/>
  <c r="BL503" i="11"/>
  <c r="BD503" i="11"/>
  <c r="AV503" i="11"/>
  <c r="AN503" i="11"/>
  <c r="BN503" i="11"/>
  <c r="AX503" i="11"/>
  <c r="BJ503" i="11"/>
  <c r="BR503" i="11"/>
  <c r="BU503" i="11"/>
  <c r="BP503" i="11"/>
  <c r="BH503" i="11"/>
  <c r="AZ503" i="11"/>
  <c r="AR503" i="11"/>
  <c r="B503" i="11"/>
  <c r="D503" i="11" s="1"/>
  <c r="E503" i="11" s="1"/>
  <c r="F503" i="11" s="1"/>
  <c r="G503" i="11" s="1"/>
  <c r="H503" i="11" s="1"/>
  <c r="I503" i="11" s="1"/>
  <c r="J503" i="11" s="1"/>
  <c r="K503" i="11" s="1"/>
  <c r="L503" i="11" s="1"/>
  <c r="M503" i="11" s="1"/>
  <c r="N503" i="11" s="1"/>
  <c r="O503" i="11" s="1"/>
  <c r="P503" i="11" s="1"/>
  <c r="Q503" i="11" s="1"/>
  <c r="R503" i="11" s="1"/>
  <c r="S503" i="11" s="1"/>
  <c r="T503" i="11" s="1"/>
  <c r="U503" i="11" s="1"/>
  <c r="V503" i="11" s="1"/>
  <c r="W503" i="11" s="1"/>
  <c r="X503" i="11" s="1"/>
  <c r="Y503" i="11" s="1"/>
  <c r="Z503" i="11" s="1"/>
  <c r="AA503" i="11" s="1"/>
  <c r="AB503" i="11" s="1"/>
  <c r="AC503" i="11" s="1"/>
  <c r="AD503" i="11" s="1"/>
  <c r="AE503" i="11" s="1"/>
  <c r="AF503" i="11" s="1"/>
  <c r="AG503" i="11" s="1"/>
  <c r="AH503" i="11" s="1"/>
  <c r="AI503" i="11" s="1"/>
  <c r="AJ503" i="11" s="1"/>
  <c r="AK503" i="11" s="1"/>
  <c r="AL503" i="11" s="1"/>
  <c r="BF503" i="11"/>
  <c r="AP503" i="11"/>
  <c r="AT503" i="11"/>
  <c r="AO503" i="11"/>
  <c r="AS503" i="11"/>
  <c r="AW503" i="11"/>
  <c r="BA503" i="11"/>
  <c r="BE503" i="11"/>
  <c r="BI503" i="11"/>
  <c r="BM503" i="11"/>
  <c r="BQ503" i="11"/>
  <c r="AM503" i="11"/>
  <c r="AQ503" i="11"/>
  <c r="AU503" i="11"/>
  <c r="AY503" i="11"/>
  <c r="BC503" i="11"/>
  <c r="BG503" i="11"/>
  <c r="BK503" i="11"/>
  <c r="BO503" i="11"/>
  <c r="BS503" i="11"/>
  <c r="BO507" i="11"/>
  <c r="BK507" i="11"/>
  <c r="AU507" i="11"/>
  <c r="B507" i="11"/>
  <c r="D507" i="11" s="1"/>
  <c r="E507" i="11" s="1"/>
  <c r="F507" i="11" s="1"/>
  <c r="G507" i="11" s="1"/>
  <c r="H507" i="11" s="1"/>
  <c r="I507" i="11" s="1"/>
  <c r="J507" i="11" s="1"/>
  <c r="K507" i="11" s="1"/>
  <c r="L507" i="11" s="1"/>
  <c r="M507" i="11" s="1"/>
  <c r="N507" i="11" s="1"/>
  <c r="O507" i="11" s="1"/>
  <c r="P507" i="11" s="1"/>
  <c r="Q507" i="11" s="1"/>
  <c r="R507" i="11" s="1"/>
  <c r="S507" i="11" s="1"/>
  <c r="T507" i="11" s="1"/>
  <c r="U507" i="11" s="1"/>
  <c r="V507" i="11" s="1"/>
  <c r="W507" i="11" s="1"/>
  <c r="X507" i="11" s="1"/>
  <c r="Y507" i="11" s="1"/>
  <c r="Z507" i="11" s="1"/>
  <c r="AA507" i="11" s="1"/>
  <c r="AB507" i="11" s="1"/>
  <c r="AC507" i="11" s="1"/>
  <c r="AD507" i="11" s="1"/>
  <c r="AE507" i="11" s="1"/>
  <c r="AF507" i="11" s="1"/>
  <c r="AG507" i="11" s="1"/>
  <c r="AH507" i="11" s="1"/>
  <c r="AI507" i="11" s="1"/>
  <c r="AJ507" i="11" s="1"/>
  <c r="AK507" i="11" s="1"/>
  <c r="AL507" i="11" s="1"/>
  <c r="AQ507" i="11"/>
  <c r="BS507" i="11"/>
  <c r="BC507" i="11"/>
  <c r="AM507" i="11"/>
  <c r="BG507" i="11"/>
  <c r="AY507" i="11"/>
  <c r="BR507" i="11"/>
  <c r="BN507" i="11"/>
  <c r="BJ507" i="11"/>
  <c r="BF507" i="11"/>
  <c r="BB507" i="11"/>
  <c r="AX507" i="11"/>
  <c r="AT507" i="11"/>
  <c r="AP507" i="11"/>
  <c r="AO507" i="11"/>
  <c r="AW507" i="11"/>
  <c r="BE507" i="11"/>
  <c r="BM507" i="11"/>
  <c r="BU507" i="11"/>
  <c r="BT507" i="11"/>
  <c r="BP507" i="11"/>
  <c r="BL507" i="11"/>
  <c r="BH507" i="11"/>
  <c r="BD507" i="11"/>
  <c r="AZ507" i="11"/>
  <c r="AV507" i="11"/>
  <c r="AR507" i="11"/>
  <c r="AN507" i="11"/>
  <c r="AS507" i="11"/>
  <c r="BA507" i="11"/>
  <c r="BI507" i="11"/>
  <c r="BQ507" i="11"/>
  <c r="BG511" i="11"/>
  <c r="AQ511" i="11"/>
  <c r="BT511" i="11"/>
  <c r="BP511" i="11"/>
  <c r="BL511" i="11"/>
  <c r="BH511" i="11"/>
  <c r="BD511" i="11"/>
  <c r="AZ511" i="11"/>
  <c r="AV511" i="11"/>
  <c r="AR511" i="11"/>
  <c r="AN511" i="11"/>
  <c r="BU511" i="11"/>
  <c r="BM511" i="11"/>
  <c r="BE511" i="11"/>
  <c r="AW511" i="11"/>
  <c r="AO511" i="11"/>
  <c r="BK511" i="11"/>
  <c r="AU511" i="11"/>
  <c r="AY511" i="11"/>
  <c r="BR511" i="11"/>
  <c r="BN511" i="11"/>
  <c r="BJ511" i="11"/>
  <c r="BF511" i="11"/>
  <c r="BB511" i="11"/>
  <c r="AX511" i="11"/>
  <c r="AT511" i="11"/>
  <c r="AP511" i="11"/>
  <c r="B511" i="11"/>
  <c r="D511" i="11" s="1"/>
  <c r="E511" i="11" s="1"/>
  <c r="F511" i="11" s="1"/>
  <c r="G511" i="11" s="1"/>
  <c r="H511" i="11" s="1"/>
  <c r="I511" i="11" s="1"/>
  <c r="J511" i="11" s="1"/>
  <c r="K511" i="11" s="1"/>
  <c r="L511" i="11" s="1"/>
  <c r="M511" i="11" s="1"/>
  <c r="N511" i="11" s="1"/>
  <c r="O511" i="11" s="1"/>
  <c r="P511" i="11" s="1"/>
  <c r="Q511" i="11" s="1"/>
  <c r="R511" i="11" s="1"/>
  <c r="S511" i="11" s="1"/>
  <c r="T511" i="11" s="1"/>
  <c r="U511" i="11" s="1"/>
  <c r="V511" i="11" s="1"/>
  <c r="W511" i="11" s="1"/>
  <c r="X511" i="11" s="1"/>
  <c r="Y511" i="11" s="1"/>
  <c r="Z511" i="11" s="1"/>
  <c r="AA511" i="11" s="1"/>
  <c r="AB511" i="11" s="1"/>
  <c r="AC511" i="11" s="1"/>
  <c r="AD511" i="11" s="1"/>
  <c r="AE511" i="11" s="1"/>
  <c r="AF511" i="11" s="1"/>
  <c r="AG511" i="11" s="1"/>
  <c r="AH511" i="11" s="1"/>
  <c r="AI511" i="11" s="1"/>
  <c r="AJ511" i="11" s="1"/>
  <c r="AK511" i="11" s="1"/>
  <c r="AL511" i="11" s="1"/>
  <c r="BQ511" i="11"/>
  <c r="BI511" i="11"/>
  <c r="BA511" i="11"/>
  <c r="AS511" i="11"/>
  <c r="BS511" i="11"/>
  <c r="BC511" i="11"/>
  <c r="AM511" i="11"/>
  <c r="BO511" i="11"/>
  <c r="AY515" i="11"/>
  <c r="BR515" i="11"/>
  <c r="BN515" i="11"/>
  <c r="BJ515" i="11"/>
  <c r="BF515" i="11"/>
  <c r="BB515" i="11"/>
  <c r="AX515" i="11"/>
  <c r="AT515" i="11"/>
  <c r="AP515" i="11"/>
  <c r="B515" i="11"/>
  <c r="D515" i="11" s="1"/>
  <c r="E515" i="11" s="1"/>
  <c r="F515" i="11" s="1"/>
  <c r="G515" i="11" s="1"/>
  <c r="H515" i="11" s="1"/>
  <c r="I515" i="11" s="1"/>
  <c r="J515" i="11" s="1"/>
  <c r="K515" i="11" s="1"/>
  <c r="L515" i="11" s="1"/>
  <c r="M515" i="11" s="1"/>
  <c r="N515" i="11" s="1"/>
  <c r="O515" i="11" s="1"/>
  <c r="P515" i="11" s="1"/>
  <c r="Q515" i="11" s="1"/>
  <c r="R515" i="11" s="1"/>
  <c r="S515" i="11" s="1"/>
  <c r="T515" i="11" s="1"/>
  <c r="U515" i="11" s="1"/>
  <c r="V515" i="11" s="1"/>
  <c r="W515" i="11" s="1"/>
  <c r="X515" i="11" s="1"/>
  <c r="Y515" i="11" s="1"/>
  <c r="Z515" i="11" s="1"/>
  <c r="AA515" i="11" s="1"/>
  <c r="AB515" i="11" s="1"/>
  <c r="AC515" i="11" s="1"/>
  <c r="AD515" i="11" s="1"/>
  <c r="AE515" i="11" s="1"/>
  <c r="AF515" i="11" s="1"/>
  <c r="AG515" i="11" s="1"/>
  <c r="AH515" i="11" s="1"/>
  <c r="AI515" i="11" s="1"/>
  <c r="AJ515" i="11" s="1"/>
  <c r="AK515" i="11" s="1"/>
  <c r="AL515" i="11" s="1"/>
  <c r="BQ515" i="11"/>
  <c r="BI515" i="11"/>
  <c r="BA515" i="11"/>
  <c r="AS515" i="11"/>
  <c r="BS515" i="11"/>
  <c r="BC515" i="11"/>
  <c r="AM515" i="11"/>
  <c r="AQ515" i="11"/>
  <c r="BT515" i="11"/>
  <c r="BP515" i="11"/>
  <c r="BL515" i="11"/>
  <c r="BH515" i="11"/>
  <c r="BD515" i="11"/>
  <c r="AZ515" i="11"/>
  <c r="AV515" i="11"/>
  <c r="AR515" i="11"/>
  <c r="AN515" i="11"/>
  <c r="BU515" i="11"/>
  <c r="BM515" i="11"/>
  <c r="BE515" i="11"/>
  <c r="AW515" i="11"/>
  <c r="AO515" i="11"/>
  <c r="BK515" i="11"/>
  <c r="AU515" i="11"/>
  <c r="BG515" i="11"/>
  <c r="BO515" i="11"/>
  <c r="BU519" i="11"/>
  <c r="AN519" i="11"/>
  <c r="B519" i="11"/>
  <c r="D519" i="11" s="1"/>
  <c r="E519" i="11" s="1"/>
  <c r="F519" i="11" s="1"/>
  <c r="G519" i="11" s="1"/>
  <c r="H519" i="11" s="1"/>
  <c r="I519" i="11" s="1"/>
  <c r="J519" i="11" s="1"/>
  <c r="K519" i="11" s="1"/>
  <c r="L519" i="11" s="1"/>
  <c r="M519" i="11" s="1"/>
  <c r="N519" i="11" s="1"/>
  <c r="O519" i="11" s="1"/>
  <c r="P519" i="11" s="1"/>
  <c r="Q519" i="11" s="1"/>
  <c r="R519" i="11" s="1"/>
  <c r="S519" i="11" s="1"/>
  <c r="T519" i="11" s="1"/>
  <c r="U519" i="11" s="1"/>
  <c r="V519" i="11" s="1"/>
  <c r="W519" i="11" s="1"/>
  <c r="X519" i="11" s="1"/>
  <c r="Y519" i="11" s="1"/>
  <c r="Z519" i="11" s="1"/>
  <c r="AA519" i="11" s="1"/>
  <c r="AB519" i="11" s="1"/>
  <c r="AC519" i="11" s="1"/>
  <c r="AD519" i="11" s="1"/>
  <c r="AE519" i="11" s="1"/>
  <c r="AF519" i="11" s="1"/>
  <c r="AG519" i="11" s="1"/>
  <c r="AH519" i="11" s="1"/>
  <c r="AI519" i="11" s="1"/>
  <c r="AJ519" i="11" s="1"/>
  <c r="AK519" i="11" s="1"/>
  <c r="AL519" i="11" s="1"/>
  <c r="BT519" i="11"/>
  <c r="BD519" i="11"/>
  <c r="BL519" i="11"/>
  <c r="AZ519" i="11"/>
  <c r="BP519" i="11"/>
  <c r="AV519" i="11"/>
  <c r="AR519" i="11"/>
  <c r="BH519" i="11"/>
  <c r="AT519" i="11"/>
  <c r="BB519" i="11"/>
  <c r="BJ519" i="11"/>
  <c r="BR519" i="11"/>
  <c r="AP519" i="11"/>
  <c r="AX519" i="11"/>
  <c r="BF519" i="11"/>
  <c r="BN519" i="11"/>
  <c r="AO519" i="11"/>
  <c r="AS519" i="11"/>
  <c r="AW519" i="11"/>
  <c r="BA519" i="11"/>
  <c r="BE519" i="11"/>
  <c r="BI519" i="11"/>
  <c r="BM519" i="11"/>
  <c r="BQ519" i="11"/>
  <c r="AM519" i="11"/>
  <c r="AQ519" i="11"/>
  <c r="AU519" i="11"/>
  <c r="AY519" i="11"/>
  <c r="BC519" i="11"/>
  <c r="BG519" i="11"/>
  <c r="BK519" i="11"/>
  <c r="BO519" i="11"/>
  <c r="BS519" i="11"/>
  <c r="BU426" i="11"/>
  <c r="AN426" i="11"/>
  <c r="BT426" i="11"/>
  <c r="B426" i="11"/>
  <c r="D426" i="11" s="1"/>
  <c r="E426" i="11" s="1"/>
  <c r="F426" i="11" s="1"/>
  <c r="G426" i="11" s="1"/>
  <c r="H426" i="11" s="1"/>
  <c r="I426" i="11" s="1"/>
  <c r="J426" i="11" s="1"/>
  <c r="K426" i="11" s="1"/>
  <c r="L426" i="11" s="1"/>
  <c r="M426" i="11" s="1"/>
  <c r="N426" i="11" s="1"/>
  <c r="O426" i="11" s="1"/>
  <c r="P426" i="11" s="1"/>
  <c r="Q426" i="11" s="1"/>
  <c r="R426" i="11" s="1"/>
  <c r="S426" i="11" s="1"/>
  <c r="T426" i="11" s="1"/>
  <c r="U426" i="11" s="1"/>
  <c r="V426" i="11" s="1"/>
  <c r="W426" i="11" s="1"/>
  <c r="X426" i="11" s="1"/>
  <c r="Y426" i="11" s="1"/>
  <c r="Z426" i="11" s="1"/>
  <c r="AA426" i="11" s="1"/>
  <c r="AB426" i="11" s="1"/>
  <c r="AC426" i="11" s="1"/>
  <c r="AD426" i="11" s="1"/>
  <c r="AE426" i="11" s="1"/>
  <c r="AF426" i="11" s="1"/>
  <c r="AG426" i="11" s="1"/>
  <c r="AH426" i="11" s="1"/>
  <c r="AI426" i="11" s="1"/>
  <c r="AJ426" i="11" s="1"/>
  <c r="AK426" i="11" s="1"/>
  <c r="AL426" i="11" s="1"/>
  <c r="BD426" i="11"/>
  <c r="BL426" i="11"/>
  <c r="AZ426" i="11"/>
  <c r="BP426" i="11"/>
  <c r="AR426" i="11"/>
  <c r="AV426" i="11"/>
  <c r="BH426" i="11"/>
  <c r="AP426" i="11"/>
  <c r="AX426" i="11"/>
  <c r="BF426" i="11"/>
  <c r="BN426" i="11"/>
  <c r="AT426" i="11"/>
  <c r="BB426" i="11"/>
  <c r="BJ426" i="11"/>
  <c r="BR426" i="11"/>
  <c r="AO426" i="11"/>
  <c r="AS426" i="11"/>
  <c r="AW426" i="11"/>
  <c r="BA426" i="11"/>
  <c r="BE426" i="11"/>
  <c r="BI426" i="11"/>
  <c r="BM426" i="11"/>
  <c r="BQ426" i="11"/>
  <c r="AM426" i="11"/>
  <c r="AQ426" i="11"/>
  <c r="AU426" i="11"/>
  <c r="AY426" i="11"/>
  <c r="BC426" i="11"/>
  <c r="BG426" i="11"/>
  <c r="BK426" i="11"/>
  <c r="BO426" i="11"/>
  <c r="BS426" i="11"/>
  <c r="BU430" i="11"/>
  <c r="AN430" i="11"/>
  <c r="B430" i="11"/>
  <c r="D430" i="11" s="1"/>
  <c r="E430" i="11" s="1"/>
  <c r="F430" i="11" s="1"/>
  <c r="G430" i="11" s="1"/>
  <c r="H430" i="11" s="1"/>
  <c r="I430" i="11" s="1"/>
  <c r="J430" i="11" s="1"/>
  <c r="K430" i="11" s="1"/>
  <c r="L430" i="11" s="1"/>
  <c r="M430" i="11" s="1"/>
  <c r="N430" i="11" s="1"/>
  <c r="O430" i="11" s="1"/>
  <c r="P430" i="11" s="1"/>
  <c r="Q430" i="11" s="1"/>
  <c r="R430" i="11" s="1"/>
  <c r="S430" i="11" s="1"/>
  <c r="T430" i="11" s="1"/>
  <c r="U430" i="11" s="1"/>
  <c r="V430" i="11" s="1"/>
  <c r="W430" i="11" s="1"/>
  <c r="X430" i="11" s="1"/>
  <c r="Y430" i="11" s="1"/>
  <c r="Z430" i="11" s="1"/>
  <c r="AA430" i="11" s="1"/>
  <c r="AB430" i="11" s="1"/>
  <c r="AC430" i="11" s="1"/>
  <c r="AD430" i="11" s="1"/>
  <c r="AE430" i="11" s="1"/>
  <c r="AF430" i="11" s="1"/>
  <c r="AG430" i="11" s="1"/>
  <c r="AH430" i="11" s="1"/>
  <c r="AI430" i="11" s="1"/>
  <c r="AJ430" i="11" s="1"/>
  <c r="AK430" i="11" s="1"/>
  <c r="AL430" i="11" s="1"/>
  <c r="BT430" i="11"/>
  <c r="BD430" i="11"/>
  <c r="BL430" i="11"/>
  <c r="AZ430" i="11"/>
  <c r="BP430" i="11"/>
  <c r="AR430" i="11"/>
  <c r="AV430" i="11"/>
  <c r="BH430" i="11"/>
  <c r="AP430" i="11"/>
  <c r="AX430" i="11"/>
  <c r="BF430" i="11"/>
  <c r="BN430" i="11"/>
  <c r="AT430" i="11"/>
  <c r="BB430" i="11"/>
  <c r="BJ430" i="11"/>
  <c r="BR430" i="11"/>
  <c r="AO430" i="11"/>
  <c r="AS430" i="11"/>
  <c r="AW430" i="11"/>
  <c r="BA430" i="11"/>
  <c r="BE430" i="11"/>
  <c r="BI430" i="11"/>
  <c r="BM430" i="11"/>
  <c r="BQ430" i="11"/>
  <c r="AM430" i="11"/>
  <c r="AQ430" i="11"/>
  <c r="AU430" i="11"/>
  <c r="AY430" i="11"/>
  <c r="BC430" i="11"/>
  <c r="BG430" i="11"/>
  <c r="BK430" i="11"/>
  <c r="BO430" i="11"/>
  <c r="BS430" i="11"/>
  <c r="BU434" i="11"/>
  <c r="AN434" i="11"/>
  <c r="BT434" i="11"/>
  <c r="B434" i="11"/>
  <c r="D434" i="11" s="1"/>
  <c r="E434" i="11" s="1"/>
  <c r="F434" i="11" s="1"/>
  <c r="G434" i="11" s="1"/>
  <c r="H434" i="11" s="1"/>
  <c r="I434" i="11" s="1"/>
  <c r="J434" i="11" s="1"/>
  <c r="K434" i="11" s="1"/>
  <c r="L434" i="11" s="1"/>
  <c r="M434" i="11" s="1"/>
  <c r="N434" i="11" s="1"/>
  <c r="O434" i="11" s="1"/>
  <c r="P434" i="11" s="1"/>
  <c r="Q434" i="11" s="1"/>
  <c r="R434" i="11" s="1"/>
  <c r="S434" i="11" s="1"/>
  <c r="T434" i="11" s="1"/>
  <c r="U434" i="11" s="1"/>
  <c r="V434" i="11" s="1"/>
  <c r="W434" i="11" s="1"/>
  <c r="X434" i="11" s="1"/>
  <c r="Y434" i="11" s="1"/>
  <c r="Z434" i="11" s="1"/>
  <c r="AA434" i="11" s="1"/>
  <c r="AB434" i="11" s="1"/>
  <c r="AC434" i="11" s="1"/>
  <c r="AD434" i="11" s="1"/>
  <c r="AE434" i="11" s="1"/>
  <c r="AF434" i="11" s="1"/>
  <c r="AG434" i="11" s="1"/>
  <c r="AH434" i="11" s="1"/>
  <c r="AI434" i="11" s="1"/>
  <c r="AJ434" i="11" s="1"/>
  <c r="AK434" i="11" s="1"/>
  <c r="AL434" i="11" s="1"/>
  <c r="BD434" i="11"/>
  <c r="BL434" i="11"/>
  <c r="AZ434" i="11"/>
  <c r="BP434" i="11"/>
  <c r="AR434" i="11"/>
  <c r="AV434" i="11"/>
  <c r="BH434" i="11"/>
  <c r="AP434" i="11"/>
  <c r="AX434" i="11"/>
  <c r="BF434" i="11"/>
  <c r="BN434" i="11"/>
  <c r="AT434" i="11"/>
  <c r="BB434" i="11"/>
  <c r="BJ434" i="11"/>
  <c r="BR434" i="11"/>
  <c r="AM434" i="11"/>
  <c r="AQ434" i="11"/>
  <c r="AU434" i="11"/>
  <c r="AY434" i="11"/>
  <c r="BC434" i="11"/>
  <c r="BG434" i="11"/>
  <c r="BK434" i="11"/>
  <c r="BO434" i="11"/>
  <c r="BS434" i="11"/>
  <c r="AS434" i="11"/>
  <c r="BA434" i="11"/>
  <c r="BI434" i="11"/>
  <c r="BQ434" i="11"/>
  <c r="AO434" i="11"/>
  <c r="AW434" i="11"/>
  <c r="BE434" i="11"/>
  <c r="BM434" i="11"/>
  <c r="BU438" i="11"/>
  <c r="AN438" i="11"/>
  <c r="B438" i="11"/>
  <c r="D438" i="11" s="1"/>
  <c r="E438" i="11" s="1"/>
  <c r="F438" i="11" s="1"/>
  <c r="G438" i="11" s="1"/>
  <c r="H438" i="11" s="1"/>
  <c r="I438" i="11" s="1"/>
  <c r="J438" i="11" s="1"/>
  <c r="K438" i="11" s="1"/>
  <c r="L438" i="11" s="1"/>
  <c r="M438" i="11" s="1"/>
  <c r="N438" i="11" s="1"/>
  <c r="O438" i="11" s="1"/>
  <c r="P438" i="11" s="1"/>
  <c r="Q438" i="11" s="1"/>
  <c r="R438" i="11" s="1"/>
  <c r="S438" i="11" s="1"/>
  <c r="T438" i="11" s="1"/>
  <c r="U438" i="11" s="1"/>
  <c r="V438" i="11" s="1"/>
  <c r="W438" i="11" s="1"/>
  <c r="X438" i="11" s="1"/>
  <c r="Y438" i="11" s="1"/>
  <c r="Z438" i="11" s="1"/>
  <c r="AA438" i="11" s="1"/>
  <c r="AB438" i="11" s="1"/>
  <c r="AC438" i="11" s="1"/>
  <c r="AD438" i="11" s="1"/>
  <c r="AE438" i="11" s="1"/>
  <c r="AF438" i="11" s="1"/>
  <c r="AG438" i="11" s="1"/>
  <c r="AH438" i="11" s="1"/>
  <c r="AI438" i="11" s="1"/>
  <c r="AJ438" i="11" s="1"/>
  <c r="AK438" i="11" s="1"/>
  <c r="AL438" i="11" s="1"/>
  <c r="BT438" i="11"/>
  <c r="BD438" i="11"/>
  <c r="BL438" i="11"/>
  <c r="AZ438" i="11"/>
  <c r="BP438" i="11"/>
  <c r="AR438" i="11"/>
  <c r="AV438" i="11"/>
  <c r="BH438" i="11"/>
  <c r="AP438" i="11"/>
  <c r="AX438" i="11"/>
  <c r="BF438" i="11"/>
  <c r="BN438" i="11"/>
  <c r="AT438" i="11"/>
  <c r="BB438" i="11"/>
  <c r="BJ438" i="11"/>
  <c r="BR438" i="11"/>
  <c r="AM438" i="11"/>
  <c r="AQ438" i="11"/>
  <c r="AU438" i="11"/>
  <c r="AY438" i="11"/>
  <c r="BC438" i="11"/>
  <c r="BG438" i="11"/>
  <c r="BK438" i="11"/>
  <c r="BO438" i="11"/>
  <c r="BS438" i="11"/>
  <c r="AO438" i="11"/>
  <c r="AS438" i="11"/>
  <c r="AW438" i="11"/>
  <c r="BA438" i="11"/>
  <c r="BE438" i="11"/>
  <c r="BI438" i="11"/>
  <c r="BM438" i="11"/>
  <c r="BQ438" i="11"/>
  <c r="BU442" i="11"/>
  <c r="AN442" i="11"/>
  <c r="BT442" i="11"/>
  <c r="B442" i="11"/>
  <c r="D442" i="11" s="1"/>
  <c r="E442" i="11" s="1"/>
  <c r="F442" i="11" s="1"/>
  <c r="G442" i="11" s="1"/>
  <c r="H442" i="11" s="1"/>
  <c r="I442" i="11" s="1"/>
  <c r="J442" i="11" s="1"/>
  <c r="K442" i="11" s="1"/>
  <c r="L442" i="11" s="1"/>
  <c r="M442" i="11" s="1"/>
  <c r="N442" i="11" s="1"/>
  <c r="O442" i="11" s="1"/>
  <c r="P442" i="11" s="1"/>
  <c r="Q442" i="11" s="1"/>
  <c r="R442" i="11" s="1"/>
  <c r="S442" i="11" s="1"/>
  <c r="T442" i="11" s="1"/>
  <c r="U442" i="11" s="1"/>
  <c r="V442" i="11" s="1"/>
  <c r="W442" i="11" s="1"/>
  <c r="X442" i="11" s="1"/>
  <c r="Y442" i="11" s="1"/>
  <c r="Z442" i="11" s="1"/>
  <c r="AA442" i="11" s="1"/>
  <c r="AB442" i="11" s="1"/>
  <c r="AC442" i="11" s="1"/>
  <c r="AD442" i="11" s="1"/>
  <c r="AE442" i="11" s="1"/>
  <c r="AF442" i="11" s="1"/>
  <c r="AG442" i="11" s="1"/>
  <c r="AH442" i="11" s="1"/>
  <c r="AI442" i="11" s="1"/>
  <c r="AJ442" i="11" s="1"/>
  <c r="AK442" i="11" s="1"/>
  <c r="AL442" i="11" s="1"/>
  <c r="BD442" i="11"/>
  <c r="BL442" i="11"/>
  <c r="AZ442" i="11"/>
  <c r="BP442" i="11"/>
  <c r="AR442" i="11"/>
  <c r="AV442" i="11"/>
  <c r="BH442" i="11"/>
  <c r="AP442" i="11"/>
  <c r="AX442" i="11"/>
  <c r="BF442" i="11"/>
  <c r="BN442" i="11"/>
  <c r="AT442" i="11"/>
  <c r="BB442" i="11"/>
  <c r="BJ442" i="11"/>
  <c r="BR442" i="11"/>
  <c r="AM442" i="11"/>
  <c r="AQ442" i="11"/>
  <c r="AU442" i="11"/>
  <c r="AY442" i="11"/>
  <c r="BC442" i="11"/>
  <c r="BG442" i="11"/>
  <c r="BK442" i="11"/>
  <c r="BO442" i="11"/>
  <c r="BS442" i="11"/>
  <c r="AO442" i="11"/>
  <c r="AS442" i="11"/>
  <c r="AW442" i="11"/>
  <c r="BA442" i="11"/>
  <c r="BE442" i="11"/>
  <c r="BI442" i="11"/>
  <c r="BM442" i="11"/>
  <c r="BQ442" i="11"/>
  <c r="BF446" i="11"/>
  <c r="BN446" i="11"/>
  <c r="AP446" i="11"/>
  <c r="AX446" i="11"/>
  <c r="BT446" i="11"/>
  <c r="BL446" i="11"/>
  <c r="BD446" i="11"/>
  <c r="AV446" i="11"/>
  <c r="AN446" i="11"/>
  <c r="AT446" i="11"/>
  <c r="BJ446" i="11"/>
  <c r="BU446" i="11"/>
  <c r="BP446" i="11"/>
  <c r="BH446" i="11"/>
  <c r="AZ446" i="11"/>
  <c r="AR446" i="11"/>
  <c r="B446" i="11"/>
  <c r="D446" i="11" s="1"/>
  <c r="E446" i="11" s="1"/>
  <c r="F446" i="11" s="1"/>
  <c r="G446" i="11" s="1"/>
  <c r="H446" i="11" s="1"/>
  <c r="I446" i="11" s="1"/>
  <c r="J446" i="11" s="1"/>
  <c r="K446" i="11" s="1"/>
  <c r="L446" i="11" s="1"/>
  <c r="M446" i="11" s="1"/>
  <c r="N446" i="11" s="1"/>
  <c r="O446" i="11" s="1"/>
  <c r="P446" i="11" s="1"/>
  <c r="Q446" i="11" s="1"/>
  <c r="R446" i="11" s="1"/>
  <c r="S446" i="11" s="1"/>
  <c r="T446" i="11" s="1"/>
  <c r="U446" i="11" s="1"/>
  <c r="V446" i="11" s="1"/>
  <c r="W446" i="11" s="1"/>
  <c r="X446" i="11" s="1"/>
  <c r="Y446" i="11" s="1"/>
  <c r="Z446" i="11" s="1"/>
  <c r="AA446" i="11" s="1"/>
  <c r="AB446" i="11" s="1"/>
  <c r="AC446" i="11" s="1"/>
  <c r="AD446" i="11" s="1"/>
  <c r="AE446" i="11" s="1"/>
  <c r="AF446" i="11" s="1"/>
  <c r="AG446" i="11" s="1"/>
  <c r="AH446" i="11" s="1"/>
  <c r="AI446" i="11" s="1"/>
  <c r="AJ446" i="11" s="1"/>
  <c r="AK446" i="11" s="1"/>
  <c r="AL446" i="11" s="1"/>
  <c r="BB446" i="11"/>
  <c r="BR446" i="11"/>
  <c r="AM446" i="11"/>
  <c r="AQ446" i="11"/>
  <c r="AU446" i="11"/>
  <c r="AY446" i="11"/>
  <c r="BC446" i="11"/>
  <c r="BG446" i="11"/>
  <c r="BK446" i="11"/>
  <c r="BO446" i="11"/>
  <c r="BS446" i="11"/>
  <c r="AO446" i="11"/>
  <c r="AS446" i="11"/>
  <c r="AW446" i="11"/>
  <c r="BA446" i="11"/>
  <c r="BE446" i="11"/>
  <c r="BI446" i="11"/>
  <c r="BM446" i="11"/>
  <c r="BQ446" i="11"/>
  <c r="BF450" i="11"/>
  <c r="BN450" i="11"/>
  <c r="AP450" i="11"/>
  <c r="AX450" i="11"/>
  <c r="BT450" i="11"/>
  <c r="BL450" i="11"/>
  <c r="BD450" i="11"/>
  <c r="AV450" i="11"/>
  <c r="AN450" i="11"/>
  <c r="AT450" i="11"/>
  <c r="BJ450" i="11"/>
  <c r="BU450" i="11"/>
  <c r="BP450" i="11"/>
  <c r="BH450" i="11"/>
  <c r="AZ450" i="11"/>
  <c r="AR450" i="11"/>
  <c r="B450" i="11"/>
  <c r="D450" i="11" s="1"/>
  <c r="E450" i="11" s="1"/>
  <c r="F450" i="11" s="1"/>
  <c r="G450" i="11" s="1"/>
  <c r="H450" i="11" s="1"/>
  <c r="I450" i="11" s="1"/>
  <c r="J450" i="11" s="1"/>
  <c r="K450" i="11" s="1"/>
  <c r="L450" i="11" s="1"/>
  <c r="M450" i="11" s="1"/>
  <c r="N450" i="11" s="1"/>
  <c r="O450" i="11" s="1"/>
  <c r="P450" i="11" s="1"/>
  <c r="Q450" i="11" s="1"/>
  <c r="R450" i="11" s="1"/>
  <c r="S450" i="11" s="1"/>
  <c r="T450" i="11" s="1"/>
  <c r="U450" i="11" s="1"/>
  <c r="V450" i="11" s="1"/>
  <c r="W450" i="11" s="1"/>
  <c r="X450" i="11" s="1"/>
  <c r="Y450" i="11" s="1"/>
  <c r="Z450" i="11" s="1"/>
  <c r="AA450" i="11" s="1"/>
  <c r="AB450" i="11" s="1"/>
  <c r="AC450" i="11" s="1"/>
  <c r="AD450" i="11" s="1"/>
  <c r="AE450" i="11" s="1"/>
  <c r="AF450" i="11" s="1"/>
  <c r="AG450" i="11" s="1"/>
  <c r="AH450" i="11" s="1"/>
  <c r="AI450" i="11" s="1"/>
  <c r="AJ450" i="11" s="1"/>
  <c r="AK450" i="11" s="1"/>
  <c r="AL450" i="11" s="1"/>
  <c r="BB450" i="11"/>
  <c r="BR450" i="11"/>
  <c r="AM450" i="11"/>
  <c r="AQ450" i="11"/>
  <c r="AU450" i="11"/>
  <c r="AY450" i="11"/>
  <c r="BC450" i="11"/>
  <c r="BG450" i="11"/>
  <c r="BK450" i="11"/>
  <c r="BO450" i="11"/>
  <c r="BS450" i="11"/>
  <c r="AO450" i="11"/>
  <c r="AS450" i="11"/>
  <c r="AW450" i="11"/>
  <c r="BA450" i="11"/>
  <c r="BE450" i="11"/>
  <c r="BI450" i="11"/>
  <c r="BM450" i="11"/>
  <c r="BQ450" i="11"/>
  <c r="BF454" i="11"/>
  <c r="BN454" i="11"/>
  <c r="AP454" i="11"/>
  <c r="AX454" i="11"/>
  <c r="BT454" i="11"/>
  <c r="BL454" i="11"/>
  <c r="BD454" i="11"/>
  <c r="AV454" i="11"/>
  <c r="AN454" i="11"/>
  <c r="AT454" i="11"/>
  <c r="BJ454" i="11"/>
  <c r="BU454" i="11"/>
  <c r="BP454" i="11"/>
  <c r="BH454" i="11"/>
  <c r="AZ454" i="11"/>
  <c r="AR454" i="11"/>
  <c r="B454" i="11"/>
  <c r="D454" i="11" s="1"/>
  <c r="E454" i="11" s="1"/>
  <c r="F454" i="11" s="1"/>
  <c r="G454" i="11" s="1"/>
  <c r="H454" i="11" s="1"/>
  <c r="I454" i="11" s="1"/>
  <c r="J454" i="11" s="1"/>
  <c r="K454" i="11" s="1"/>
  <c r="L454" i="11" s="1"/>
  <c r="M454" i="11" s="1"/>
  <c r="N454" i="11" s="1"/>
  <c r="O454" i="11" s="1"/>
  <c r="P454" i="11" s="1"/>
  <c r="Q454" i="11" s="1"/>
  <c r="R454" i="11" s="1"/>
  <c r="S454" i="11" s="1"/>
  <c r="T454" i="11" s="1"/>
  <c r="U454" i="11" s="1"/>
  <c r="V454" i="11" s="1"/>
  <c r="W454" i="11" s="1"/>
  <c r="X454" i="11" s="1"/>
  <c r="Y454" i="11" s="1"/>
  <c r="Z454" i="11" s="1"/>
  <c r="AA454" i="11" s="1"/>
  <c r="AB454" i="11" s="1"/>
  <c r="AC454" i="11" s="1"/>
  <c r="AD454" i="11" s="1"/>
  <c r="AE454" i="11" s="1"/>
  <c r="AF454" i="11" s="1"/>
  <c r="AG454" i="11" s="1"/>
  <c r="AH454" i="11" s="1"/>
  <c r="AI454" i="11" s="1"/>
  <c r="AJ454" i="11" s="1"/>
  <c r="AK454" i="11" s="1"/>
  <c r="AL454" i="11" s="1"/>
  <c r="BB454" i="11"/>
  <c r="BR454" i="11"/>
  <c r="AM454" i="11"/>
  <c r="AQ454" i="11"/>
  <c r="AU454" i="11"/>
  <c r="AY454" i="11"/>
  <c r="BC454" i="11"/>
  <c r="BG454" i="11"/>
  <c r="BK454" i="11"/>
  <c r="BO454" i="11"/>
  <c r="BS454" i="11"/>
  <c r="AO454" i="11"/>
  <c r="AS454" i="11"/>
  <c r="AW454" i="11"/>
  <c r="BA454" i="11"/>
  <c r="BE454" i="11"/>
  <c r="BI454" i="11"/>
  <c r="BM454" i="11"/>
  <c r="BQ454" i="11"/>
  <c r="BF458" i="11"/>
  <c r="BN458" i="11"/>
  <c r="AP458" i="11"/>
  <c r="AX458" i="11"/>
  <c r="BT458" i="11"/>
  <c r="BL458" i="11"/>
  <c r="BD458" i="11"/>
  <c r="AV458" i="11"/>
  <c r="AN458" i="11"/>
  <c r="AT458" i="11"/>
  <c r="BJ458" i="11"/>
  <c r="BU458" i="11"/>
  <c r="BP458" i="11"/>
  <c r="BH458" i="11"/>
  <c r="AZ458" i="11"/>
  <c r="AR458" i="11"/>
  <c r="B458" i="11"/>
  <c r="D458" i="11" s="1"/>
  <c r="E458" i="11" s="1"/>
  <c r="F458" i="11" s="1"/>
  <c r="G458" i="11" s="1"/>
  <c r="H458" i="11" s="1"/>
  <c r="I458" i="11" s="1"/>
  <c r="J458" i="11" s="1"/>
  <c r="K458" i="11" s="1"/>
  <c r="L458" i="11" s="1"/>
  <c r="M458" i="11" s="1"/>
  <c r="N458" i="11" s="1"/>
  <c r="O458" i="11" s="1"/>
  <c r="P458" i="11" s="1"/>
  <c r="Q458" i="11" s="1"/>
  <c r="R458" i="11" s="1"/>
  <c r="S458" i="11" s="1"/>
  <c r="T458" i="11" s="1"/>
  <c r="U458" i="11" s="1"/>
  <c r="V458" i="11" s="1"/>
  <c r="W458" i="11" s="1"/>
  <c r="X458" i="11" s="1"/>
  <c r="Y458" i="11" s="1"/>
  <c r="Z458" i="11" s="1"/>
  <c r="AA458" i="11" s="1"/>
  <c r="AB458" i="11" s="1"/>
  <c r="AC458" i="11" s="1"/>
  <c r="AD458" i="11" s="1"/>
  <c r="AE458" i="11" s="1"/>
  <c r="AF458" i="11" s="1"/>
  <c r="AG458" i="11" s="1"/>
  <c r="AH458" i="11" s="1"/>
  <c r="AI458" i="11" s="1"/>
  <c r="AJ458" i="11" s="1"/>
  <c r="AK458" i="11" s="1"/>
  <c r="AL458" i="11" s="1"/>
  <c r="BB458" i="11"/>
  <c r="BR458" i="11"/>
  <c r="AM458" i="11"/>
  <c r="AQ458" i="11"/>
  <c r="AU458" i="11"/>
  <c r="AY458" i="11"/>
  <c r="BC458" i="11"/>
  <c r="BG458" i="11"/>
  <c r="BK458" i="11"/>
  <c r="BO458" i="11"/>
  <c r="BS458" i="11"/>
  <c r="AO458" i="11"/>
  <c r="AS458" i="11"/>
  <c r="AW458" i="11"/>
  <c r="BA458" i="11"/>
  <c r="BE458" i="11"/>
  <c r="BI458" i="11"/>
  <c r="BM458" i="11"/>
  <c r="BQ458" i="11"/>
  <c r="BF462" i="11"/>
  <c r="BN462" i="11"/>
  <c r="AP462" i="11"/>
  <c r="AX462" i="11"/>
  <c r="BT462" i="11"/>
  <c r="BL462" i="11"/>
  <c r="BD462" i="11"/>
  <c r="AV462" i="11"/>
  <c r="AN462" i="11"/>
  <c r="AT462" i="11"/>
  <c r="BJ462" i="11"/>
  <c r="BU462" i="11"/>
  <c r="BP462" i="11"/>
  <c r="BH462" i="11"/>
  <c r="AZ462" i="11"/>
  <c r="AR462" i="11"/>
  <c r="B462" i="11"/>
  <c r="D462" i="11" s="1"/>
  <c r="E462" i="11" s="1"/>
  <c r="F462" i="11" s="1"/>
  <c r="G462" i="11" s="1"/>
  <c r="H462" i="11" s="1"/>
  <c r="I462" i="11" s="1"/>
  <c r="J462" i="11" s="1"/>
  <c r="K462" i="11" s="1"/>
  <c r="L462" i="11" s="1"/>
  <c r="M462" i="11" s="1"/>
  <c r="N462" i="11" s="1"/>
  <c r="O462" i="11" s="1"/>
  <c r="P462" i="11" s="1"/>
  <c r="Q462" i="11" s="1"/>
  <c r="R462" i="11" s="1"/>
  <c r="S462" i="11" s="1"/>
  <c r="T462" i="11" s="1"/>
  <c r="U462" i="11" s="1"/>
  <c r="V462" i="11" s="1"/>
  <c r="W462" i="11" s="1"/>
  <c r="X462" i="11" s="1"/>
  <c r="Y462" i="11" s="1"/>
  <c r="Z462" i="11" s="1"/>
  <c r="AA462" i="11" s="1"/>
  <c r="AB462" i="11" s="1"/>
  <c r="AC462" i="11" s="1"/>
  <c r="AD462" i="11" s="1"/>
  <c r="AE462" i="11" s="1"/>
  <c r="AF462" i="11" s="1"/>
  <c r="AG462" i="11" s="1"/>
  <c r="AH462" i="11" s="1"/>
  <c r="AI462" i="11" s="1"/>
  <c r="AJ462" i="11" s="1"/>
  <c r="AK462" i="11" s="1"/>
  <c r="AL462" i="11" s="1"/>
  <c r="BB462" i="11"/>
  <c r="BR462" i="11"/>
  <c r="AO462" i="11"/>
  <c r="AS462" i="11"/>
  <c r="AW462" i="11"/>
  <c r="BA462" i="11"/>
  <c r="BE462" i="11"/>
  <c r="BI462" i="11"/>
  <c r="BM462" i="11"/>
  <c r="BQ462" i="11"/>
  <c r="AM462" i="11"/>
  <c r="AQ462" i="11"/>
  <c r="AU462" i="11"/>
  <c r="AY462" i="11"/>
  <c r="BC462" i="11"/>
  <c r="BG462" i="11"/>
  <c r="BK462" i="11"/>
  <c r="BO462" i="11"/>
  <c r="BS462" i="11"/>
  <c r="BF466" i="11"/>
  <c r="BN466" i="11"/>
  <c r="AP466" i="11"/>
  <c r="AX466" i="11"/>
  <c r="BT466" i="11"/>
  <c r="BL466" i="11"/>
  <c r="BD466" i="11"/>
  <c r="AV466" i="11"/>
  <c r="AN466" i="11"/>
  <c r="AT466" i="11"/>
  <c r="BJ466" i="11"/>
  <c r="BU466" i="11"/>
  <c r="BP466" i="11"/>
  <c r="BH466" i="11"/>
  <c r="AZ466" i="11"/>
  <c r="AR466" i="11"/>
  <c r="B466" i="11"/>
  <c r="D466" i="11" s="1"/>
  <c r="E466" i="11" s="1"/>
  <c r="F466" i="11" s="1"/>
  <c r="G466" i="11" s="1"/>
  <c r="H466" i="11" s="1"/>
  <c r="I466" i="11" s="1"/>
  <c r="J466" i="11" s="1"/>
  <c r="K466" i="11" s="1"/>
  <c r="L466" i="11" s="1"/>
  <c r="M466" i="11" s="1"/>
  <c r="N466" i="11" s="1"/>
  <c r="O466" i="11" s="1"/>
  <c r="P466" i="11" s="1"/>
  <c r="Q466" i="11" s="1"/>
  <c r="R466" i="11" s="1"/>
  <c r="S466" i="11" s="1"/>
  <c r="T466" i="11" s="1"/>
  <c r="U466" i="11" s="1"/>
  <c r="V466" i="11" s="1"/>
  <c r="W466" i="11" s="1"/>
  <c r="X466" i="11" s="1"/>
  <c r="Y466" i="11" s="1"/>
  <c r="Z466" i="11" s="1"/>
  <c r="AA466" i="11" s="1"/>
  <c r="AB466" i="11" s="1"/>
  <c r="AC466" i="11" s="1"/>
  <c r="AD466" i="11" s="1"/>
  <c r="AE466" i="11" s="1"/>
  <c r="AF466" i="11" s="1"/>
  <c r="AG466" i="11" s="1"/>
  <c r="AH466" i="11" s="1"/>
  <c r="AI466" i="11" s="1"/>
  <c r="AJ466" i="11" s="1"/>
  <c r="AK466" i="11" s="1"/>
  <c r="AL466" i="11" s="1"/>
  <c r="BB466" i="11"/>
  <c r="BR466" i="11"/>
  <c r="AO466" i="11"/>
  <c r="AS466" i="11"/>
  <c r="AW466" i="11"/>
  <c r="BA466" i="11"/>
  <c r="BE466" i="11"/>
  <c r="BI466" i="11"/>
  <c r="BM466" i="11"/>
  <c r="BQ466" i="11"/>
  <c r="AM466" i="11"/>
  <c r="AQ466" i="11"/>
  <c r="AU466" i="11"/>
  <c r="AY466" i="11"/>
  <c r="BC466" i="11"/>
  <c r="BG466" i="11"/>
  <c r="BK466" i="11"/>
  <c r="BO466" i="11"/>
  <c r="BS466" i="11"/>
  <c r="AX470" i="11"/>
  <c r="AP470" i="11"/>
  <c r="BF470" i="11"/>
  <c r="BN470" i="11"/>
  <c r="BT470" i="11"/>
  <c r="BL470" i="11"/>
  <c r="BD470" i="11"/>
  <c r="AV470" i="11"/>
  <c r="AN470" i="11"/>
  <c r="AT470" i="11"/>
  <c r="BJ470" i="11"/>
  <c r="BU470" i="11"/>
  <c r="BP470" i="11"/>
  <c r="BH470" i="11"/>
  <c r="AZ470" i="11"/>
  <c r="AR470" i="11"/>
  <c r="B470" i="11"/>
  <c r="D470" i="11" s="1"/>
  <c r="E470" i="11" s="1"/>
  <c r="F470" i="11" s="1"/>
  <c r="G470" i="11" s="1"/>
  <c r="H470" i="11" s="1"/>
  <c r="I470" i="11" s="1"/>
  <c r="J470" i="11" s="1"/>
  <c r="K470" i="11" s="1"/>
  <c r="L470" i="11" s="1"/>
  <c r="M470" i="11" s="1"/>
  <c r="N470" i="11" s="1"/>
  <c r="O470" i="11" s="1"/>
  <c r="P470" i="11" s="1"/>
  <c r="Q470" i="11" s="1"/>
  <c r="R470" i="11" s="1"/>
  <c r="S470" i="11" s="1"/>
  <c r="T470" i="11" s="1"/>
  <c r="U470" i="11" s="1"/>
  <c r="V470" i="11" s="1"/>
  <c r="W470" i="11" s="1"/>
  <c r="X470" i="11" s="1"/>
  <c r="Y470" i="11" s="1"/>
  <c r="Z470" i="11" s="1"/>
  <c r="AA470" i="11" s="1"/>
  <c r="AB470" i="11" s="1"/>
  <c r="AC470" i="11" s="1"/>
  <c r="AD470" i="11" s="1"/>
  <c r="AE470" i="11" s="1"/>
  <c r="AF470" i="11" s="1"/>
  <c r="AG470" i="11" s="1"/>
  <c r="AH470" i="11" s="1"/>
  <c r="AI470" i="11" s="1"/>
  <c r="AJ470" i="11" s="1"/>
  <c r="AK470" i="11" s="1"/>
  <c r="AL470" i="11" s="1"/>
  <c r="BB470" i="11"/>
  <c r="BR470" i="11"/>
  <c r="AO470" i="11"/>
  <c r="AS470" i="11"/>
  <c r="AW470" i="11"/>
  <c r="BA470" i="11"/>
  <c r="BE470" i="11"/>
  <c r="BI470" i="11"/>
  <c r="BM470" i="11"/>
  <c r="BQ470" i="11"/>
  <c r="AM470" i="11"/>
  <c r="AQ470" i="11"/>
  <c r="AU470" i="11"/>
  <c r="AY470" i="11"/>
  <c r="BC470" i="11"/>
  <c r="BG470" i="11"/>
  <c r="BK470" i="11"/>
  <c r="BO470" i="11"/>
  <c r="BS470" i="11"/>
  <c r="AX474" i="11"/>
  <c r="AP474" i="11"/>
  <c r="BF474" i="11"/>
  <c r="BN474" i="11"/>
  <c r="BT474" i="11"/>
  <c r="BL474" i="11"/>
  <c r="BD474" i="11"/>
  <c r="AV474" i="11"/>
  <c r="AN474" i="11"/>
  <c r="AT474" i="11"/>
  <c r="BJ474" i="11"/>
  <c r="BU474" i="11"/>
  <c r="BP474" i="11"/>
  <c r="BH474" i="11"/>
  <c r="AZ474" i="11"/>
  <c r="AR474" i="11"/>
  <c r="B474" i="11"/>
  <c r="D474" i="11" s="1"/>
  <c r="E474" i="11" s="1"/>
  <c r="F474" i="11" s="1"/>
  <c r="G474" i="11" s="1"/>
  <c r="H474" i="11" s="1"/>
  <c r="I474" i="11" s="1"/>
  <c r="J474" i="11" s="1"/>
  <c r="K474" i="11" s="1"/>
  <c r="L474" i="11" s="1"/>
  <c r="M474" i="11" s="1"/>
  <c r="N474" i="11" s="1"/>
  <c r="O474" i="11" s="1"/>
  <c r="P474" i="11" s="1"/>
  <c r="Q474" i="11" s="1"/>
  <c r="R474" i="11" s="1"/>
  <c r="S474" i="11" s="1"/>
  <c r="T474" i="11" s="1"/>
  <c r="U474" i="11" s="1"/>
  <c r="V474" i="11" s="1"/>
  <c r="W474" i="11" s="1"/>
  <c r="X474" i="11" s="1"/>
  <c r="Y474" i="11" s="1"/>
  <c r="Z474" i="11" s="1"/>
  <c r="AA474" i="11" s="1"/>
  <c r="AB474" i="11" s="1"/>
  <c r="AC474" i="11" s="1"/>
  <c r="AD474" i="11" s="1"/>
  <c r="AE474" i="11" s="1"/>
  <c r="AF474" i="11" s="1"/>
  <c r="AG474" i="11" s="1"/>
  <c r="AH474" i="11" s="1"/>
  <c r="AI474" i="11" s="1"/>
  <c r="AJ474" i="11" s="1"/>
  <c r="AK474" i="11" s="1"/>
  <c r="AL474" i="11" s="1"/>
  <c r="BB474" i="11"/>
  <c r="BR474" i="11"/>
  <c r="AO474" i="11"/>
  <c r="AS474" i="11"/>
  <c r="AW474" i="11"/>
  <c r="BA474" i="11"/>
  <c r="BE474" i="11"/>
  <c r="BI474" i="11"/>
  <c r="BM474" i="11"/>
  <c r="BQ474" i="11"/>
  <c r="AM474" i="11"/>
  <c r="AQ474" i="11"/>
  <c r="AU474" i="11"/>
  <c r="AY474" i="11"/>
  <c r="BC474" i="11"/>
  <c r="BG474" i="11"/>
  <c r="BK474" i="11"/>
  <c r="BO474" i="11"/>
  <c r="BS474" i="11"/>
  <c r="BH478" i="11"/>
  <c r="AR478" i="11"/>
  <c r="BU478" i="11"/>
  <c r="BL478" i="11"/>
  <c r="AV478" i="11"/>
  <c r="B478" i="11"/>
  <c r="D478" i="11" s="1"/>
  <c r="E478" i="11" s="1"/>
  <c r="F478" i="11" s="1"/>
  <c r="G478" i="11" s="1"/>
  <c r="H478" i="11" s="1"/>
  <c r="I478" i="11" s="1"/>
  <c r="J478" i="11" s="1"/>
  <c r="K478" i="11" s="1"/>
  <c r="L478" i="11" s="1"/>
  <c r="M478" i="11" s="1"/>
  <c r="N478" i="11" s="1"/>
  <c r="O478" i="11" s="1"/>
  <c r="P478" i="11" s="1"/>
  <c r="Q478" i="11" s="1"/>
  <c r="R478" i="11" s="1"/>
  <c r="S478" i="11" s="1"/>
  <c r="T478" i="11" s="1"/>
  <c r="U478" i="11" s="1"/>
  <c r="V478" i="11" s="1"/>
  <c r="W478" i="11" s="1"/>
  <c r="X478" i="11" s="1"/>
  <c r="Y478" i="11" s="1"/>
  <c r="Z478" i="11" s="1"/>
  <c r="AA478" i="11" s="1"/>
  <c r="AB478" i="11" s="1"/>
  <c r="AC478" i="11" s="1"/>
  <c r="AD478" i="11" s="1"/>
  <c r="AE478" i="11" s="1"/>
  <c r="AF478" i="11" s="1"/>
  <c r="AG478" i="11" s="1"/>
  <c r="AH478" i="11" s="1"/>
  <c r="AI478" i="11" s="1"/>
  <c r="AJ478" i="11" s="1"/>
  <c r="AK478" i="11" s="1"/>
  <c r="AL478" i="11" s="1"/>
  <c r="BP478" i="11"/>
  <c r="BT478" i="11"/>
  <c r="BD478" i="11"/>
  <c r="AN478" i="11"/>
  <c r="AZ478" i="11"/>
  <c r="AP478" i="11"/>
  <c r="AX478" i="11"/>
  <c r="BF478" i="11"/>
  <c r="BN478" i="11"/>
  <c r="AT478" i="11"/>
  <c r="BB478" i="11"/>
  <c r="BJ478" i="11"/>
  <c r="BR478" i="11"/>
  <c r="AO478" i="11"/>
  <c r="AS478" i="11"/>
  <c r="AW478" i="11"/>
  <c r="BA478" i="11"/>
  <c r="BE478" i="11"/>
  <c r="BI478" i="11"/>
  <c r="BM478" i="11"/>
  <c r="BQ478" i="11"/>
  <c r="AM478" i="11"/>
  <c r="AQ478" i="11"/>
  <c r="AU478" i="11"/>
  <c r="AY478" i="11"/>
  <c r="BC478" i="11"/>
  <c r="BG478" i="11"/>
  <c r="BK478" i="11"/>
  <c r="BO478" i="11"/>
  <c r="BS478" i="11"/>
  <c r="BH482" i="11"/>
  <c r="AR482" i="11"/>
  <c r="BU482" i="11"/>
  <c r="BL482" i="11"/>
  <c r="AV482" i="11"/>
  <c r="B482" i="11"/>
  <c r="D482" i="11" s="1"/>
  <c r="E482" i="11" s="1"/>
  <c r="F482" i="11" s="1"/>
  <c r="G482" i="11" s="1"/>
  <c r="H482" i="11" s="1"/>
  <c r="I482" i="11" s="1"/>
  <c r="J482" i="11" s="1"/>
  <c r="K482" i="11" s="1"/>
  <c r="L482" i="11" s="1"/>
  <c r="M482" i="11" s="1"/>
  <c r="N482" i="11" s="1"/>
  <c r="O482" i="11" s="1"/>
  <c r="P482" i="11" s="1"/>
  <c r="Q482" i="11" s="1"/>
  <c r="R482" i="11" s="1"/>
  <c r="S482" i="11" s="1"/>
  <c r="T482" i="11" s="1"/>
  <c r="U482" i="11" s="1"/>
  <c r="V482" i="11" s="1"/>
  <c r="W482" i="11" s="1"/>
  <c r="X482" i="11" s="1"/>
  <c r="Y482" i="11" s="1"/>
  <c r="Z482" i="11" s="1"/>
  <c r="AA482" i="11" s="1"/>
  <c r="AB482" i="11" s="1"/>
  <c r="AC482" i="11" s="1"/>
  <c r="AD482" i="11" s="1"/>
  <c r="AE482" i="11" s="1"/>
  <c r="AF482" i="11" s="1"/>
  <c r="AG482" i="11" s="1"/>
  <c r="AH482" i="11" s="1"/>
  <c r="AI482" i="11" s="1"/>
  <c r="AJ482" i="11" s="1"/>
  <c r="AK482" i="11" s="1"/>
  <c r="AL482" i="11" s="1"/>
  <c r="BP482" i="11"/>
  <c r="BT482" i="11"/>
  <c r="BD482" i="11"/>
  <c r="AN482" i="11"/>
  <c r="AZ482" i="11"/>
  <c r="AP482" i="11"/>
  <c r="AX482" i="11"/>
  <c r="BF482" i="11"/>
  <c r="BN482" i="11"/>
  <c r="AT482" i="11"/>
  <c r="BB482" i="11"/>
  <c r="BJ482" i="11"/>
  <c r="BR482" i="11"/>
  <c r="AO482" i="11"/>
  <c r="AS482" i="11"/>
  <c r="AW482" i="11"/>
  <c r="BA482" i="11"/>
  <c r="BE482" i="11"/>
  <c r="BI482" i="11"/>
  <c r="BM482" i="11"/>
  <c r="BQ482" i="11"/>
  <c r="AM482" i="11"/>
  <c r="AQ482" i="11"/>
  <c r="AU482" i="11"/>
  <c r="AY482" i="11"/>
  <c r="BC482" i="11"/>
  <c r="BG482" i="11"/>
  <c r="BK482" i="11"/>
  <c r="BO482" i="11"/>
  <c r="BS482" i="11"/>
  <c r="BU486" i="11"/>
  <c r="B486" i="11"/>
  <c r="D486" i="11" s="1"/>
  <c r="E486" i="11" s="1"/>
  <c r="F486" i="11" s="1"/>
  <c r="G486" i="11" s="1"/>
  <c r="H486" i="11" s="1"/>
  <c r="I486" i="11" s="1"/>
  <c r="J486" i="11" s="1"/>
  <c r="K486" i="11" s="1"/>
  <c r="L486" i="11" s="1"/>
  <c r="M486" i="11" s="1"/>
  <c r="N486" i="11" s="1"/>
  <c r="O486" i="11" s="1"/>
  <c r="P486" i="11" s="1"/>
  <c r="Q486" i="11" s="1"/>
  <c r="R486" i="11" s="1"/>
  <c r="S486" i="11" s="1"/>
  <c r="T486" i="11" s="1"/>
  <c r="U486" i="11" s="1"/>
  <c r="V486" i="11" s="1"/>
  <c r="W486" i="11" s="1"/>
  <c r="X486" i="11" s="1"/>
  <c r="Y486" i="11" s="1"/>
  <c r="Z486" i="11" s="1"/>
  <c r="AA486" i="11" s="1"/>
  <c r="AB486" i="11" s="1"/>
  <c r="AC486" i="11" s="1"/>
  <c r="AD486" i="11" s="1"/>
  <c r="AE486" i="11" s="1"/>
  <c r="AF486" i="11" s="1"/>
  <c r="AG486" i="11" s="1"/>
  <c r="AH486" i="11" s="1"/>
  <c r="AI486" i="11" s="1"/>
  <c r="AJ486" i="11" s="1"/>
  <c r="AK486" i="11" s="1"/>
  <c r="AL486" i="11" s="1"/>
  <c r="BT486" i="11"/>
  <c r="AN486" i="11"/>
  <c r="AV486" i="11"/>
  <c r="AZ486" i="11"/>
  <c r="BP486" i="11"/>
  <c r="BD486" i="11"/>
  <c r="BL486" i="11"/>
  <c r="AR486" i="11"/>
  <c r="BH486" i="11"/>
  <c r="AP486" i="11"/>
  <c r="AX486" i="11"/>
  <c r="BF486" i="11"/>
  <c r="BN486" i="11"/>
  <c r="AT486" i="11"/>
  <c r="BB486" i="11"/>
  <c r="BJ486" i="11"/>
  <c r="BR486" i="11"/>
  <c r="AO486" i="11"/>
  <c r="AS486" i="11"/>
  <c r="AW486" i="11"/>
  <c r="BA486" i="11"/>
  <c r="BE486" i="11"/>
  <c r="BI486" i="11"/>
  <c r="BM486" i="11"/>
  <c r="BQ486" i="11"/>
  <c r="AM486" i="11"/>
  <c r="AQ486" i="11"/>
  <c r="AU486" i="11"/>
  <c r="AY486" i="11"/>
  <c r="BC486" i="11"/>
  <c r="BG486" i="11"/>
  <c r="BK486" i="11"/>
  <c r="BO486" i="11"/>
  <c r="BS486" i="11"/>
  <c r="BU490" i="11"/>
  <c r="AN490" i="11"/>
  <c r="B490" i="11"/>
  <c r="D490" i="11" s="1"/>
  <c r="E490" i="11" s="1"/>
  <c r="F490" i="11" s="1"/>
  <c r="G490" i="11" s="1"/>
  <c r="H490" i="11" s="1"/>
  <c r="I490" i="11" s="1"/>
  <c r="J490" i="11" s="1"/>
  <c r="K490" i="11" s="1"/>
  <c r="L490" i="11" s="1"/>
  <c r="M490" i="11" s="1"/>
  <c r="N490" i="11" s="1"/>
  <c r="O490" i="11" s="1"/>
  <c r="P490" i="11" s="1"/>
  <c r="Q490" i="11" s="1"/>
  <c r="R490" i="11" s="1"/>
  <c r="S490" i="11" s="1"/>
  <c r="T490" i="11" s="1"/>
  <c r="U490" i="11" s="1"/>
  <c r="V490" i="11" s="1"/>
  <c r="W490" i="11" s="1"/>
  <c r="X490" i="11" s="1"/>
  <c r="Y490" i="11" s="1"/>
  <c r="Z490" i="11" s="1"/>
  <c r="AA490" i="11" s="1"/>
  <c r="AB490" i="11" s="1"/>
  <c r="AC490" i="11" s="1"/>
  <c r="AD490" i="11" s="1"/>
  <c r="AE490" i="11" s="1"/>
  <c r="AF490" i="11" s="1"/>
  <c r="AG490" i="11" s="1"/>
  <c r="AH490" i="11" s="1"/>
  <c r="AI490" i="11" s="1"/>
  <c r="AJ490" i="11" s="1"/>
  <c r="AK490" i="11" s="1"/>
  <c r="AL490" i="11" s="1"/>
  <c r="BT490" i="11"/>
  <c r="BD490" i="11"/>
  <c r="AV490" i="11"/>
  <c r="BL490" i="11"/>
  <c r="AZ490" i="11"/>
  <c r="BP490" i="11"/>
  <c r="AR490" i="11"/>
  <c r="BH490" i="11"/>
  <c r="AP490" i="11"/>
  <c r="AX490" i="11"/>
  <c r="BF490" i="11"/>
  <c r="BN490" i="11"/>
  <c r="AT490" i="11"/>
  <c r="BB490" i="11"/>
  <c r="BJ490" i="11"/>
  <c r="BR490" i="11"/>
  <c r="AO490" i="11"/>
  <c r="AS490" i="11"/>
  <c r="AW490" i="11"/>
  <c r="BA490" i="11"/>
  <c r="BE490" i="11"/>
  <c r="BI490" i="11"/>
  <c r="BM490" i="11"/>
  <c r="BQ490" i="11"/>
  <c r="AM490" i="11"/>
  <c r="AQ490" i="11"/>
  <c r="AU490" i="11"/>
  <c r="AY490" i="11"/>
  <c r="BC490" i="11"/>
  <c r="BG490" i="11"/>
  <c r="BK490" i="11"/>
  <c r="BO490" i="11"/>
  <c r="BS490" i="11"/>
  <c r="BH494" i="11"/>
  <c r="AR494" i="11"/>
  <c r="BT494" i="11"/>
  <c r="BD494" i="11"/>
  <c r="AN494" i="11"/>
  <c r="AZ494" i="11"/>
  <c r="BU494" i="11"/>
  <c r="BL494" i="11"/>
  <c r="AV494" i="11"/>
  <c r="B494" i="11"/>
  <c r="D494" i="11" s="1"/>
  <c r="E494" i="11" s="1"/>
  <c r="F494" i="11" s="1"/>
  <c r="G494" i="11" s="1"/>
  <c r="H494" i="11" s="1"/>
  <c r="I494" i="11" s="1"/>
  <c r="J494" i="11" s="1"/>
  <c r="K494" i="11" s="1"/>
  <c r="L494" i="11" s="1"/>
  <c r="M494" i="11" s="1"/>
  <c r="N494" i="11" s="1"/>
  <c r="O494" i="11" s="1"/>
  <c r="P494" i="11" s="1"/>
  <c r="Q494" i="11" s="1"/>
  <c r="R494" i="11" s="1"/>
  <c r="S494" i="11" s="1"/>
  <c r="T494" i="11" s="1"/>
  <c r="U494" i="11" s="1"/>
  <c r="V494" i="11" s="1"/>
  <c r="W494" i="11" s="1"/>
  <c r="X494" i="11" s="1"/>
  <c r="Y494" i="11" s="1"/>
  <c r="Z494" i="11" s="1"/>
  <c r="AA494" i="11" s="1"/>
  <c r="AB494" i="11" s="1"/>
  <c r="AC494" i="11" s="1"/>
  <c r="AD494" i="11" s="1"/>
  <c r="AE494" i="11" s="1"/>
  <c r="AF494" i="11" s="1"/>
  <c r="AG494" i="11" s="1"/>
  <c r="AH494" i="11" s="1"/>
  <c r="AI494" i="11" s="1"/>
  <c r="AJ494" i="11" s="1"/>
  <c r="AK494" i="11" s="1"/>
  <c r="AL494" i="11" s="1"/>
  <c r="BP494" i="11"/>
  <c r="AT494" i="11"/>
  <c r="BB494" i="11"/>
  <c r="BJ494" i="11"/>
  <c r="BR494" i="11"/>
  <c r="AP494" i="11"/>
  <c r="AX494" i="11"/>
  <c r="BF494" i="11"/>
  <c r="BN494" i="11"/>
  <c r="AM494" i="11"/>
  <c r="AQ494" i="11"/>
  <c r="AU494" i="11"/>
  <c r="AY494" i="11"/>
  <c r="BC494" i="11"/>
  <c r="BG494" i="11"/>
  <c r="BK494" i="11"/>
  <c r="BO494" i="11"/>
  <c r="BS494" i="11"/>
  <c r="AO494" i="11"/>
  <c r="AS494" i="11"/>
  <c r="AW494" i="11"/>
  <c r="BA494" i="11"/>
  <c r="BE494" i="11"/>
  <c r="BI494" i="11"/>
  <c r="BM494" i="11"/>
  <c r="BQ494" i="11"/>
  <c r="BH498" i="11"/>
  <c r="BT498" i="11"/>
  <c r="BD498" i="11"/>
  <c r="AN498" i="11"/>
  <c r="AZ498" i="11"/>
  <c r="AR498" i="11"/>
  <c r="BU498" i="11"/>
  <c r="BL498" i="11"/>
  <c r="AV498" i="11"/>
  <c r="B498" i="11"/>
  <c r="D498" i="11" s="1"/>
  <c r="E498" i="11" s="1"/>
  <c r="F498" i="11" s="1"/>
  <c r="G498" i="11" s="1"/>
  <c r="H498" i="11" s="1"/>
  <c r="I498" i="11" s="1"/>
  <c r="J498" i="11" s="1"/>
  <c r="K498" i="11" s="1"/>
  <c r="L498" i="11" s="1"/>
  <c r="M498" i="11" s="1"/>
  <c r="N498" i="11" s="1"/>
  <c r="O498" i="11" s="1"/>
  <c r="P498" i="11" s="1"/>
  <c r="Q498" i="11" s="1"/>
  <c r="R498" i="11" s="1"/>
  <c r="S498" i="11" s="1"/>
  <c r="T498" i="11" s="1"/>
  <c r="U498" i="11" s="1"/>
  <c r="V498" i="11" s="1"/>
  <c r="W498" i="11" s="1"/>
  <c r="X498" i="11" s="1"/>
  <c r="Y498" i="11" s="1"/>
  <c r="Z498" i="11" s="1"/>
  <c r="AA498" i="11" s="1"/>
  <c r="AB498" i="11" s="1"/>
  <c r="AC498" i="11" s="1"/>
  <c r="AD498" i="11" s="1"/>
  <c r="AE498" i="11" s="1"/>
  <c r="AF498" i="11" s="1"/>
  <c r="AG498" i="11" s="1"/>
  <c r="AH498" i="11" s="1"/>
  <c r="AI498" i="11" s="1"/>
  <c r="AJ498" i="11" s="1"/>
  <c r="AK498" i="11" s="1"/>
  <c r="AL498" i="11" s="1"/>
  <c r="BP498" i="11"/>
  <c r="AT498" i="11"/>
  <c r="BB498" i="11"/>
  <c r="BJ498" i="11"/>
  <c r="BR498" i="11"/>
  <c r="AP498" i="11"/>
  <c r="AX498" i="11"/>
  <c r="BF498" i="11"/>
  <c r="BN498" i="11"/>
  <c r="AO498" i="11"/>
  <c r="AS498" i="11"/>
  <c r="AW498" i="11"/>
  <c r="BA498" i="11"/>
  <c r="BE498" i="11"/>
  <c r="BI498" i="11"/>
  <c r="BM498" i="11"/>
  <c r="BQ498" i="11"/>
  <c r="AM498" i="11"/>
  <c r="AU498" i="11"/>
  <c r="BC498" i="11"/>
  <c r="BK498" i="11"/>
  <c r="BS498" i="11"/>
  <c r="AQ498" i="11"/>
  <c r="AY498" i="11"/>
  <c r="BG498" i="11"/>
  <c r="BO498" i="11"/>
  <c r="BT502" i="11"/>
  <c r="BD502" i="11"/>
  <c r="AN502" i="11"/>
  <c r="BH502" i="11"/>
  <c r="BP502" i="11"/>
  <c r="BL502" i="11"/>
  <c r="B502" i="11"/>
  <c r="D502" i="11" s="1"/>
  <c r="E502" i="11" s="1"/>
  <c r="F502" i="11" s="1"/>
  <c r="G502" i="11" s="1"/>
  <c r="H502" i="11" s="1"/>
  <c r="I502" i="11" s="1"/>
  <c r="J502" i="11" s="1"/>
  <c r="K502" i="11" s="1"/>
  <c r="L502" i="11" s="1"/>
  <c r="M502" i="11" s="1"/>
  <c r="N502" i="11" s="1"/>
  <c r="O502" i="11" s="1"/>
  <c r="P502" i="11" s="1"/>
  <c r="Q502" i="11" s="1"/>
  <c r="R502" i="11" s="1"/>
  <c r="S502" i="11" s="1"/>
  <c r="T502" i="11" s="1"/>
  <c r="U502" i="11" s="1"/>
  <c r="V502" i="11" s="1"/>
  <c r="W502" i="11" s="1"/>
  <c r="X502" i="11" s="1"/>
  <c r="Y502" i="11" s="1"/>
  <c r="Z502" i="11" s="1"/>
  <c r="AA502" i="11" s="1"/>
  <c r="AB502" i="11" s="1"/>
  <c r="AC502" i="11" s="1"/>
  <c r="AD502" i="11" s="1"/>
  <c r="AE502" i="11" s="1"/>
  <c r="AF502" i="11" s="1"/>
  <c r="AG502" i="11" s="1"/>
  <c r="AH502" i="11" s="1"/>
  <c r="AI502" i="11" s="1"/>
  <c r="AJ502" i="11" s="1"/>
  <c r="AK502" i="11" s="1"/>
  <c r="AL502" i="11" s="1"/>
  <c r="BU502" i="11"/>
  <c r="AV502" i="11"/>
  <c r="AR502" i="11"/>
  <c r="AZ502" i="11"/>
  <c r="AT502" i="11"/>
  <c r="BB502" i="11"/>
  <c r="BJ502" i="11"/>
  <c r="BR502" i="11"/>
  <c r="AP502" i="11"/>
  <c r="AX502" i="11"/>
  <c r="BF502" i="11"/>
  <c r="BN502" i="11"/>
  <c r="AM502" i="11"/>
  <c r="AQ502" i="11"/>
  <c r="AU502" i="11"/>
  <c r="AY502" i="11"/>
  <c r="BC502" i="11"/>
  <c r="BG502" i="11"/>
  <c r="BK502" i="11"/>
  <c r="BO502" i="11"/>
  <c r="BS502" i="11"/>
  <c r="AO502" i="11"/>
  <c r="AS502" i="11"/>
  <c r="AW502" i="11"/>
  <c r="BA502" i="11"/>
  <c r="BE502" i="11"/>
  <c r="BI502" i="11"/>
  <c r="BM502" i="11"/>
  <c r="BQ502" i="11"/>
  <c r="BH506" i="11"/>
  <c r="AR506" i="11"/>
  <c r="BT506" i="11"/>
  <c r="BD506" i="11"/>
  <c r="AN506" i="11"/>
  <c r="AZ506" i="11"/>
  <c r="BU506" i="11"/>
  <c r="BL506" i="11"/>
  <c r="AV506" i="11"/>
  <c r="B506" i="11"/>
  <c r="D506" i="11" s="1"/>
  <c r="E506" i="11" s="1"/>
  <c r="F506" i="11" s="1"/>
  <c r="G506" i="11" s="1"/>
  <c r="H506" i="11" s="1"/>
  <c r="I506" i="11" s="1"/>
  <c r="J506" i="11" s="1"/>
  <c r="K506" i="11" s="1"/>
  <c r="L506" i="11" s="1"/>
  <c r="M506" i="11" s="1"/>
  <c r="N506" i="11" s="1"/>
  <c r="O506" i="11" s="1"/>
  <c r="P506" i="11" s="1"/>
  <c r="Q506" i="11" s="1"/>
  <c r="R506" i="11" s="1"/>
  <c r="S506" i="11" s="1"/>
  <c r="T506" i="11" s="1"/>
  <c r="U506" i="11" s="1"/>
  <c r="V506" i="11" s="1"/>
  <c r="W506" i="11" s="1"/>
  <c r="X506" i="11" s="1"/>
  <c r="Y506" i="11" s="1"/>
  <c r="Z506" i="11" s="1"/>
  <c r="AA506" i="11" s="1"/>
  <c r="AB506" i="11" s="1"/>
  <c r="AC506" i="11" s="1"/>
  <c r="AD506" i="11" s="1"/>
  <c r="AE506" i="11" s="1"/>
  <c r="AF506" i="11" s="1"/>
  <c r="AG506" i="11" s="1"/>
  <c r="AH506" i="11" s="1"/>
  <c r="AI506" i="11" s="1"/>
  <c r="AJ506" i="11" s="1"/>
  <c r="AK506" i="11" s="1"/>
  <c r="AL506" i="11" s="1"/>
  <c r="BP506" i="11"/>
  <c r="AT506" i="11"/>
  <c r="BB506" i="11"/>
  <c r="BJ506" i="11"/>
  <c r="BR506" i="11"/>
  <c r="AP506" i="11"/>
  <c r="AX506" i="11"/>
  <c r="BF506" i="11"/>
  <c r="BN506" i="11"/>
  <c r="AM506" i="11"/>
  <c r="AQ506" i="11"/>
  <c r="AU506" i="11"/>
  <c r="AY506" i="11"/>
  <c r="BC506" i="11"/>
  <c r="BG506" i="11"/>
  <c r="BK506" i="11"/>
  <c r="BO506" i="11"/>
  <c r="BS506" i="11"/>
  <c r="AO506" i="11"/>
  <c r="AS506" i="11"/>
  <c r="AW506" i="11"/>
  <c r="BA506" i="11"/>
  <c r="BE506" i="11"/>
  <c r="BI506" i="11"/>
  <c r="BM506" i="11"/>
  <c r="BQ506" i="11"/>
  <c r="BR510" i="11"/>
  <c r="BN510" i="11"/>
  <c r="BJ510" i="11"/>
  <c r="BF510" i="11"/>
  <c r="BB510" i="11"/>
  <c r="AX510" i="11"/>
  <c r="AT510" i="11"/>
  <c r="AP510" i="11"/>
  <c r="B510" i="11"/>
  <c r="D510" i="11" s="1"/>
  <c r="E510" i="11" s="1"/>
  <c r="F510" i="11" s="1"/>
  <c r="G510" i="11" s="1"/>
  <c r="H510" i="11" s="1"/>
  <c r="I510" i="11" s="1"/>
  <c r="J510" i="11" s="1"/>
  <c r="K510" i="11" s="1"/>
  <c r="L510" i="11" s="1"/>
  <c r="M510" i="11" s="1"/>
  <c r="N510" i="11" s="1"/>
  <c r="O510" i="11" s="1"/>
  <c r="P510" i="11" s="1"/>
  <c r="Q510" i="11" s="1"/>
  <c r="R510" i="11" s="1"/>
  <c r="S510" i="11" s="1"/>
  <c r="T510" i="11" s="1"/>
  <c r="U510" i="11" s="1"/>
  <c r="V510" i="11" s="1"/>
  <c r="W510" i="11" s="1"/>
  <c r="X510" i="11" s="1"/>
  <c r="Y510" i="11" s="1"/>
  <c r="Z510" i="11" s="1"/>
  <c r="AA510" i="11" s="1"/>
  <c r="AB510" i="11" s="1"/>
  <c r="AC510" i="11" s="1"/>
  <c r="AD510" i="11" s="1"/>
  <c r="AE510" i="11" s="1"/>
  <c r="AF510" i="11" s="1"/>
  <c r="AG510" i="11" s="1"/>
  <c r="AH510" i="11" s="1"/>
  <c r="AI510" i="11" s="1"/>
  <c r="AJ510" i="11" s="1"/>
  <c r="AK510" i="11" s="1"/>
  <c r="AL510" i="11" s="1"/>
  <c r="BQ510" i="11"/>
  <c r="BI510" i="11"/>
  <c r="BA510" i="11"/>
  <c r="AS510" i="11"/>
  <c r="BS510" i="11"/>
  <c r="BC510" i="11"/>
  <c r="AM510" i="11"/>
  <c r="BO510" i="11"/>
  <c r="BT510" i="11"/>
  <c r="BP510" i="11"/>
  <c r="BL510" i="11"/>
  <c r="BH510" i="11"/>
  <c r="BD510" i="11"/>
  <c r="AZ510" i="11"/>
  <c r="AV510" i="11"/>
  <c r="AR510" i="11"/>
  <c r="AN510" i="11"/>
  <c r="BU510" i="11"/>
  <c r="BM510" i="11"/>
  <c r="BE510" i="11"/>
  <c r="AW510" i="11"/>
  <c r="AO510" i="11"/>
  <c r="BK510" i="11"/>
  <c r="AU510" i="11"/>
  <c r="AY510" i="11"/>
  <c r="AQ510" i="11"/>
  <c r="BG510" i="11"/>
  <c r="BR514" i="11"/>
  <c r="BN514" i="11"/>
  <c r="BJ514" i="11"/>
  <c r="BF514" i="11"/>
  <c r="BB514" i="11"/>
  <c r="AX514" i="11"/>
  <c r="AT514" i="11"/>
  <c r="BU514" i="11"/>
  <c r="BM514" i="11"/>
  <c r="BE514" i="11"/>
  <c r="AW514" i="11"/>
  <c r="AP514" i="11"/>
  <c r="B514" i="11"/>
  <c r="D514" i="11" s="1"/>
  <c r="E514" i="11" s="1"/>
  <c r="F514" i="11" s="1"/>
  <c r="G514" i="11" s="1"/>
  <c r="H514" i="11" s="1"/>
  <c r="I514" i="11" s="1"/>
  <c r="J514" i="11" s="1"/>
  <c r="K514" i="11" s="1"/>
  <c r="L514" i="11" s="1"/>
  <c r="M514" i="11" s="1"/>
  <c r="N514" i="11" s="1"/>
  <c r="O514" i="11" s="1"/>
  <c r="P514" i="11" s="1"/>
  <c r="Q514" i="11" s="1"/>
  <c r="R514" i="11" s="1"/>
  <c r="S514" i="11" s="1"/>
  <c r="T514" i="11" s="1"/>
  <c r="U514" i="11" s="1"/>
  <c r="V514" i="11" s="1"/>
  <c r="W514" i="11" s="1"/>
  <c r="X514" i="11" s="1"/>
  <c r="Y514" i="11" s="1"/>
  <c r="Z514" i="11" s="1"/>
  <c r="AA514" i="11" s="1"/>
  <c r="AB514" i="11" s="1"/>
  <c r="AC514" i="11" s="1"/>
  <c r="AD514" i="11" s="1"/>
  <c r="AE514" i="11" s="1"/>
  <c r="AF514" i="11" s="1"/>
  <c r="AG514" i="11" s="1"/>
  <c r="AH514" i="11" s="1"/>
  <c r="AI514" i="11" s="1"/>
  <c r="AJ514" i="11" s="1"/>
  <c r="AK514" i="11" s="1"/>
  <c r="AL514" i="11" s="1"/>
  <c r="BK514" i="11"/>
  <c r="AU514" i="11"/>
  <c r="BO514" i="11"/>
  <c r="AM514" i="11"/>
  <c r="BT514" i="11"/>
  <c r="BP514" i="11"/>
  <c r="BL514" i="11"/>
  <c r="BH514" i="11"/>
  <c r="BD514" i="11"/>
  <c r="AZ514" i="11"/>
  <c r="AV514" i="11"/>
  <c r="AR514" i="11"/>
  <c r="BQ514" i="11"/>
  <c r="BI514" i="11"/>
  <c r="BA514" i="11"/>
  <c r="AS514" i="11"/>
  <c r="AN514" i="11"/>
  <c r="BS514" i="11"/>
  <c r="BC514" i="11"/>
  <c r="AO514" i="11"/>
  <c r="AY514" i="11"/>
  <c r="BG514" i="11"/>
  <c r="AQ514" i="11"/>
  <c r="AQ518" i="11"/>
  <c r="BU518" i="11"/>
  <c r="BQ518" i="11"/>
  <c r="BM518" i="11"/>
  <c r="BI518" i="11"/>
  <c r="BE518" i="11"/>
  <c r="BA518" i="11"/>
  <c r="AW518" i="11"/>
  <c r="AS518" i="11"/>
  <c r="BP518" i="11"/>
  <c r="BH518" i="11"/>
  <c r="AZ518" i="11"/>
  <c r="AR518" i="11"/>
  <c r="AN518" i="11"/>
  <c r="BR518" i="11"/>
  <c r="BB518" i="11"/>
  <c r="AO518" i="11"/>
  <c r="AX518" i="11"/>
  <c r="BF518" i="11"/>
  <c r="BS518" i="11"/>
  <c r="BO518" i="11"/>
  <c r="BK518" i="11"/>
  <c r="BG518" i="11"/>
  <c r="BC518" i="11"/>
  <c r="AY518" i="11"/>
  <c r="AU518" i="11"/>
  <c r="BT518" i="11"/>
  <c r="BL518" i="11"/>
  <c r="BD518" i="11"/>
  <c r="AV518" i="11"/>
  <c r="AP518" i="11"/>
  <c r="B518" i="11"/>
  <c r="D518" i="11" s="1"/>
  <c r="E518" i="11" s="1"/>
  <c r="F518" i="11" s="1"/>
  <c r="G518" i="11" s="1"/>
  <c r="H518" i="11" s="1"/>
  <c r="I518" i="11" s="1"/>
  <c r="J518" i="11" s="1"/>
  <c r="K518" i="11" s="1"/>
  <c r="L518" i="11" s="1"/>
  <c r="M518" i="11" s="1"/>
  <c r="N518" i="11" s="1"/>
  <c r="O518" i="11" s="1"/>
  <c r="P518" i="11" s="1"/>
  <c r="Q518" i="11" s="1"/>
  <c r="R518" i="11" s="1"/>
  <c r="S518" i="11" s="1"/>
  <c r="T518" i="11" s="1"/>
  <c r="U518" i="11" s="1"/>
  <c r="V518" i="11" s="1"/>
  <c r="W518" i="11" s="1"/>
  <c r="X518" i="11" s="1"/>
  <c r="Y518" i="11" s="1"/>
  <c r="Z518" i="11" s="1"/>
  <c r="AA518" i="11" s="1"/>
  <c r="AB518" i="11" s="1"/>
  <c r="AC518" i="11" s="1"/>
  <c r="AD518" i="11" s="1"/>
  <c r="AE518" i="11" s="1"/>
  <c r="AF518" i="11" s="1"/>
  <c r="AG518" i="11" s="1"/>
  <c r="AH518" i="11" s="1"/>
  <c r="AI518" i="11" s="1"/>
  <c r="AJ518" i="11" s="1"/>
  <c r="AK518" i="11" s="1"/>
  <c r="AL518" i="11" s="1"/>
  <c r="BJ518" i="11"/>
  <c r="AT518" i="11"/>
  <c r="BN518" i="11"/>
  <c r="AM518" i="11"/>
  <c r="G30" i="9"/>
  <c r="G29" i="9"/>
  <c r="G28" i="9"/>
  <c r="G27" i="9"/>
  <c r="G22" i="9"/>
  <c r="G21" i="9"/>
  <c r="G20" i="9"/>
  <c r="G19" i="9"/>
  <c r="I33" i="9"/>
  <c r="I32" i="9"/>
  <c r="I31" i="9"/>
  <c r="I34" i="9"/>
  <c r="D5" i="9"/>
  <c r="B5" i="9" s="1"/>
  <c r="D3" i="9"/>
  <c r="D6" i="9"/>
  <c r="D4" i="9"/>
  <c r="B4" i="9" s="1"/>
  <c r="D22" i="9"/>
  <c r="B22" i="9" s="1"/>
  <c r="D21" i="9"/>
  <c r="D20" i="9"/>
  <c r="D19" i="9"/>
  <c r="B19" i="9" s="1"/>
  <c r="G34" i="9"/>
  <c r="G33" i="9"/>
  <c r="G32" i="9"/>
  <c r="G31" i="9"/>
  <c r="D46" i="9"/>
  <c r="B46" i="9" s="1"/>
  <c r="D45" i="9"/>
  <c r="B45" i="9" s="1"/>
  <c r="D44" i="9"/>
  <c r="B44" i="9" s="1"/>
  <c r="D43" i="9"/>
  <c r="B43" i="9" s="1"/>
  <c r="I46" i="9"/>
  <c r="I45" i="9"/>
  <c r="I44" i="9"/>
  <c r="I43" i="9"/>
  <c r="I14" i="9"/>
  <c r="I13" i="9"/>
  <c r="I12" i="9"/>
  <c r="I11" i="9"/>
  <c r="G5" i="9"/>
  <c r="G3" i="9"/>
  <c r="G6" i="9"/>
  <c r="G4" i="9"/>
  <c r="BU425" i="11"/>
  <c r="AT425" i="11"/>
  <c r="BB425" i="11"/>
  <c r="BJ425" i="11"/>
  <c r="BR425" i="11"/>
  <c r="AP425" i="11"/>
  <c r="AX425" i="11"/>
  <c r="BF425" i="11"/>
  <c r="BN425" i="11"/>
  <c r="B425" i="11"/>
  <c r="D425" i="11" s="1"/>
  <c r="E425" i="11" s="1"/>
  <c r="F425" i="11" s="1"/>
  <c r="G425" i="11" s="1"/>
  <c r="H425" i="11" s="1"/>
  <c r="I425" i="11" s="1"/>
  <c r="J425" i="11" s="1"/>
  <c r="K425" i="11" s="1"/>
  <c r="L425" i="11" s="1"/>
  <c r="M425" i="11" s="1"/>
  <c r="N425" i="11" s="1"/>
  <c r="O425" i="11" s="1"/>
  <c r="P425" i="11" s="1"/>
  <c r="Q425" i="11" s="1"/>
  <c r="R425" i="11" s="1"/>
  <c r="S425" i="11" s="1"/>
  <c r="T425" i="11" s="1"/>
  <c r="U425" i="11" s="1"/>
  <c r="V425" i="11" s="1"/>
  <c r="W425" i="11" s="1"/>
  <c r="X425" i="11" s="1"/>
  <c r="Y425" i="11" s="1"/>
  <c r="Z425" i="11" s="1"/>
  <c r="AA425" i="11" s="1"/>
  <c r="AB425" i="11" s="1"/>
  <c r="AC425" i="11" s="1"/>
  <c r="AD425" i="11" s="1"/>
  <c r="AE425" i="11" s="1"/>
  <c r="AF425" i="11" s="1"/>
  <c r="AG425" i="11" s="1"/>
  <c r="AH425" i="11" s="1"/>
  <c r="AI425" i="11" s="1"/>
  <c r="AJ425" i="11" s="1"/>
  <c r="AK425" i="11" s="1"/>
  <c r="AL425" i="11" s="1"/>
  <c r="AR425" i="11"/>
  <c r="AZ425" i="11"/>
  <c r="BH425" i="11"/>
  <c r="BP425" i="11"/>
  <c r="AN425" i="11"/>
  <c r="AV425" i="11"/>
  <c r="BD425" i="11"/>
  <c r="BL425" i="11"/>
  <c r="BT425" i="11"/>
  <c r="AM425" i="11"/>
  <c r="AQ425" i="11"/>
  <c r="AU425" i="11"/>
  <c r="AY425" i="11"/>
  <c r="BC425" i="11"/>
  <c r="BG425" i="11"/>
  <c r="BK425" i="11"/>
  <c r="BO425" i="11"/>
  <c r="BS425" i="11"/>
  <c r="AO425" i="11"/>
  <c r="AS425" i="11"/>
  <c r="AW425" i="11"/>
  <c r="BA425" i="11"/>
  <c r="BE425" i="11"/>
  <c r="BI425" i="11"/>
  <c r="BM425" i="11"/>
  <c r="BQ425" i="11"/>
  <c r="BU429" i="11"/>
  <c r="AP429" i="11"/>
  <c r="AX429" i="11"/>
  <c r="BF429" i="11"/>
  <c r="BN429" i="11"/>
  <c r="AT429" i="11"/>
  <c r="BJ429" i="11"/>
  <c r="B429" i="11"/>
  <c r="D429" i="11" s="1"/>
  <c r="E429" i="11" s="1"/>
  <c r="F429" i="11" s="1"/>
  <c r="G429" i="11" s="1"/>
  <c r="H429" i="11" s="1"/>
  <c r="I429" i="11" s="1"/>
  <c r="J429" i="11" s="1"/>
  <c r="K429" i="11" s="1"/>
  <c r="L429" i="11" s="1"/>
  <c r="M429" i="11" s="1"/>
  <c r="N429" i="11" s="1"/>
  <c r="O429" i="11" s="1"/>
  <c r="P429" i="11" s="1"/>
  <c r="Q429" i="11" s="1"/>
  <c r="R429" i="11" s="1"/>
  <c r="S429" i="11" s="1"/>
  <c r="T429" i="11" s="1"/>
  <c r="U429" i="11" s="1"/>
  <c r="V429" i="11" s="1"/>
  <c r="W429" i="11" s="1"/>
  <c r="X429" i="11" s="1"/>
  <c r="Y429" i="11" s="1"/>
  <c r="Z429" i="11" s="1"/>
  <c r="AA429" i="11" s="1"/>
  <c r="AB429" i="11" s="1"/>
  <c r="AC429" i="11" s="1"/>
  <c r="AD429" i="11" s="1"/>
  <c r="AE429" i="11" s="1"/>
  <c r="AF429" i="11" s="1"/>
  <c r="AG429" i="11" s="1"/>
  <c r="AH429" i="11" s="1"/>
  <c r="AI429" i="11" s="1"/>
  <c r="AJ429" i="11" s="1"/>
  <c r="AK429" i="11" s="1"/>
  <c r="AL429" i="11" s="1"/>
  <c r="AR429" i="11"/>
  <c r="AZ429" i="11"/>
  <c r="BH429" i="11"/>
  <c r="BP429" i="11"/>
  <c r="BB429" i="11"/>
  <c r="BR429" i="11"/>
  <c r="AN429" i="11"/>
  <c r="AV429" i="11"/>
  <c r="BD429" i="11"/>
  <c r="BL429" i="11"/>
  <c r="BT429" i="11"/>
  <c r="AM429" i="11"/>
  <c r="AQ429" i="11"/>
  <c r="AU429" i="11"/>
  <c r="AY429" i="11"/>
  <c r="BC429" i="11"/>
  <c r="BG429" i="11"/>
  <c r="BK429" i="11"/>
  <c r="BO429" i="11"/>
  <c r="BS429" i="11"/>
  <c r="AO429" i="11"/>
  <c r="AS429" i="11"/>
  <c r="AW429" i="11"/>
  <c r="BA429" i="11"/>
  <c r="BE429" i="11"/>
  <c r="BI429" i="11"/>
  <c r="BM429" i="11"/>
  <c r="BQ429" i="11"/>
  <c r="BU433" i="11"/>
  <c r="AP433" i="11"/>
  <c r="AX433" i="11"/>
  <c r="BF433" i="11"/>
  <c r="BN433" i="11"/>
  <c r="AT433" i="11"/>
  <c r="BJ433" i="11"/>
  <c r="B433" i="11"/>
  <c r="D433" i="11" s="1"/>
  <c r="E433" i="11" s="1"/>
  <c r="F433" i="11" s="1"/>
  <c r="G433" i="11" s="1"/>
  <c r="H433" i="11" s="1"/>
  <c r="I433" i="11" s="1"/>
  <c r="J433" i="11" s="1"/>
  <c r="K433" i="11" s="1"/>
  <c r="L433" i="11" s="1"/>
  <c r="M433" i="11" s="1"/>
  <c r="N433" i="11" s="1"/>
  <c r="O433" i="11" s="1"/>
  <c r="P433" i="11" s="1"/>
  <c r="Q433" i="11" s="1"/>
  <c r="R433" i="11" s="1"/>
  <c r="S433" i="11" s="1"/>
  <c r="T433" i="11" s="1"/>
  <c r="U433" i="11" s="1"/>
  <c r="V433" i="11" s="1"/>
  <c r="W433" i="11" s="1"/>
  <c r="X433" i="11" s="1"/>
  <c r="Y433" i="11" s="1"/>
  <c r="Z433" i="11" s="1"/>
  <c r="AA433" i="11" s="1"/>
  <c r="AB433" i="11" s="1"/>
  <c r="AC433" i="11" s="1"/>
  <c r="AD433" i="11" s="1"/>
  <c r="AE433" i="11" s="1"/>
  <c r="AF433" i="11" s="1"/>
  <c r="AG433" i="11" s="1"/>
  <c r="AH433" i="11" s="1"/>
  <c r="AI433" i="11" s="1"/>
  <c r="AJ433" i="11" s="1"/>
  <c r="AK433" i="11" s="1"/>
  <c r="AL433" i="11" s="1"/>
  <c r="AR433" i="11"/>
  <c r="AZ433" i="11"/>
  <c r="BH433" i="11"/>
  <c r="BP433" i="11"/>
  <c r="BB433" i="11"/>
  <c r="BR433" i="11"/>
  <c r="AN433" i="11"/>
  <c r="AV433" i="11"/>
  <c r="BD433" i="11"/>
  <c r="BL433" i="11"/>
  <c r="BT433" i="11"/>
  <c r="AO433" i="11"/>
  <c r="AS433" i="11"/>
  <c r="AW433" i="11"/>
  <c r="BA433" i="11"/>
  <c r="BE433" i="11"/>
  <c r="BI433" i="11"/>
  <c r="BM433" i="11"/>
  <c r="BQ433" i="11"/>
  <c r="AM433" i="11"/>
  <c r="AU433" i="11"/>
  <c r="BC433" i="11"/>
  <c r="BK433" i="11"/>
  <c r="BS433" i="11"/>
  <c r="AQ433" i="11"/>
  <c r="AY433" i="11"/>
  <c r="BG433" i="11"/>
  <c r="BO433" i="11"/>
  <c r="BU437" i="11"/>
  <c r="AT437" i="11"/>
  <c r="BB437" i="11"/>
  <c r="BJ437" i="11"/>
  <c r="BR437" i="11"/>
  <c r="B437" i="11"/>
  <c r="D437" i="11" s="1"/>
  <c r="E437" i="11" s="1"/>
  <c r="F437" i="11" s="1"/>
  <c r="G437" i="11" s="1"/>
  <c r="H437" i="11" s="1"/>
  <c r="I437" i="11" s="1"/>
  <c r="J437" i="11" s="1"/>
  <c r="K437" i="11" s="1"/>
  <c r="L437" i="11" s="1"/>
  <c r="M437" i="11" s="1"/>
  <c r="N437" i="11" s="1"/>
  <c r="O437" i="11" s="1"/>
  <c r="P437" i="11" s="1"/>
  <c r="Q437" i="11" s="1"/>
  <c r="R437" i="11" s="1"/>
  <c r="S437" i="11" s="1"/>
  <c r="T437" i="11" s="1"/>
  <c r="U437" i="11" s="1"/>
  <c r="V437" i="11" s="1"/>
  <c r="W437" i="11" s="1"/>
  <c r="X437" i="11" s="1"/>
  <c r="Y437" i="11" s="1"/>
  <c r="Z437" i="11" s="1"/>
  <c r="AA437" i="11" s="1"/>
  <c r="AB437" i="11" s="1"/>
  <c r="AC437" i="11" s="1"/>
  <c r="AD437" i="11" s="1"/>
  <c r="AE437" i="11" s="1"/>
  <c r="AF437" i="11" s="1"/>
  <c r="AG437" i="11" s="1"/>
  <c r="AH437" i="11" s="1"/>
  <c r="AI437" i="11" s="1"/>
  <c r="AJ437" i="11" s="1"/>
  <c r="AK437" i="11" s="1"/>
  <c r="AL437" i="11" s="1"/>
  <c r="AR437" i="11"/>
  <c r="AZ437" i="11"/>
  <c r="BH437" i="11"/>
  <c r="BP437" i="11"/>
  <c r="AP437" i="11"/>
  <c r="AX437" i="11"/>
  <c r="BF437" i="11"/>
  <c r="BN437" i="11"/>
  <c r="AN437" i="11"/>
  <c r="AV437" i="11"/>
  <c r="BD437" i="11"/>
  <c r="BL437" i="11"/>
  <c r="BT437" i="11"/>
  <c r="AO437" i="11"/>
  <c r="AS437" i="11"/>
  <c r="AW437" i="11"/>
  <c r="BA437" i="11"/>
  <c r="BE437" i="11"/>
  <c r="BI437" i="11"/>
  <c r="BM437" i="11"/>
  <c r="BQ437" i="11"/>
  <c r="AM437" i="11"/>
  <c r="AQ437" i="11"/>
  <c r="AU437" i="11"/>
  <c r="AY437" i="11"/>
  <c r="BC437" i="11"/>
  <c r="BG437" i="11"/>
  <c r="BK437" i="11"/>
  <c r="BO437" i="11"/>
  <c r="BS437" i="11"/>
  <c r="BU441" i="11"/>
  <c r="AT441" i="11"/>
  <c r="BB441" i="11"/>
  <c r="BJ441" i="11"/>
  <c r="BR441" i="11"/>
  <c r="B441" i="11"/>
  <c r="D441" i="11" s="1"/>
  <c r="E441" i="11" s="1"/>
  <c r="F441" i="11" s="1"/>
  <c r="G441" i="11" s="1"/>
  <c r="H441" i="11" s="1"/>
  <c r="I441" i="11" s="1"/>
  <c r="J441" i="11" s="1"/>
  <c r="K441" i="11" s="1"/>
  <c r="L441" i="11" s="1"/>
  <c r="M441" i="11" s="1"/>
  <c r="N441" i="11" s="1"/>
  <c r="O441" i="11" s="1"/>
  <c r="P441" i="11" s="1"/>
  <c r="Q441" i="11" s="1"/>
  <c r="R441" i="11" s="1"/>
  <c r="S441" i="11" s="1"/>
  <c r="T441" i="11" s="1"/>
  <c r="U441" i="11" s="1"/>
  <c r="V441" i="11" s="1"/>
  <c r="W441" i="11" s="1"/>
  <c r="X441" i="11" s="1"/>
  <c r="Y441" i="11" s="1"/>
  <c r="Z441" i="11" s="1"/>
  <c r="AA441" i="11" s="1"/>
  <c r="AB441" i="11" s="1"/>
  <c r="AC441" i="11" s="1"/>
  <c r="AD441" i="11" s="1"/>
  <c r="AE441" i="11" s="1"/>
  <c r="AF441" i="11" s="1"/>
  <c r="AG441" i="11" s="1"/>
  <c r="AH441" i="11" s="1"/>
  <c r="AI441" i="11" s="1"/>
  <c r="AJ441" i="11" s="1"/>
  <c r="AK441" i="11" s="1"/>
  <c r="AL441" i="11" s="1"/>
  <c r="AR441" i="11"/>
  <c r="AZ441" i="11"/>
  <c r="BH441" i="11"/>
  <c r="BP441" i="11"/>
  <c r="AP441" i="11"/>
  <c r="AX441" i="11"/>
  <c r="BF441" i="11"/>
  <c r="BN441" i="11"/>
  <c r="AN441" i="11"/>
  <c r="AV441" i="11"/>
  <c r="BD441" i="11"/>
  <c r="BL441" i="11"/>
  <c r="BT441" i="11"/>
  <c r="AO441" i="11"/>
  <c r="AS441" i="11"/>
  <c r="AW441" i="11"/>
  <c r="BA441" i="11"/>
  <c r="BE441" i="11"/>
  <c r="BI441" i="11"/>
  <c r="BM441" i="11"/>
  <c r="BQ441" i="11"/>
  <c r="AM441" i="11"/>
  <c r="AQ441" i="11"/>
  <c r="AU441" i="11"/>
  <c r="AY441" i="11"/>
  <c r="BC441" i="11"/>
  <c r="BG441" i="11"/>
  <c r="BK441" i="11"/>
  <c r="BO441" i="11"/>
  <c r="BS441" i="11"/>
  <c r="BU445" i="11"/>
  <c r="AZ445" i="11"/>
  <c r="BP445" i="11"/>
  <c r="B445" i="11"/>
  <c r="D445" i="11" s="1"/>
  <c r="E445" i="11" s="1"/>
  <c r="F445" i="11" s="1"/>
  <c r="G445" i="11" s="1"/>
  <c r="H445" i="11" s="1"/>
  <c r="I445" i="11" s="1"/>
  <c r="J445" i="11" s="1"/>
  <c r="K445" i="11" s="1"/>
  <c r="L445" i="11" s="1"/>
  <c r="M445" i="11" s="1"/>
  <c r="N445" i="11" s="1"/>
  <c r="O445" i="11" s="1"/>
  <c r="P445" i="11" s="1"/>
  <c r="Q445" i="11" s="1"/>
  <c r="R445" i="11" s="1"/>
  <c r="S445" i="11" s="1"/>
  <c r="T445" i="11" s="1"/>
  <c r="U445" i="11" s="1"/>
  <c r="V445" i="11" s="1"/>
  <c r="W445" i="11" s="1"/>
  <c r="X445" i="11" s="1"/>
  <c r="Y445" i="11" s="1"/>
  <c r="Z445" i="11" s="1"/>
  <c r="AA445" i="11" s="1"/>
  <c r="AB445" i="11" s="1"/>
  <c r="AC445" i="11" s="1"/>
  <c r="AD445" i="11" s="1"/>
  <c r="AE445" i="11" s="1"/>
  <c r="AF445" i="11" s="1"/>
  <c r="AG445" i="11" s="1"/>
  <c r="AH445" i="11" s="1"/>
  <c r="AI445" i="11" s="1"/>
  <c r="AJ445" i="11" s="1"/>
  <c r="AK445" i="11" s="1"/>
  <c r="AL445" i="11" s="1"/>
  <c r="AV445" i="11"/>
  <c r="BL445" i="11"/>
  <c r="BH445" i="11"/>
  <c r="BD445" i="11"/>
  <c r="AR445" i="11"/>
  <c r="AN445" i="11"/>
  <c r="BT445" i="11"/>
  <c r="AT445" i="11"/>
  <c r="BB445" i="11"/>
  <c r="BJ445" i="11"/>
  <c r="BR445" i="11"/>
  <c r="AP445" i="11"/>
  <c r="AX445" i="11"/>
  <c r="BF445" i="11"/>
  <c r="BN445" i="11"/>
  <c r="AO445" i="11"/>
  <c r="AS445" i="11"/>
  <c r="AW445" i="11"/>
  <c r="BA445" i="11"/>
  <c r="BE445" i="11"/>
  <c r="BI445" i="11"/>
  <c r="BM445" i="11"/>
  <c r="BQ445" i="11"/>
  <c r="AM445" i="11"/>
  <c r="AQ445" i="11"/>
  <c r="AU445" i="11"/>
  <c r="AY445" i="11"/>
  <c r="BC445" i="11"/>
  <c r="BG445" i="11"/>
  <c r="BK445" i="11"/>
  <c r="BO445" i="11"/>
  <c r="BS445" i="11"/>
  <c r="BU449" i="11"/>
  <c r="AZ449" i="11"/>
  <c r="BP449" i="11"/>
  <c r="B449" i="11"/>
  <c r="D449" i="11" s="1"/>
  <c r="E449" i="11" s="1"/>
  <c r="F449" i="11" s="1"/>
  <c r="G449" i="11" s="1"/>
  <c r="H449" i="11" s="1"/>
  <c r="I449" i="11" s="1"/>
  <c r="J449" i="11" s="1"/>
  <c r="K449" i="11" s="1"/>
  <c r="L449" i="11" s="1"/>
  <c r="M449" i="11" s="1"/>
  <c r="N449" i="11" s="1"/>
  <c r="O449" i="11" s="1"/>
  <c r="P449" i="11" s="1"/>
  <c r="Q449" i="11" s="1"/>
  <c r="R449" i="11" s="1"/>
  <c r="S449" i="11" s="1"/>
  <c r="T449" i="11" s="1"/>
  <c r="U449" i="11" s="1"/>
  <c r="V449" i="11" s="1"/>
  <c r="W449" i="11" s="1"/>
  <c r="X449" i="11" s="1"/>
  <c r="Y449" i="11" s="1"/>
  <c r="Z449" i="11" s="1"/>
  <c r="AA449" i="11" s="1"/>
  <c r="AB449" i="11" s="1"/>
  <c r="AC449" i="11" s="1"/>
  <c r="AD449" i="11" s="1"/>
  <c r="AE449" i="11" s="1"/>
  <c r="AF449" i="11" s="1"/>
  <c r="AG449" i="11" s="1"/>
  <c r="AH449" i="11" s="1"/>
  <c r="AI449" i="11" s="1"/>
  <c r="AJ449" i="11" s="1"/>
  <c r="AK449" i="11" s="1"/>
  <c r="AL449" i="11" s="1"/>
  <c r="AV449" i="11"/>
  <c r="BL449" i="11"/>
  <c r="BH449" i="11"/>
  <c r="AN449" i="11"/>
  <c r="BT449" i="11"/>
  <c r="AR449" i="11"/>
  <c r="BD449" i="11"/>
  <c r="AT449" i="11"/>
  <c r="BB449" i="11"/>
  <c r="BJ449" i="11"/>
  <c r="BR449" i="11"/>
  <c r="AP449" i="11"/>
  <c r="AX449" i="11"/>
  <c r="BF449" i="11"/>
  <c r="BN449" i="11"/>
  <c r="AO449" i="11"/>
  <c r="AS449" i="11"/>
  <c r="AW449" i="11"/>
  <c r="BA449" i="11"/>
  <c r="BE449" i="11"/>
  <c r="BI449" i="11"/>
  <c r="BM449" i="11"/>
  <c r="BQ449" i="11"/>
  <c r="AM449" i="11"/>
  <c r="AQ449" i="11"/>
  <c r="AU449" i="11"/>
  <c r="AY449" i="11"/>
  <c r="BC449" i="11"/>
  <c r="BG449" i="11"/>
  <c r="BK449" i="11"/>
  <c r="BO449" i="11"/>
  <c r="BS449" i="11"/>
  <c r="BU453" i="11"/>
  <c r="AZ453" i="11"/>
  <c r="BP453" i="11"/>
  <c r="B453" i="11"/>
  <c r="D453" i="11" s="1"/>
  <c r="E453" i="11" s="1"/>
  <c r="F453" i="11" s="1"/>
  <c r="G453" i="11" s="1"/>
  <c r="H453" i="11" s="1"/>
  <c r="I453" i="11" s="1"/>
  <c r="J453" i="11" s="1"/>
  <c r="K453" i="11" s="1"/>
  <c r="L453" i="11" s="1"/>
  <c r="M453" i="11" s="1"/>
  <c r="N453" i="11" s="1"/>
  <c r="O453" i="11" s="1"/>
  <c r="P453" i="11" s="1"/>
  <c r="Q453" i="11" s="1"/>
  <c r="R453" i="11" s="1"/>
  <c r="S453" i="11" s="1"/>
  <c r="T453" i="11" s="1"/>
  <c r="U453" i="11" s="1"/>
  <c r="V453" i="11" s="1"/>
  <c r="W453" i="11" s="1"/>
  <c r="X453" i="11" s="1"/>
  <c r="Y453" i="11" s="1"/>
  <c r="Z453" i="11" s="1"/>
  <c r="AA453" i="11" s="1"/>
  <c r="AB453" i="11" s="1"/>
  <c r="AC453" i="11" s="1"/>
  <c r="AD453" i="11" s="1"/>
  <c r="AE453" i="11" s="1"/>
  <c r="AF453" i="11" s="1"/>
  <c r="AG453" i="11" s="1"/>
  <c r="AH453" i="11" s="1"/>
  <c r="AI453" i="11" s="1"/>
  <c r="AJ453" i="11" s="1"/>
  <c r="AK453" i="11" s="1"/>
  <c r="AL453" i="11" s="1"/>
  <c r="AV453" i="11"/>
  <c r="BL453" i="11"/>
  <c r="BH453" i="11"/>
  <c r="BD453" i="11"/>
  <c r="AR453" i="11"/>
  <c r="AN453" i="11"/>
  <c r="BT453" i="11"/>
  <c r="AT453" i="11"/>
  <c r="BB453" i="11"/>
  <c r="BJ453" i="11"/>
  <c r="BR453" i="11"/>
  <c r="AP453" i="11"/>
  <c r="AX453" i="11"/>
  <c r="BF453" i="11"/>
  <c r="BN453" i="11"/>
  <c r="AO453" i="11"/>
  <c r="AS453" i="11"/>
  <c r="AW453" i="11"/>
  <c r="BA453" i="11"/>
  <c r="BE453" i="11"/>
  <c r="BI453" i="11"/>
  <c r="BM453" i="11"/>
  <c r="BQ453" i="11"/>
  <c r="AM453" i="11"/>
  <c r="AQ453" i="11"/>
  <c r="AU453" i="11"/>
  <c r="AY453" i="11"/>
  <c r="BC453" i="11"/>
  <c r="BG453" i="11"/>
  <c r="BK453" i="11"/>
  <c r="BO453" i="11"/>
  <c r="BS453" i="11"/>
  <c r="BU457" i="11"/>
  <c r="AZ457" i="11"/>
  <c r="BP457" i="11"/>
  <c r="B457" i="11"/>
  <c r="D457" i="11" s="1"/>
  <c r="E457" i="11" s="1"/>
  <c r="F457" i="11" s="1"/>
  <c r="G457" i="11" s="1"/>
  <c r="H457" i="11" s="1"/>
  <c r="I457" i="11" s="1"/>
  <c r="J457" i="11" s="1"/>
  <c r="K457" i="11" s="1"/>
  <c r="L457" i="11" s="1"/>
  <c r="M457" i="11" s="1"/>
  <c r="N457" i="11" s="1"/>
  <c r="O457" i="11" s="1"/>
  <c r="P457" i="11" s="1"/>
  <c r="Q457" i="11" s="1"/>
  <c r="R457" i="11" s="1"/>
  <c r="S457" i="11" s="1"/>
  <c r="T457" i="11" s="1"/>
  <c r="U457" i="11" s="1"/>
  <c r="V457" i="11" s="1"/>
  <c r="W457" i="11" s="1"/>
  <c r="X457" i="11" s="1"/>
  <c r="Y457" i="11" s="1"/>
  <c r="Z457" i="11" s="1"/>
  <c r="AA457" i="11" s="1"/>
  <c r="AB457" i="11" s="1"/>
  <c r="AC457" i="11" s="1"/>
  <c r="AD457" i="11" s="1"/>
  <c r="AE457" i="11" s="1"/>
  <c r="AF457" i="11" s="1"/>
  <c r="AG457" i="11" s="1"/>
  <c r="AH457" i="11" s="1"/>
  <c r="AI457" i="11" s="1"/>
  <c r="AJ457" i="11" s="1"/>
  <c r="AK457" i="11" s="1"/>
  <c r="AL457" i="11" s="1"/>
  <c r="AV457" i="11"/>
  <c r="BL457" i="11"/>
  <c r="BH457" i="11"/>
  <c r="AN457" i="11"/>
  <c r="BT457" i="11"/>
  <c r="AR457" i="11"/>
  <c r="BD457" i="11"/>
  <c r="AT457" i="11"/>
  <c r="BB457" i="11"/>
  <c r="BJ457" i="11"/>
  <c r="BR457" i="11"/>
  <c r="AP457" i="11"/>
  <c r="AX457" i="11"/>
  <c r="BF457" i="11"/>
  <c r="BN457" i="11"/>
  <c r="AO457" i="11"/>
  <c r="AS457" i="11"/>
  <c r="AW457" i="11"/>
  <c r="BA457" i="11"/>
  <c r="BE457" i="11"/>
  <c r="BI457" i="11"/>
  <c r="BM457" i="11"/>
  <c r="BQ457" i="11"/>
  <c r="AM457" i="11"/>
  <c r="AQ457" i="11"/>
  <c r="AU457" i="11"/>
  <c r="AY457" i="11"/>
  <c r="BC457" i="11"/>
  <c r="BG457" i="11"/>
  <c r="BK457" i="11"/>
  <c r="BO457" i="11"/>
  <c r="BS457" i="11"/>
  <c r="BU461" i="11"/>
  <c r="AZ461" i="11"/>
  <c r="BP461" i="11"/>
  <c r="BH461" i="11"/>
  <c r="B461" i="11"/>
  <c r="D461" i="11" s="1"/>
  <c r="E461" i="11" s="1"/>
  <c r="F461" i="11" s="1"/>
  <c r="G461" i="11" s="1"/>
  <c r="H461" i="11" s="1"/>
  <c r="I461" i="11" s="1"/>
  <c r="J461" i="11" s="1"/>
  <c r="K461" i="11" s="1"/>
  <c r="L461" i="11" s="1"/>
  <c r="M461" i="11" s="1"/>
  <c r="N461" i="11" s="1"/>
  <c r="O461" i="11" s="1"/>
  <c r="P461" i="11" s="1"/>
  <c r="Q461" i="11" s="1"/>
  <c r="R461" i="11" s="1"/>
  <c r="S461" i="11" s="1"/>
  <c r="T461" i="11" s="1"/>
  <c r="U461" i="11" s="1"/>
  <c r="V461" i="11" s="1"/>
  <c r="W461" i="11" s="1"/>
  <c r="X461" i="11" s="1"/>
  <c r="Y461" i="11" s="1"/>
  <c r="Z461" i="11" s="1"/>
  <c r="AA461" i="11" s="1"/>
  <c r="AB461" i="11" s="1"/>
  <c r="AC461" i="11" s="1"/>
  <c r="AD461" i="11" s="1"/>
  <c r="AE461" i="11" s="1"/>
  <c r="AF461" i="11" s="1"/>
  <c r="AG461" i="11" s="1"/>
  <c r="AH461" i="11" s="1"/>
  <c r="AI461" i="11" s="1"/>
  <c r="AJ461" i="11" s="1"/>
  <c r="AK461" i="11" s="1"/>
  <c r="AL461" i="11" s="1"/>
  <c r="AV461" i="11"/>
  <c r="BL461" i="11"/>
  <c r="AR461" i="11"/>
  <c r="AN461" i="11"/>
  <c r="BD461" i="11"/>
  <c r="BT461" i="11"/>
  <c r="AT461" i="11"/>
  <c r="BB461" i="11"/>
  <c r="BJ461" i="11"/>
  <c r="BR461" i="11"/>
  <c r="AP461" i="11"/>
  <c r="AX461" i="11"/>
  <c r="BF461" i="11"/>
  <c r="BN461" i="11"/>
  <c r="AM461" i="11"/>
  <c r="AQ461" i="11"/>
  <c r="AU461" i="11"/>
  <c r="AY461" i="11"/>
  <c r="BC461" i="11"/>
  <c r="BG461" i="11"/>
  <c r="BK461" i="11"/>
  <c r="BO461" i="11"/>
  <c r="BS461" i="11"/>
  <c r="AO461" i="11"/>
  <c r="AS461" i="11"/>
  <c r="AW461" i="11"/>
  <c r="BA461" i="11"/>
  <c r="BE461" i="11"/>
  <c r="BI461" i="11"/>
  <c r="BM461" i="11"/>
  <c r="BQ461" i="11"/>
  <c r="BU465" i="11"/>
  <c r="AZ465" i="11"/>
  <c r="BP465" i="11"/>
  <c r="BH465" i="11"/>
  <c r="B465" i="11"/>
  <c r="D465" i="11" s="1"/>
  <c r="E465" i="11" s="1"/>
  <c r="F465" i="11" s="1"/>
  <c r="G465" i="11" s="1"/>
  <c r="H465" i="11" s="1"/>
  <c r="I465" i="11" s="1"/>
  <c r="J465" i="11" s="1"/>
  <c r="K465" i="11" s="1"/>
  <c r="L465" i="11" s="1"/>
  <c r="M465" i="11" s="1"/>
  <c r="N465" i="11" s="1"/>
  <c r="O465" i="11" s="1"/>
  <c r="P465" i="11" s="1"/>
  <c r="Q465" i="11" s="1"/>
  <c r="R465" i="11" s="1"/>
  <c r="S465" i="11" s="1"/>
  <c r="T465" i="11" s="1"/>
  <c r="U465" i="11" s="1"/>
  <c r="V465" i="11" s="1"/>
  <c r="W465" i="11" s="1"/>
  <c r="X465" i="11" s="1"/>
  <c r="Y465" i="11" s="1"/>
  <c r="Z465" i="11" s="1"/>
  <c r="AA465" i="11" s="1"/>
  <c r="AB465" i="11" s="1"/>
  <c r="AC465" i="11" s="1"/>
  <c r="AD465" i="11" s="1"/>
  <c r="AE465" i="11" s="1"/>
  <c r="AF465" i="11" s="1"/>
  <c r="AG465" i="11" s="1"/>
  <c r="AH465" i="11" s="1"/>
  <c r="AI465" i="11" s="1"/>
  <c r="AJ465" i="11" s="1"/>
  <c r="AK465" i="11" s="1"/>
  <c r="AL465" i="11" s="1"/>
  <c r="AV465" i="11"/>
  <c r="BL465" i="11"/>
  <c r="AR465" i="11"/>
  <c r="AN465" i="11"/>
  <c r="BD465" i="11"/>
  <c r="BT465" i="11"/>
  <c r="AT465" i="11"/>
  <c r="BB465" i="11"/>
  <c r="BJ465" i="11"/>
  <c r="BR465" i="11"/>
  <c r="AP465" i="11"/>
  <c r="AX465" i="11"/>
  <c r="BF465" i="11"/>
  <c r="BN465" i="11"/>
  <c r="AM465" i="11"/>
  <c r="AQ465" i="11"/>
  <c r="AU465" i="11"/>
  <c r="AY465" i="11"/>
  <c r="BC465" i="11"/>
  <c r="BG465" i="11"/>
  <c r="BK465" i="11"/>
  <c r="BO465" i="11"/>
  <c r="BS465" i="11"/>
  <c r="AO465" i="11"/>
  <c r="AS465" i="11"/>
  <c r="AW465" i="11"/>
  <c r="BA465" i="11"/>
  <c r="BE465" i="11"/>
  <c r="BI465" i="11"/>
  <c r="BM465" i="11"/>
  <c r="BQ465" i="11"/>
  <c r="BT469" i="11"/>
  <c r="BD469" i="11"/>
  <c r="AN469" i="11"/>
  <c r="AZ469" i="11"/>
  <c r="BL469" i="11"/>
  <c r="B469" i="11"/>
  <c r="D469" i="11" s="1"/>
  <c r="E469" i="11" s="1"/>
  <c r="F469" i="11" s="1"/>
  <c r="G469" i="11" s="1"/>
  <c r="H469" i="11" s="1"/>
  <c r="I469" i="11" s="1"/>
  <c r="J469" i="11" s="1"/>
  <c r="K469" i="11" s="1"/>
  <c r="L469" i="11" s="1"/>
  <c r="M469" i="11" s="1"/>
  <c r="N469" i="11" s="1"/>
  <c r="O469" i="11" s="1"/>
  <c r="P469" i="11" s="1"/>
  <c r="Q469" i="11" s="1"/>
  <c r="R469" i="11" s="1"/>
  <c r="S469" i="11" s="1"/>
  <c r="T469" i="11" s="1"/>
  <c r="U469" i="11" s="1"/>
  <c r="V469" i="11" s="1"/>
  <c r="W469" i="11" s="1"/>
  <c r="X469" i="11" s="1"/>
  <c r="Y469" i="11" s="1"/>
  <c r="Z469" i="11" s="1"/>
  <c r="AA469" i="11" s="1"/>
  <c r="AB469" i="11" s="1"/>
  <c r="AC469" i="11" s="1"/>
  <c r="AD469" i="11" s="1"/>
  <c r="AE469" i="11" s="1"/>
  <c r="AF469" i="11" s="1"/>
  <c r="AG469" i="11" s="1"/>
  <c r="AH469" i="11" s="1"/>
  <c r="AI469" i="11" s="1"/>
  <c r="AJ469" i="11" s="1"/>
  <c r="AK469" i="11" s="1"/>
  <c r="AL469" i="11" s="1"/>
  <c r="BH469" i="11"/>
  <c r="BU469" i="11"/>
  <c r="AV469" i="11"/>
  <c r="BP469" i="11"/>
  <c r="AR469" i="11"/>
  <c r="AT469" i="11"/>
  <c r="BB469" i="11"/>
  <c r="BJ469" i="11"/>
  <c r="BR469" i="11"/>
  <c r="AP469" i="11"/>
  <c r="AX469" i="11"/>
  <c r="BF469" i="11"/>
  <c r="BN469" i="11"/>
  <c r="AM469" i="11"/>
  <c r="AQ469" i="11"/>
  <c r="AU469" i="11"/>
  <c r="AY469" i="11"/>
  <c r="BC469" i="11"/>
  <c r="BG469" i="11"/>
  <c r="BK469" i="11"/>
  <c r="BO469" i="11"/>
  <c r="BS469" i="11"/>
  <c r="AO469" i="11"/>
  <c r="AS469" i="11"/>
  <c r="AW469" i="11"/>
  <c r="BA469" i="11"/>
  <c r="BE469" i="11"/>
  <c r="BI469" i="11"/>
  <c r="BM469" i="11"/>
  <c r="BQ469" i="11"/>
  <c r="BT473" i="11"/>
  <c r="BD473" i="11"/>
  <c r="AN473" i="11"/>
  <c r="AZ473" i="11"/>
  <c r="BU473" i="11"/>
  <c r="AV473" i="11"/>
  <c r="BP473" i="11"/>
  <c r="BH473" i="11"/>
  <c r="BL473" i="11"/>
  <c r="B473" i="11"/>
  <c r="D473" i="11" s="1"/>
  <c r="E473" i="11" s="1"/>
  <c r="F473" i="11" s="1"/>
  <c r="G473" i="11" s="1"/>
  <c r="H473" i="11" s="1"/>
  <c r="I473" i="11" s="1"/>
  <c r="J473" i="11" s="1"/>
  <c r="K473" i="11" s="1"/>
  <c r="L473" i="11" s="1"/>
  <c r="M473" i="11" s="1"/>
  <c r="N473" i="11" s="1"/>
  <c r="O473" i="11" s="1"/>
  <c r="P473" i="11" s="1"/>
  <c r="Q473" i="11" s="1"/>
  <c r="R473" i="11" s="1"/>
  <c r="S473" i="11" s="1"/>
  <c r="T473" i="11" s="1"/>
  <c r="U473" i="11" s="1"/>
  <c r="V473" i="11" s="1"/>
  <c r="W473" i="11" s="1"/>
  <c r="X473" i="11" s="1"/>
  <c r="Y473" i="11" s="1"/>
  <c r="Z473" i="11" s="1"/>
  <c r="AA473" i="11" s="1"/>
  <c r="AB473" i="11" s="1"/>
  <c r="AC473" i="11" s="1"/>
  <c r="AD473" i="11" s="1"/>
  <c r="AE473" i="11" s="1"/>
  <c r="AF473" i="11" s="1"/>
  <c r="AG473" i="11" s="1"/>
  <c r="AH473" i="11" s="1"/>
  <c r="AI473" i="11" s="1"/>
  <c r="AJ473" i="11" s="1"/>
  <c r="AK473" i="11" s="1"/>
  <c r="AL473" i="11" s="1"/>
  <c r="AR473" i="11"/>
  <c r="AT473" i="11"/>
  <c r="BB473" i="11"/>
  <c r="BJ473" i="11"/>
  <c r="BR473" i="11"/>
  <c r="AP473" i="11"/>
  <c r="AX473" i="11"/>
  <c r="BF473" i="11"/>
  <c r="BN473" i="11"/>
  <c r="AM473" i="11"/>
  <c r="AQ473" i="11"/>
  <c r="AU473" i="11"/>
  <c r="AY473" i="11"/>
  <c r="BC473" i="11"/>
  <c r="BG473" i="11"/>
  <c r="BK473" i="11"/>
  <c r="BO473" i="11"/>
  <c r="BS473" i="11"/>
  <c r="AO473" i="11"/>
  <c r="AS473" i="11"/>
  <c r="AW473" i="11"/>
  <c r="BA473" i="11"/>
  <c r="BE473" i="11"/>
  <c r="BI473" i="11"/>
  <c r="BM473" i="11"/>
  <c r="BQ473" i="11"/>
  <c r="AP477" i="11"/>
  <c r="BN477" i="11"/>
  <c r="B477" i="11"/>
  <c r="D477" i="11" s="1"/>
  <c r="E477" i="11" s="1"/>
  <c r="F477" i="11" s="1"/>
  <c r="G477" i="11" s="1"/>
  <c r="H477" i="11" s="1"/>
  <c r="I477" i="11" s="1"/>
  <c r="J477" i="11" s="1"/>
  <c r="K477" i="11" s="1"/>
  <c r="L477" i="11" s="1"/>
  <c r="M477" i="11" s="1"/>
  <c r="N477" i="11" s="1"/>
  <c r="O477" i="11" s="1"/>
  <c r="P477" i="11" s="1"/>
  <c r="Q477" i="11" s="1"/>
  <c r="R477" i="11" s="1"/>
  <c r="S477" i="11" s="1"/>
  <c r="T477" i="11" s="1"/>
  <c r="U477" i="11" s="1"/>
  <c r="V477" i="11" s="1"/>
  <c r="W477" i="11" s="1"/>
  <c r="X477" i="11" s="1"/>
  <c r="Y477" i="11" s="1"/>
  <c r="Z477" i="11" s="1"/>
  <c r="AA477" i="11" s="1"/>
  <c r="AB477" i="11" s="1"/>
  <c r="AC477" i="11" s="1"/>
  <c r="AD477" i="11" s="1"/>
  <c r="AE477" i="11" s="1"/>
  <c r="AF477" i="11" s="1"/>
  <c r="AG477" i="11" s="1"/>
  <c r="AH477" i="11" s="1"/>
  <c r="AI477" i="11" s="1"/>
  <c r="AJ477" i="11" s="1"/>
  <c r="AK477" i="11" s="1"/>
  <c r="AL477" i="11" s="1"/>
  <c r="BF477" i="11"/>
  <c r="AX477" i="11"/>
  <c r="BU477" i="11"/>
  <c r="BP477" i="11"/>
  <c r="BH477" i="11"/>
  <c r="AZ477" i="11"/>
  <c r="AR477" i="11"/>
  <c r="AT477" i="11"/>
  <c r="BJ477" i="11"/>
  <c r="BT477" i="11"/>
  <c r="BD477" i="11"/>
  <c r="AN477" i="11"/>
  <c r="BR477" i="11"/>
  <c r="BL477" i="11"/>
  <c r="AV477" i="11"/>
  <c r="BB477" i="11"/>
  <c r="AM477" i="11"/>
  <c r="AQ477" i="11"/>
  <c r="AU477" i="11"/>
  <c r="AY477" i="11"/>
  <c r="BC477" i="11"/>
  <c r="BG477" i="11"/>
  <c r="BK477" i="11"/>
  <c r="BO477" i="11"/>
  <c r="BS477" i="11"/>
  <c r="AO477" i="11"/>
  <c r="AS477" i="11"/>
  <c r="AW477" i="11"/>
  <c r="BA477" i="11"/>
  <c r="BE477" i="11"/>
  <c r="BI477" i="11"/>
  <c r="BM477" i="11"/>
  <c r="BQ477" i="11"/>
  <c r="BF481" i="11"/>
  <c r="BN481" i="11"/>
  <c r="AP481" i="11"/>
  <c r="AX481" i="11"/>
  <c r="BT481" i="11"/>
  <c r="BL481" i="11"/>
  <c r="BD481" i="11"/>
  <c r="AV481" i="11"/>
  <c r="AN481" i="11"/>
  <c r="BU481" i="11"/>
  <c r="BH481" i="11"/>
  <c r="AR481" i="11"/>
  <c r="AT481" i="11"/>
  <c r="BJ481" i="11"/>
  <c r="BP481" i="11"/>
  <c r="AZ481" i="11"/>
  <c r="B481" i="11"/>
  <c r="D481" i="11" s="1"/>
  <c r="E481" i="11" s="1"/>
  <c r="F481" i="11" s="1"/>
  <c r="G481" i="11" s="1"/>
  <c r="H481" i="11" s="1"/>
  <c r="I481" i="11" s="1"/>
  <c r="J481" i="11" s="1"/>
  <c r="K481" i="11" s="1"/>
  <c r="L481" i="11" s="1"/>
  <c r="M481" i="11" s="1"/>
  <c r="N481" i="11" s="1"/>
  <c r="O481" i="11" s="1"/>
  <c r="P481" i="11" s="1"/>
  <c r="Q481" i="11" s="1"/>
  <c r="R481" i="11" s="1"/>
  <c r="S481" i="11" s="1"/>
  <c r="T481" i="11" s="1"/>
  <c r="U481" i="11" s="1"/>
  <c r="V481" i="11" s="1"/>
  <c r="W481" i="11" s="1"/>
  <c r="X481" i="11" s="1"/>
  <c r="Y481" i="11" s="1"/>
  <c r="Z481" i="11" s="1"/>
  <c r="AA481" i="11" s="1"/>
  <c r="AB481" i="11" s="1"/>
  <c r="AC481" i="11" s="1"/>
  <c r="AD481" i="11" s="1"/>
  <c r="AE481" i="11" s="1"/>
  <c r="AF481" i="11" s="1"/>
  <c r="AG481" i="11" s="1"/>
  <c r="AH481" i="11" s="1"/>
  <c r="AI481" i="11" s="1"/>
  <c r="AJ481" i="11" s="1"/>
  <c r="AK481" i="11" s="1"/>
  <c r="AL481" i="11" s="1"/>
  <c r="BB481" i="11"/>
  <c r="BR481" i="11"/>
  <c r="AM481" i="11"/>
  <c r="AQ481" i="11"/>
  <c r="AU481" i="11"/>
  <c r="AY481" i="11"/>
  <c r="BC481" i="11"/>
  <c r="BG481" i="11"/>
  <c r="BK481" i="11"/>
  <c r="BO481" i="11"/>
  <c r="BS481" i="11"/>
  <c r="AO481" i="11"/>
  <c r="AS481" i="11"/>
  <c r="AW481" i="11"/>
  <c r="BA481" i="11"/>
  <c r="BE481" i="11"/>
  <c r="BI481" i="11"/>
  <c r="BM481" i="11"/>
  <c r="BQ481" i="11"/>
  <c r="BN485" i="11"/>
  <c r="AP485" i="11"/>
  <c r="BF485" i="11"/>
  <c r="AX485" i="11"/>
  <c r="BT485" i="11"/>
  <c r="BL485" i="11"/>
  <c r="BD485" i="11"/>
  <c r="AV485" i="11"/>
  <c r="AN485" i="11"/>
  <c r="AT485" i="11"/>
  <c r="BJ485" i="11"/>
  <c r="BU485" i="11"/>
  <c r="BP485" i="11"/>
  <c r="BH485" i="11"/>
  <c r="AZ485" i="11"/>
  <c r="AR485" i="11"/>
  <c r="B485" i="11"/>
  <c r="D485" i="11" s="1"/>
  <c r="E485" i="11" s="1"/>
  <c r="F485" i="11" s="1"/>
  <c r="G485" i="11" s="1"/>
  <c r="H485" i="11" s="1"/>
  <c r="I485" i="11" s="1"/>
  <c r="J485" i="11" s="1"/>
  <c r="K485" i="11" s="1"/>
  <c r="L485" i="11" s="1"/>
  <c r="M485" i="11" s="1"/>
  <c r="N485" i="11" s="1"/>
  <c r="O485" i="11" s="1"/>
  <c r="P485" i="11" s="1"/>
  <c r="Q485" i="11" s="1"/>
  <c r="R485" i="11" s="1"/>
  <c r="S485" i="11" s="1"/>
  <c r="T485" i="11" s="1"/>
  <c r="U485" i="11" s="1"/>
  <c r="V485" i="11" s="1"/>
  <c r="W485" i="11" s="1"/>
  <c r="X485" i="11" s="1"/>
  <c r="Y485" i="11" s="1"/>
  <c r="Z485" i="11" s="1"/>
  <c r="AA485" i="11" s="1"/>
  <c r="AB485" i="11" s="1"/>
  <c r="AC485" i="11" s="1"/>
  <c r="AD485" i="11" s="1"/>
  <c r="AE485" i="11" s="1"/>
  <c r="AF485" i="11" s="1"/>
  <c r="AG485" i="11" s="1"/>
  <c r="AH485" i="11" s="1"/>
  <c r="AI485" i="11" s="1"/>
  <c r="AJ485" i="11" s="1"/>
  <c r="AK485" i="11" s="1"/>
  <c r="AL485" i="11" s="1"/>
  <c r="BB485" i="11"/>
  <c r="BR485" i="11"/>
  <c r="AM485" i="11"/>
  <c r="AQ485" i="11"/>
  <c r="AU485" i="11"/>
  <c r="AY485" i="11"/>
  <c r="BC485" i="11"/>
  <c r="BG485" i="11"/>
  <c r="BK485" i="11"/>
  <c r="BO485" i="11"/>
  <c r="BS485" i="11"/>
  <c r="AO485" i="11"/>
  <c r="AS485" i="11"/>
  <c r="AW485" i="11"/>
  <c r="BA485" i="11"/>
  <c r="BE485" i="11"/>
  <c r="BI485" i="11"/>
  <c r="BM485" i="11"/>
  <c r="BQ485" i="11"/>
  <c r="BN489" i="11"/>
  <c r="AP489" i="11"/>
  <c r="AX489" i="11"/>
  <c r="BF489" i="11"/>
  <c r="BT489" i="11"/>
  <c r="BL489" i="11"/>
  <c r="BD489" i="11"/>
  <c r="AV489" i="11"/>
  <c r="AN489" i="11"/>
  <c r="AT489" i="11"/>
  <c r="BJ489" i="11"/>
  <c r="BU489" i="11"/>
  <c r="BP489" i="11"/>
  <c r="BH489" i="11"/>
  <c r="AZ489" i="11"/>
  <c r="AR489" i="11"/>
  <c r="B489" i="11"/>
  <c r="D489" i="11" s="1"/>
  <c r="E489" i="11" s="1"/>
  <c r="F489" i="11" s="1"/>
  <c r="G489" i="11" s="1"/>
  <c r="H489" i="11" s="1"/>
  <c r="I489" i="11" s="1"/>
  <c r="J489" i="11" s="1"/>
  <c r="K489" i="11" s="1"/>
  <c r="L489" i="11" s="1"/>
  <c r="M489" i="11" s="1"/>
  <c r="N489" i="11" s="1"/>
  <c r="O489" i="11" s="1"/>
  <c r="P489" i="11" s="1"/>
  <c r="Q489" i="11" s="1"/>
  <c r="R489" i="11" s="1"/>
  <c r="S489" i="11" s="1"/>
  <c r="T489" i="11" s="1"/>
  <c r="U489" i="11" s="1"/>
  <c r="V489" i="11" s="1"/>
  <c r="W489" i="11" s="1"/>
  <c r="X489" i="11" s="1"/>
  <c r="Y489" i="11" s="1"/>
  <c r="Z489" i="11" s="1"/>
  <c r="AA489" i="11" s="1"/>
  <c r="AB489" i="11" s="1"/>
  <c r="AC489" i="11" s="1"/>
  <c r="AD489" i="11" s="1"/>
  <c r="AE489" i="11" s="1"/>
  <c r="AF489" i="11" s="1"/>
  <c r="AG489" i="11" s="1"/>
  <c r="AH489" i="11" s="1"/>
  <c r="AI489" i="11" s="1"/>
  <c r="AJ489" i="11" s="1"/>
  <c r="AK489" i="11" s="1"/>
  <c r="AL489" i="11" s="1"/>
  <c r="BB489" i="11"/>
  <c r="BR489" i="11"/>
  <c r="AM489" i="11"/>
  <c r="AQ489" i="11"/>
  <c r="AU489" i="11"/>
  <c r="AY489" i="11"/>
  <c r="BC489" i="11"/>
  <c r="BG489" i="11"/>
  <c r="BK489" i="11"/>
  <c r="BO489" i="11"/>
  <c r="BS489" i="11"/>
  <c r="AO489" i="11"/>
  <c r="AS489" i="11"/>
  <c r="AW489" i="11"/>
  <c r="BA489" i="11"/>
  <c r="BE489" i="11"/>
  <c r="BI489" i="11"/>
  <c r="BM489" i="11"/>
  <c r="BQ489" i="11"/>
  <c r="BN493" i="11"/>
  <c r="AR493" i="11"/>
  <c r="BF493" i="11"/>
  <c r="AN493" i="11"/>
  <c r="AZ493" i="11"/>
  <c r="AV493" i="11"/>
  <c r="B493" i="11"/>
  <c r="D493" i="11" s="1"/>
  <c r="E493" i="11" s="1"/>
  <c r="F493" i="11" s="1"/>
  <c r="G493" i="11" s="1"/>
  <c r="H493" i="11" s="1"/>
  <c r="I493" i="11" s="1"/>
  <c r="J493" i="11" s="1"/>
  <c r="K493" i="11" s="1"/>
  <c r="L493" i="11" s="1"/>
  <c r="M493" i="11" s="1"/>
  <c r="N493" i="11" s="1"/>
  <c r="O493" i="11" s="1"/>
  <c r="P493" i="11" s="1"/>
  <c r="Q493" i="11" s="1"/>
  <c r="R493" i="11" s="1"/>
  <c r="S493" i="11" s="1"/>
  <c r="T493" i="11" s="1"/>
  <c r="U493" i="11" s="1"/>
  <c r="V493" i="11" s="1"/>
  <c r="W493" i="11" s="1"/>
  <c r="X493" i="11" s="1"/>
  <c r="Y493" i="11" s="1"/>
  <c r="Z493" i="11" s="1"/>
  <c r="AA493" i="11" s="1"/>
  <c r="AB493" i="11" s="1"/>
  <c r="AC493" i="11" s="1"/>
  <c r="AD493" i="11" s="1"/>
  <c r="AE493" i="11" s="1"/>
  <c r="AF493" i="11" s="1"/>
  <c r="AG493" i="11" s="1"/>
  <c r="AH493" i="11" s="1"/>
  <c r="AI493" i="11" s="1"/>
  <c r="AJ493" i="11" s="1"/>
  <c r="AK493" i="11" s="1"/>
  <c r="AL493" i="11" s="1"/>
  <c r="BU493" i="11"/>
  <c r="BP493" i="11"/>
  <c r="BH493" i="11"/>
  <c r="AP493" i="11"/>
  <c r="AX493" i="11"/>
  <c r="BJ493" i="11"/>
  <c r="BT493" i="11"/>
  <c r="BL493" i="11"/>
  <c r="BD493" i="11"/>
  <c r="AT493" i="11"/>
  <c r="BB493" i="11"/>
  <c r="BR493" i="11"/>
  <c r="AO493" i="11"/>
  <c r="AS493" i="11"/>
  <c r="AW493" i="11"/>
  <c r="BA493" i="11"/>
  <c r="BE493" i="11"/>
  <c r="BI493" i="11"/>
  <c r="BM493" i="11"/>
  <c r="BQ493" i="11"/>
  <c r="AM493" i="11"/>
  <c r="AQ493" i="11"/>
  <c r="AU493" i="11"/>
  <c r="AY493" i="11"/>
  <c r="BC493" i="11"/>
  <c r="BG493" i="11"/>
  <c r="BK493" i="11"/>
  <c r="BO493" i="11"/>
  <c r="BS493" i="11"/>
  <c r="BF497" i="11"/>
  <c r="AX497" i="11"/>
  <c r="AP497" i="11"/>
  <c r="BN497" i="11"/>
  <c r="BT497" i="11"/>
  <c r="BL497" i="11"/>
  <c r="BD497" i="11"/>
  <c r="AV497" i="11"/>
  <c r="AN497" i="11"/>
  <c r="AT497" i="11"/>
  <c r="BJ497" i="11"/>
  <c r="BU497" i="11"/>
  <c r="BP497" i="11"/>
  <c r="BH497" i="11"/>
  <c r="AZ497" i="11"/>
  <c r="AR497" i="11"/>
  <c r="B497" i="11"/>
  <c r="D497" i="11" s="1"/>
  <c r="E497" i="11" s="1"/>
  <c r="F497" i="11" s="1"/>
  <c r="G497" i="11" s="1"/>
  <c r="H497" i="11" s="1"/>
  <c r="I497" i="11" s="1"/>
  <c r="J497" i="11" s="1"/>
  <c r="K497" i="11" s="1"/>
  <c r="L497" i="11" s="1"/>
  <c r="M497" i="11" s="1"/>
  <c r="N497" i="11" s="1"/>
  <c r="O497" i="11" s="1"/>
  <c r="P497" i="11" s="1"/>
  <c r="Q497" i="11" s="1"/>
  <c r="R497" i="11" s="1"/>
  <c r="S497" i="11" s="1"/>
  <c r="T497" i="11" s="1"/>
  <c r="U497" i="11" s="1"/>
  <c r="V497" i="11" s="1"/>
  <c r="W497" i="11" s="1"/>
  <c r="X497" i="11" s="1"/>
  <c r="Y497" i="11" s="1"/>
  <c r="Z497" i="11" s="1"/>
  <c r="AA497" i="11" s="1"/>
  <c r="AB497" i="11" s="1"/>
  <c r="AC497" i="11" s="1"/>
  <c r="AD497" i="11" s="1"/>
  <c r="AE497" i="11" s="1"/>
  <c r="AF497" i="11" s="1"/>
  <c r="AG497" i="11" s="1"/>
  <c r="AH497" i="11" s="1"/>
  <c r="AI497" i="11" s="1"/>
  <c r="AJ497" i="11" s="1"/>
  <c r="AK497" i="11" s="1"/>
  <c r="AL497" i="11" s="1"/>
  <c r="BB497" i="11"/>
  <c r="BR497" i="11"/>
  <c r="AM497" i="11"/>
  <c r="AQ497" i="11"/>
  <c r="AU497" i="11"/>
  <c r="AY497" i="11"/>
  <c r="BC497" i="11"/>
  <c r="BG497" i="11"/>
  <c r="BK497" i="11"/>
  <c r="BO497" i="11"/>
  <c r="BS497" i="11"/>
  <c r="AO497" i="11"/>
  <c r="AW497" i="11"/>
  <c r="BE497" i="11"/>
  <c r="BM497" i="11"/>
  <c r="AS497" i="11"/>
  <c r="BA497" i="11"/>
  <c r="BI497" i="11"/>
  <c r="BQ497" i="11"/>
  <c r="BB501" i="11"/>
  <c r="BT501" i="11"/>
  <c r="BL501" i="11"/>
  <c r="BD501" i="11"/>
  <c r="AV501" i="11"/>
  <c r="AN501" i="11"/>
  <c r="BN501" i="11"/>
  <c r="AX501" i="11"/>
  <c r="BJ501" i="11"/>
  <c r="BR501" i="11"/>
  <c r="BU501" i="11"/>
  <c r="BP501" i="11"/>
  <c r="BH501" i="11"/>
  <c r="AZ501" i="11"/>
  <c r="AR501" i="11"/>
  <c r="B501" i="11"/>
  <c r="D501" i="11" s="1"/>
  <c r="E501" i="11" s="1"/>
  <c r="F501" i="11" s="1"/>
  <c r="G501" i="11" s="1"/>
  <c r="H501" i="11" s="1"/>
  <c r="I501" i="11" s="1"/>
  <c r="J501" i="11" s="1"/>
  <c r="K501" i="11" s="1"/>
  <c r="L501" i="11" s="1"/>
  <c r="M501" i="11" s="1"/>
  <c r="N501" i="11" s="1"/>
  <c r="O501" i="11" s="1"/>
  <c r="P501" i="11" s="1"/>
  <c r="Q501" i="11" s="1"/>
  <c r="R501" i="11" s="1"/>
  <c r="S501" i="11" s="1"/>
  <c r="T501" i="11" s="1"/>
  <c r="U501" i="11" s="1"/>
  <c r="V501" i="11" s="1"/>
  <c r="W501" i="11" s="1"/>
  <c r="X501" i="11" s="1"/>
  <c r="Y501" i="11" s="1"/>
  <c r="Z501" i="11" s="1"/>
  <c r="AA501" i="11" s="1"/>
  <c r="AB501" i="11" s="1"/>
  <c r="AC501" i="11" s="1"/>
  <c r="AD501" i="11" s="1"/>
  <c r="AE501" i="11" s="1"/>
  <c r="AF501" i="11" s="1"/>
  <c r="AG501" i="11" s="1"/>
  <c r="AH501" i="11" s="1"/>
  <c r="AI501" i="11" s="1"/>
  <c r="AJ501" i="11" s="1"/>
  <c r="AK501" i="11" s="1"/>
  <c r="AL501" i="11" s="1"/>
  <c r="BF501" i="11"/>
  <c r="AP501" i="11"/>
  <c r="AT501" i="11"/>
  <c r="AO501" i="11"/>
  <c r="AS501" i="11"/>
  <c r="AW501" i="11"/>
  <c r="BA501" i="11"/>
  <c r="BE501" i="11"/>
  <c r="BI501" i="11"/>
  <c r="BM501" i="11"/>
  <c r="BQ501" i="11"/>
  <c r="AM501" i="11"/>
  <c r="AQ501" i="11"/>
  <c r="AU501" i="11"/>
  <c r="AY501" i="11"/>
  <c r="BC501" i="11"/>
  <c r="BG501" i="11"/>
  <c r="BK501" i="11"/>
  <c r="BO501" i="11"/>
  <c r="BS501" i="11"/>
  <c r="BB505" i="11"/>
  <c r="BT505" i="11"/>
  <c r="BL505" i="11"/>
  <c r="BD505" i="11"/>
  <c r="AV505" i="11"/>
  <c r="AN505" i="11"/>
  <c r="BN505" i="11"/>
  <c r="AX505" i="11"/>
  <c r="BJ505" i="11"/>
  <c r="BR505" i="11"/>
  <c r="BU505" i="11"/>
  <c r="BP505" i="11"/>
  <c r="BH505" i="11"/>
  <c r="AZ505" i="11"/>
  <c r="AR505" i="11"/>
  <c r="B505" i="11"/>
  <c r="D505" i="11" s="1"/>
  <c r="E505" i="11" s="1"/>
  <c r="F505" i="11" s="1"/>
  <c r="G505" i="11" s="1"/>
  <c r="H505" i="11" s="1"/>
  <c r="I505" i="11" s="1"/>
  <c r="J505" i="11" s="1"/>
  <c r="K505" i="11" s="1"/>
  <c r="L505" i="11" s="1"/>
  <c r="M505" i="11" s="1"/>
  <c r="N505" i="11" s="1"/>
  <c r="O505" i="11" s="1"/>
  <c r="P505" i="11" s="1"/>
  <c r="Q505" i="11" s="1"/>
  <c r="R505" i="11" s="1"/>
  <c r="S505" i="11" s="1"/>
  <c r="T505" i="11" s="1"/>
  <c r="U505" i="11" s="1"/>
  <c r="V505" i="11" s="1"/>
  <c r="W505" i="11" s="1"/>
  <c r="X505" i="11" s="1"/>
  <c r="Y505" i="11" s="1"/>
  <c r="Z505" i="11" s="1"/>
  <c r="AA505" i="11" s="1"/>
  <c r="AB505" i="11" s="1"/>
  <c r="AC505" i="11" s="1"/>
  <c r="AD505" i="11" s="1"/>
  <c r="AE505" i="11" s="1"/>
  <c r="AF505" i="11" s="1"/>
  <c r="AG505" i="11" s="1"/>
  <c r="AH505" i="11" s="1"/>
  <c r="AI505" i="11" s="1"/>
  <c r="AJ505" i="11" s="1"/>
  <c r="AK505" i="11" s="1"/>
  <c r="AL505" i="11" s="1"/>
  <c r="BF505" i="11"/>
  <c r="AP505" i="11"/>
  <c r="AT505" i="11"/>
  <c r="AO505" i="11"/>
  <c r="AS505" i="11"/>
  <c r="AW505" i="11"/>
  <c r="BA505" i="11"/>
  <c r="BE505" i="11"/>
  <c r="BI505" i="11"/>
  <c r="BM505" i="11"/>
  <c r="BQ505" i="11"/>
  <c r="AM505" i="11"/>
  <c r="AQ505" i="11"/>
  <c r="AU505" i="11"/>
  <c r="AY505" i="11"/>
  <c r="BC505" i="11"/>
  <c r="BG505" i="11"/>
  <c r="BK505" i="11"/>
  <c r="BO505" i="11"/>
  <c r="BS505" i="11"/>
  <c r="BG509" i="11"/>
  <c r="AQ509" i="11"/>
  <c r="BT509" i="11"/>
  <c r="BP509" i="11"/>
  <c r="BL509" i="11"/>
  <c r="BH509" i="11"/>
  <c r="BD509" i="11"/>
  <c r="AZ509" i="11"/>
  <c r="AV509" i="11"/>
  <c r="AR509" i="11"/>
  <c r="AN509" i="11"/>
  <c r="BU509" i="11"/>
  <c r="BM509" i="11"/>
  <c r="BE509" i="11"/>
  <c r="AW509" i="11"/>
  <c r="AO509" i="11"/>
  <c r="BK509" i="11"/>
  <c r="AU509" i="11"/>
  <c r="AY509" i="11"/>
  <c r="BR509" i="11"/>
  <c r="BN509" i="11"/>
  <c r="BJ509" i="11"/>
  <c r="BF509" i="11"/>
  <c r="BB509" i="11"/>
  <c r="AX509" i="11"/>
  <c r="AT509" i="11"/>
  <c r="AP509" i="11"/>
  <c r="B509" i="11"/>
  <c r="D509" i="11" s="1"/>
  <c r="E509" i="11" s="1"/>
  <c r="F509" i="11" s="1"/>
  <c r="G509" i="11" s="1"/>
  <c r="H509" i="11" s="1"/>
  <c r="I509" i="11" s="1"/>
  <c r="J509" i="11" s="1"/>
  <c r="K509" i="11" s="1"/>
  <c r="L509" i="11" s="1"/>
  <c r="M509" i="11" s="1"/>
  <c r="N509" i="11" s="1"/>
  <c r="O509" i="11" s="1"/>
  <c r="P509" i="11" s="1"/>
  <c r="Q509" i="11" s="1"/>
  <c r="R509" i="11" s="1"/>
  <c r="S509" i="11" s="1"/>
  <c r="T509" i="11" s="1"/>
  <c r="U509" i="11" s="1"/>
  <c r="V509" i="11" s="1"/>
  <c r="W509" i="11" s="1"/>
  <c r="X509" i="11" s="1"/>
  <c r="Y509" i="11" s="1"/>
  <c r="Z509" i="11" s="1"/>
  <c r="AA509" i="11" s="1"/>
  <c r="AB509" i="11" s="1"/>
  <c r="AC509" i="11" s="1"/>
  <c r="AD509" i="11" s="1"/>
  <c r="AE509" i="11" s="1"/>
  <c r="AF509" i="11" s="1"/>
  <c r="AG509" i="11" s="1"/>
  <c r="AH509" i="11" s="1"/>
  <c r="AI509" i="11" s="1"/>
  <c r="AJ509" i="11" s="1"/>
  <c r="AK509" i="11" s="1"/>
  <c r="AL509" i="11" s="1"/>
  <c r="BQ509" i="11"/>
  <c r="BI509" i="11"/>
  <c r="BA509" i="11"/>
  <c r="AS509" i="11"/>
  <c r="BS509" i="11"/>
  <c r="BC509" i="11"/>
  <c r="AM509" i="11"/>
  <c r="BO509" i="11"/>
  <c r="BG513" i="11"/>
  <c r="AQ513" i="11"/>
  <c r="BT513" i="11"/>
  <c r="BP513" i="11"/>
  <c r="BL513" i="11"/>
  <c r="BH513" i="11"/>
  <c r="BD513" i="11"/>
  <c r="AZ513" i="11"/>
  <c r="AV513" i="11"/>
  <c r="AR513" i="11"/>
  <c r="AN513" i="11"/>
  <c r="BU513" i="11"/>
  <c r="BM513" i="11"/>
  <c r="BE513" i="11"/>
  <c r="AW513" i="11"/>
  <c r="AO513" i="11"/>
  <c r="BK513" i="11"/>
  <c r="AU513" i="11"/>
  <c r="AY513" i="11"/>
  <c r="BR513" i="11"/>
  <c r="BN513" i="11"/>
  <c r="BJ513" i="11"/>
  <c r="BF513" i="11"/>
  <c r="BB513" i="11"/>
  <c r="AX513" i="11"/>
  <c r="AT513" i="11"/>
  <c r="AP513" i="11"/>
  <c r="B513" i="11"/>
  <c r="D513" i="11" s="1"/>
  <c r="E513" i="11" s="1"/>
  <c r="F513" i="11" s="1"/>
  <c r="G513" i="11" s="1"/>
  <c r="H513" i="11" s="1"/>
  <c r="I513" i="11" s="1"/>
  <c r="J513" i="11" s="1"/>
  <c r="K513" i="11" s="1"/>
  <c r="L513" i="11" s="1"/>
  <c r="M513" i="11" s="1"/>
  <c r="N513" i="11" s="1"/>
  <c r="O513" i="11" s="1"/>
  <c r="P513" i="11" s="1"/>
  <c r="Q513" i="11" s="1"/>
  <c r="R513" i="11" s="1"/>
  <c r="S513" i="11" s="1"/>
  <c r="T513" i="11" s="1"/>
  <c r="U513" i="11" s="1"/>
  <c r="V513" i="11" s="1"/>
  <c r="W513" i="11" s="1"/>
  <c r="X513" i="11" s="1"/>
  <c r="Y513" i="11" s="1"/>
  <c r="Z513" i="11" s="1"/>
  <c r="AA513" i="11" s="1"/>
  <c r="AB513" i="11" s="1"/>
  <c r="AC513" i="11" s="1"/>
  <c r="AD513" i="11" s="1"/>
  <c r="AE513" i="11" s="1"/>
  <c r="AF513" i="11" s="1"/>
  <c r="AG513" i="11" s="1"/>
  <c r="AH513" i="11" s="1"/>
  <c r="AI513" i="11" s="1"/>
  <c r="AJ513" i="11" s="1"/>
  <c r="AK513" i="11" s="1"/>
  <c r="AL513" i="11" s="1"/>
  <c r="BQ513" i="11"/>
  <c r="BI513" i="11"/>
  <c r="BA513" i="11"/>
  <c r="AS513" i="11"/>
  <c r="BS513" i="11"/>
  <c r="BC513" i="11"/>
  <c r="AM513" i="11"/>
  <c r="BO513" i="11"/>
  <c r="AY517" i="11"/>
  <c r="BT517" i="11"/>
  <c r="BP517" i="11"/>
  <c r="BL517" i="11"/>
  <c r="BH517" i="11"/>
  <c r="BD517" i="11"/>
  <c r="AZ517" i="11"/>
  <c r="AV517" i="11"/>
  <c r="AR517" i="11"/>
  <c r="AN517" i="11"/>
  <c r="BU517" i="11"/>
  <c r="BM517" i="11"/>
  <c r="BE517" i="11"/>
  <c r="AW517" i="11"/>
  <c r="AO517" i="11"/>
  <c r="BK517" i="11"/>
  <c r="AU517" i="11"/>
  <c r="BG517" i="11"/>
  <c r="BO517" i="11"/>
  <c r="BR517" i="11"/>
  <c r="BN517" i="11"/>
  <c r="BJ517" i="11"/>
  <c r="BF517" i="11"/>
  <c r="BB517" i="11"/>
  <c r="AX517" i="11"/>
  <c r="AT517" i="11"/>
  <c r="AP517" i="11"/>
  <c r="B517" i="11"/>
  <c r="D517" i="11" s="1"/>
  <c r="E517" i="11" s="1"/>
  <c r="F517" i="11" s="1"/>
  <c r="G517" i="11" s="1"/>
  <c r="H517" i="11" s="1"/>
  <c r="I517" i="11" s="1"/>
  <c r="J517" i="11" s="1"/>
  <c r="K517" i="11" s="1"/>
  <c r="L517" i="11" s="1"/>
  <c r="M517" i="11" s="1"/>
  <c r="N517" i="11" s="1"/>
  <c r="O517" i="11" s="1"/>
  <c r="P517" i="11" s="1"/>
  <c r="Q517" i="11" s="1"/>
  <c r="R517" i="11" s="1"/>
  <c r="S517" i="11" s="1"/>
  <c r="T517" i="11" s="1"/>
  <c r="U517" i="11" s="1"/>
  <c r="V517" i="11" s="1"/>
  <c r="W517" i="11" s="1"/>
  <c r="X517" i="11" s="1"/>
  <c r="Y517" i="11" s="1"/>
  <c r="Z517" i="11" s="1"/>
  <c r="AA517" i="11" s="1"/>
  <c r="AB517" i="11" s="1"/>
  <c r="AC517" i="11" s="1"/>
  <c r="AD517" i="11" s="1"/>
  <c r="AE517" i="11" s="1"/>
  <c r="AF517" i="11" s="1"/>
  <c r="AG517" i="11" s="1"/>
  <c r="AH517" i="11" s="1"/>
  <c r="AI517" i="11" s="1"/>
  <c r="AJ517" i="11" s="1"/>
  <c r="AK517" i="11" s="1"/>
  <c r="AL517" i="11" s="1"/>
  <c r="BQ517" i="11"/>
  <c r="BI517" i="11"/>
  <c r="BA517" i="11"/>
  <c r="AS517" i="11"/>
  <c r="BS517" i="11"/>
  <c r="BC517" i="11"/>
  <c r="AM517" i="11"/>
  <c r="AQ517" i="11"/>
  <c r="BU424" i="11"/>
  <c r="B424" i="11"/>
  <c r="D424" i="11" s="1"/>
  <c r="E424" i="11" s="1"/>
  <c r="F424" i="11" s="1"/>
  <c r="G424" i="11" s="1"/>
  <c r="H424" i="11" s="1"/>
  <c r="I424" i="11" s="1"/>
  <c r="J424" i="11" s="1"/>
  <c r="K424" i="11" s="1"/>
  <c r="L424" i="11" s="1"/>
  <c r="M424" i="11" s="1"/>
  <c r="N424" i="11" s="1"/>
  <c r="O424" i="11" s="1"/>
  <c r="P424" i="11" s="1"/>
  <c r="Q424" i="11" s="1"/>
  <c r="R424" i="11" s="1"/>
  <c r="S424" i="11" s="1"/>
  <c r="T424" i="11" s="1"/>
  <c r="U424" i="11" s="1"/>
  <c r="V424" i="11" s="1"/>
  <c r="W424" i="11" s="1"/>
  <c r="X424" i="11" s="1"/>
  <c r="Y424" i="11" s="1"/>
  <c r="Z424" i="11" s="1"/>
  <c r="AA424" i="11" s="1"/>
  <c r="AB424" i="11" s="1"/>
  <c r="AC424" i="11" s="1"/>
  <c r="AD424" i="11" s="1"/>
  <c r="AE424" i="11" s="1"/>
  <c r="AF424" i="11" s="1"/>
  <c r="AG424" i="11" s="1"/>
  <c r="AH424" i="11" s="1"/>
  <c r="AI424" i="11" s="1"/>
  <c r="AJ424" i="11" s="1"/>
  <c r="AK424" i="11" s="1"/>
  <c r="AL424" i="11" s="1"/>
  <c r="BD424" i="11"/>
  <c r="AN424" i="11"/>
  <c r="BT424" i="11"/>
  <c r="BL424" i="11"/>
  <c r="AZ424" i="11"/>
  <c r="BP424" i="11"/>
  <c r="AV424" i="11"/>
  <c r="AR424" i="11"/>
  <c r="BH424" i="11"/>
  <c r="AP424" i="11"/>
  <c r="AX424" i="11"/>
  <c r="BF424" i="11"/>
  <c r="BN424" i="11"/>
  <c r="AT424" i="11"/>
  <c r="BB424" i="11"/>
  <c r="BJ424" i="11"/>
  <c r="BR424" i="11"/>
  <c r="AO424" i="11"/>
  <c r="AS424" i="11"/>
  <c r="AW424" i="11"/>
  <c r="BA424" i="11"/>
  <c r="BE424" i="11"/>
  <c r="BI424" i="11"/>
  <c r="BM424" i="11"/>
  <c r="BQ424" i="11"/>
  <c r="AM424" i="11"/>
  <c r="AQ424" i="11"/>
  <c r="AU424" i="11"/>
  <c r="AY424" i="11"/>
  <c r="BC424" i="11"/>
  <c r="BG424" i="11"/>
  <c r="BK424" i="11"/>
  <c r="BO424" i="11"/>
  <c r="BS424" i="11"/>
  <c r="BU428" i="11"/>
  <c r="AN428" i="11"/>
  <c r="BT428" i="11"/>
  <c r="BD428" i="11"/>
  <c r="B428" i="11"/>
  <c r="D428" i="11" s="1"/>
  <c r="E428" i="11" s="1"/>
  <c r="F428" i="11" s="1"/>
  <c r="G428" i="11" s="1"/>
  <c r="H428" i="11" s="1"/>
  <c r="I428" i="11" s="1"/>
  <c r="J428" i="11" s="1"/>
  <c r="K428" i="11" s="1"/>
  <c r="L428" i="11" s="1"/>
  <c r="M428" i="11" s="1"/>
  <c r="N428" i="11" s="1"/>
  <c r="O428" i="11" s="1"/>
  <c r="P428" i="11" s="1"/>
  <c r="Q428" i="11" s="1"/>
  <c r="R428" i="11" s="1"/>
  <c r="S428" i="11" s="1"/>
  <c r="T428" i="11" s="1"/>
  <c r="U428" i="11" s="1"/>
  <c r="V428" i="11" s="1"/>
  <c r="W428" i="11" s="1"/>
  <c r="X428" i="11" s="1"/>
  <c r="Y428" i="11" s="1"/>
  <c r="Z428" i="11" s="1"/>
  <c r="AA428" i="11" s="1"/>
  <c r="AB428" i="11" s="1"/>
  <c r="AC428" i="11" s="1"/>
  <c r="AD428" i="11" s="1"/>
  <c r="AE428" i="11" s="1"/>
  <c r="AF428" i="11" s="1"/>
  <c r="AG428" i="11" s="1"/>
  <c r="AH428" i="11" s="1"/>
  <c r="AI428" i="11" s="1"/>
  <c r="AJ428" i="11" s="1"/>
  <c r="AK428" i="11" s="1"/>
  <c r="AL428" i="11" s="1"/>
  <c r="BL428" i="11"/>
  <c r="AZ428" i="11"/>
  <c r="BP428" i="11"/>
  <c r="AV428" i="11"/>
  <c r="AR428" i="11"/>
  <c r="BH428" i="11"/>
  <c r="AP428" i="11"/>
  <c r="AX428" i="11"/>
  <c r="BF428" i="11"/>
  <c r="BN428" i="11"/>
  <c r="AT428" i="11"/>
  <c r="BB428" i="11"/>
  <c r="BJ428" i="11"/>
  <c r="BR428" i="11"/>
  <c r="AO428" i="11"/>
  <c r="AS428" i="11"/>
  <c r="AW428" i="11"/>
  <c r="BA428" i="11"/>
  <c r="BE428" i="11"/>
  <c r="BI428" i="11"/>
  <c r="BM428" i="11"/>
  <c r="BQ428" i="11"/>
  <c r="AM428" i="11"/>
  <c r="AQ428" i="11"/>
  <c r="AU428" i="11"/>
  <c r="AY428" i="11"/>
  <c r="BC428" i="11"/>
  <c r="BG428" i="11"/>
  <c r="BK428" i="11"/>
  <c r="BO428" i="11"/>
  <c r="BS428" i="11"/>
  <c r="BU432" i="11"/>
  <c r="B432" i="11"/>
  <c r="D432" i="11" s="1"/>
  <c r="E432" i="11" s="1"/>
  <c r="F432" i="11" s="1"/>
  <c r="G432" i="11" s="1"/>
  <c r="H432" i="11" s="1"/>
  <c r="I432" i="11" s="1"/>
  <c r="J432" i="11" s="1"/>
  <c r="K432" i="11" s="1"/>
  <c r="L432" i="11" s="1"/>
  <c r="M432" i="11" s="1"/>
  <c r="N432" i="11" s="1"/>
  <c r="O432" i="11" s="1"/>
  <c r="P432" i="11" s="1"/>
  <c r="Q432" i="11" s="1"/>
  <c r="R432" i="11" s="1"/>
  <c r="S432" i="11" s="1"/>
  <c r="T432" i="11" s="1"/>
  <c r="U432" i="11" s="1"/>
  <c r="V432" i="11" s="1"/>
  <c r="W432" i="11" s="1"/>
  <c r="X432" i="11" s="1"/>
  <c r="Y432" i="11" s="1"/>
  <c r="Z432" i="11" s="1"/>
  <c r="AA432" i="11" s="1"/>
  <c r="AB432" i="11" s="1"/>
  <c r="AC432" i="11" s="1"/>
  <c r="AD432" i="11" s="1"/>
  <c r="AE432" i="11" s="1"/>
  <c r="AF432" i="11" s="1"/>
  <c r="AG432" i="11" s="1"/>
  <c r="AH432" i="11" s="1"/>
  <c r="AI432" i="11" s="1"/>
  <c r="AJ432" i="11" s="1"/>
  <c r="AK432" i="11" s="1"/>
  <c r="AL432" i="11" s="1"/>
  <c r="BD432" i="11"/>
  <c r="AN432" i="11"/>
  <c r="BT432" i="11"/>
  <c r="BL432" i="11"/>
  <c r="AZ432" i="11"/>
  <c r="BP432" i="11"/>
  <c r="AV432" i="11"/>
  <c r="AR432" i="11"/>
  <c r="BH432" i="11"/>
  <c r="AP432" i="11"/>
  <c r="AX432" i="11"/>
  <c r="BF432" i="11"/>
  <c r="BN432" i="11"/>
  <c r="AT432" i="11"/>
  <c r="BB432" i="11"/>
  <c r="BJ432" i="11"/>
  <c r="BR432" i="11"/>
  <c r="AO432" i="11"/>
  <c r="AS432" i="11"/>
  <c r="AM432" i="11"/>
  <c r="AQ432" i="11"/>
  <c r="AU432" i="11"/>
  <c r="AY432" i="11"/>
  <c r="BC432" i="11"/>
  <c r="BG432" i="11"/>
  <c r="BK432" i="11"/>
  <c r="BO432" i="11"/>
  <c r="BS432" i="11"/>
  <c r="AW432" i="11"/>
  <c r="BE432" i="11"/>
  <c r="BM432" i="11"/>
  <c r="BA432" i="11"/>
  <c r="BI432" i="11"/>
  <c r="BQ432" i="11"/>
  <c r="BU436" i="11"/>
  <c r="AN436" i="11"/>
  <c r="BT436" i="11"/>
  <c r="BD436" i="11"/>
  <c r="B436" i="11"/>
  <c r="D436" i="11" s="1"/>
  <c r="E436" i="11" s="1"/>
  <c r="F436" i="11" s="1"/>
  <c r="G436" i="11" s="1"/>
  <c r="H436" i="11" s="1"/>
  <c r="I436" i="11" s="1"/>
  <c r="J436" i="11" s="1"/>
  <c r="K436" i="11" s="1"/>
  <c r="L436" i="11" s="1"/>
  <c r="M436" i="11" s="1"/>
  <c r="N436" i="11" s="1"/>
  <c r="O436" i="11" s="1"/>
  <c r="P436" i="11" s="1"/>
  <c r="Q436" i="11" s="1"/>
  <c r="R436" i="11" s="1"/>
  <c r="S436" i="11" s="1"/>
  <c r="T436" i="11" s="1"/>
  <c r="U436" i="11" s="1"/>
  <c r="V436" i="11" s="1"/>
  <c r="W436" i="11" s="1"/>
  <c r="X436" i="11" s="1"/>
  <c r="Y436" i="11" s="1"/>
  <c r="Z436" i="11" s="1"/>
  <c r="AA436" i="11" s="1"/>
  <c r="AB436" i="11" s="1"/>
  <c r="AC436" i="11" s="1"/>
  <c r="AD436" i="11" s="1"/>
  <c r="AE436" i="11" s="1"/>
  <c r="AF436" i="11" s="1"/>
  <c r="AG436" i="11" s="1"/>
  <c r="AH436" i="11" s="1"/>
  <c r="AI436" i="11" s="1"/>
  <c r="AJ436" i="11" s="1"/>
  <c r="AK436" i="11" s="1"/>
  <c r="AL436" i="11" s="1"/>
  <c r="BL436" i="11"/>
  <c r="AZ436" i="11"/>
  <c r="BP436" i="11"/>
  <c r="AV436" i="11"/>
  <c r="AR436" i="11"/>
  <c r="BH436" i="11"/>
  <c r="AP436" i="11"/>
  <c r="AX436" i="11"/>
  <c r="BF436" i="11"/>
  <c r="BN436" i="11"/>
  <c r="AT436" i="11"/>
  <c r="BB436" i="11"/>
  <c r="BJ436" i="11"/>
  <c r="BR436" i="11"/>
  <c r="AM436" i="11"/>
  <c r="AQ436" i="11"/>
  <c r="AU436" i="11"/>
  <c r="AY436" i="11"/>
  <c r="BC436" i="11"/>
  <c r="BG436" i="11"/>
  <c r="BK436" i="11"/>
  <c r="BO436" i="11"/>
  <c r="BS436" i="11"/>
  <c r="AO436" i="11"/>
  <c r="AS436" i="11"/>
  <c r="AW436" i="11"/>
  <c r="BA436" i="11"/>
  <c r="BE436" i="11"/>
  <c r="BI436" i="11"/>
  <c r="BM436" i="11"/>
  <c r="BQ436" i="11"/>
  <c r="BU440" i="11"/>
  <c r="B440" i="11"/>
  <c r="D440" i="11" s="1"/>
  <c r="E440" i="11" s="1"/>
  <c r="F440" i="11" s="1"/>
  <c r="G440" i="11" s="1"/>
  <c r="H440" i="11" s="1"/>
  <c r="I440" i="11" s="1"/>
  <c r="J440" i="11" s="1"/>
  <c r="K440" i="11" s="1"/>
  <c r="L440" i="11" s="1"/>
  <c r="M440" i="11" s="1"/>
  <c r="N440" i="11" s="1"/>
  <c r="O440" i="11" s="1"/>
  <c r="P440" i="11" s="1"/>
  <c r="Q440" i="11" s="1"/>
  <c r="R440" i="11" s="1"/>
  <c r="S440" i="11" s="1"/>
  <c r="T440" i="11" s="1"/>
  <c r="U440" i="11" s="1"/>
  <c r="V440" i="11" s="1"/>
  <c r="W440" i="11" s="1"/>
  <c r="X440" i="11" s="1"/>
  <c r="Y440" i="11" s="1"/>
  <c r="Z440" i="11" s="1"/>
  <c r="AA440" i="11" s="1"/>
  <c r="AB440" i="11" s="1"/>
  <c r="AC440" i="11" s="1"/>
  <c r="AD440" i="11" s="1"/>
  <c r="AE440" i="11" s="1"/>
  <c r="AF440" i="11" s="1"/>
  <c r="AG440" i="11" s="1"/>
  <c r="AH440" i="11" s="1"/>
  <c r="AI440" i="11" s="1"/>
  <c r="AJ440" i="11" s="1"/>
  <c r="AK440" i="11" s="1"/>
  <c r="AL440" i="11" s="1"/>
  <c r="BD440" i="11"/>
  <c r="AN440" i="11"/>
  <c r="BT440" i="11"/>
  <c r="BL440" i="11"/>
  <c r="AZ440" i="11"/>
  <c r="BP440" i="11"/>
  <c r="AV440" i="11"/>
  <c r="AR440" i="11"/>
  <c r="BH440" i="11"/>
  <c r="AP440" i="11"/>
  <c r="AX440" i="11"/>
  <c r="BF440" i="11"/>
  <c r="BN440" i="11"/>
  <c r="AT440" i="11"/>
  <c r="BB440" i="11"/>
  <c r="BJ440" i="11"/>
  <c r="BR440" i="11"/>
  <c r="AM440" i="11"/>
  <c r="AQ440" i="11"/>
  <c r="AU440" i="11"/>
  <c r="AY440" i="11"/>
  <c r="BC440" i="11"/>
  <c r="BG440" i="11"/>
  <c r="BK440" i="11"/>
  <c r="BO440" i="11"/>
  <c r="BS440" i="11"/>
  <c r="AO440" i="11"/>
  <c r="AS440" i="11"/>
  <c r="AW440" i="11"/>
  <c r="BA440" i="11"/>
  <c r="BE440" i="11"/>
  <c r="BI440" i="11"/>
  <c r="BM440" i="11"/>
  <c r="BQ440" i="11"/>
  <c r="BF444" i="11"/>
  <c r="BN444" i="11"/>
  <c r="AX444" i="11"/>
  <c r="AP444" i="11"/>
  <c r="BU444" i="11"/>
  <c r="BP444" i="11"/>
  <c r="BH444" i="11"/>
  <c r="AZ444" i="11"/>
  <c r="AR444" i="11"/>
  <c r="B444" i="11"/>
  <c r="D444" i="11" s="1"/>
  <c r="E444" i="11" s="1"/>
  <c r="F444" i="11" s="1"/>
  <c r="G444" i="11" s="1"/>
  <c r="H444" i="11" s="1"/>
  <c r="I444" i="11" s="1"/>
  <c r="J444" i="11" s="1"/>
  <c r="K444" i="11" s="1"/>
  <c r="L444" i="11" s="1"/>
  <c r="M444" i="11" s="1"/>
  <c r="N444" i="11" s="1"/>
  <c r="O444" i="11" s="1"/>
  <c r="P444" i="11" s="1"/>
  <c r="Q444" i="11" s="1"/>
  <c r="R444" i="11" s="1"/>
  <c r="S444" i="11" s="1"/>
  <c r="T444" i="11" s="1"/>
  <c r="U444" i="11" s="1"/>
  <c r="V444" i="11" s="1"/>
  <c r="W444" i="11" s="1"/>
  <c r="X444" i="11" s="1"/>
  <c r="Y444" i="11" s="1"/>
  <c r="Z444" i="11" s="1"/>
  <c r="AA444" i="11" s="1"/>
  <c r="AB444" i="11" s="1"/>
  <c r="AC444" i="11" s="1"/>
  <c r="AD444" i="11" s="1"/>
  <c r="AE444" i="11" s="1"/>
  <c r="AF444" i="11" s="1"/>
  <c r="AG444" i="11" s="1"/>
  <c r="AH444" i="11" s="1"/>
  <c r="AI444" i="11" s="1"/>
  <c r="AJ444" i="11" s="1"/>
  <c r="AK444" i="11" s="1"/>
  <c r="AL444" i="11" s="1"/>
  <c r="BB444" i="11"/>
  <c r="BR444" i="11"/>
  <c r="BT444" i="11"/>
  <c r="BL444" i="11"/>
  <c r="BD444" i="11"/>
  <c r="AV444" i="11"/>
  <c r="AN444" i="11"/>
  <c r="AT444" i="11"/>
  <c r="BJ444" i="11"/>
  <c r="AM444" i="11"/>
  <c r="AQ444" i="11"/>
  <c r="AU444" i="11"/>
  <c r="AY444" i="11"/>
  <c r="BC444" i="11"/>
  <c r="BG444" i="11"/>
  <c r="BK444" i="11"/>
  <c r="BO444" i="11"/>
  <c r="BS444" i="11"/>
  <c r="AO444" i="11"/>
  <c r="AS444" i="11"/>
  <c r="AW444" i="11"/>
  <c r="BA444" i="11"/>
  <c r="BE444" i="11"/>
  <c r="BI444" i="11"/>
  <c r="BM444" i="11"/>
  <c r="BQ444" i="11"/>
  <c r="BF448" i="11"/>
  <c r="BN448" i="11"/>
  <c r="AX448" i="11"/>
  <c r="AP448" i="11"/>
  <c r="BU448" i="11"/>
  <c r="BP448" i="11"/>
  <c r="BH448" i="11"/>
  <c r="AZ448" i="11"/>
  <c r="AR448" i="11"/>
  <c r="B448" i="11"/>
  <c r="D448" i="11" s="1"/>
  <c r="E448" i="11" s="1"/>
  <c r="F448" i="11" s="1"/>
  <c r="G448" i="11" s="1"/>
  <c r="H448" i="11" s="1"/>
  <c r="I448" i="11" s="1"/>
  <c r="J448" i="11" s="1"/>
  <c r="K448" i="11" s="1"/>
  <c r="L448" i="11" s="1"/>
  <c r="M448" i="11" s="1"/>
  <c r="N448" i="11" s="1"/>
  <c r="O448" i="11" s="1"/>
  <c r="P448" i="11" s="1"/>
  <c r="Q448" i="11" s="1"/>
  <c r="R448" i="11" s="1"/>
  <c r="S448" i="11" s="1"/>
  <c r="T448" i="11" s="1"/>
  <c r="U448" i="11" s="1"/>
  <c r="V448" i="11" s="1"/>
  <c r="W448" i="11" s="1"/>
  <c r="X448" i="11" s="1"/>
  <c r="Y448" i="11" s="1"/>
  <c r="Z448" i="11" s="1"/>
  <c r="AA448" i="11" s="1"/>
  <c r="AB448" i="11" s="1"/>
  <c r="AC448" i="11" s="1"/>
  <c r="AD448" i="11" s="1"/>
  <c r="AE448" i="11" s="1"/>
  <c r="AF448" i="11" s="1"/>
  <c r="AG448" i="11" s="1"/>
  <c r="AH448" i="11" s="1"/>
  <c r="AI448" i="11" s="1"/>
  <c r="AJ448" i="11" s="1"/>
  <c r="AK448" i="11" s="1"/>
  <c r="AL448" i="11" s="1"/>
  <c r="BB448" i="11"/>
  <c r="BR448" i="11"/>
  <c r="BT448" i="11"/>
  <c r="BL448" i="11"/>
  <c r="BD448" i="11"/>
  <c r="AV448" i="11"/>
  <c r="AN448" i="11"/>
  <c r="AT448" i="11"/>
  <c r="BJ448" i="11"/>
  <c r="AM448" i="11"/>
  <c r="AQ448" i="11"/>
  <c r="AU448" i="11"/>
  <c r="AY448" i="11"/>
  <c r="BC448" i="11"/>
  <c r="BG448" i="11"/>
  <c r="BK448" i="11"/>
  <c r="BO448" i="11"/>
  <c r="BS448" i="11"/>
  <c r="AO448" i="11"/>
  <c r="AS448" i="11"/>
  <c r="AW448" i="11"/>
  <c r="BA448" i="11"/>
  <c r="BE448" i="11"/>
  <c r="BI448" i="11"/>
  <c r="BM448" i="11"/>
  <c r="BQ448" i="11"/>
  <c r="BF452" i="11"/>
  <c r="BN452" i="11"/>
  <c r="AX452" i="11"/>
  <c r="AP452" i="11"/>
  <c r="BU452" i="11"/>
  <c r="BP452" i="11"/>
  <c r="BH452" i="11"/>
  <c r="AZ452" i="11"/>
  <c r="AR452" i="11"/>
  <c r="B452" i="11"/>
  <c r="D452" i="11" s="1"/>
  <c r="E452" i="11" s="1"/>
  <c r="F452" i="11" s="1"/>
  <c r="G452" i="11" s="1"/>
  <c r="H452" i="11" s="1"/>
  <c r="I452" i="11" s="1"/>
  <c r="J452" i="11" s="1"/>
  <c r="K452" i="11" s="1"/>
  <c r="L452" i="11" s="1"/>
  <c r="M452" i="11" s="1"/>
  <c r="N452" i="11" s="1"/>
  <c r="O452" i="11" s="1"/>
  <c r="P452" i="11" s="1"/>
  <c r="Q452" i="11" s="1"/>
  <c r="R452" i="11" s="1"/>
  <c r="S452" i="11" s="1"/>
  <c r="T452" i="11" s="1"/>
  <c r="U452" i="11" s="1"/>
  <c r="V452" i="11" s="1"/>
  <c r="W452" i="11" s="1"/>
  <c r="X452" i="11" s="1"/>
  <c r="Y452" i="11" s="1"/>
  <c r="Z452" i="11" s="1"/>
  <c r="AA452" i="11" s="1"/>
  <c r="AB452" i="11" s="1"/>
  <c r="AC452" i="11" s="1"/>
  <c r="AD452" i="11" s="1"/>
  <c r="AE452" i="11" s="1"/>
  <c r="AF452" i="11" s="1"/>
  <c r="AG452" i="11" s="1"/>
  <c r="AH452" i="11" s="1"/>
  <c r="AI452" i="11" s="1"/>
  <c r="AJ452" i="11" s="1"/>
  <c r="AK452" i="11" s="1"/>
  <c r="AL452" i="11" s="1"/>
  <c r="BB452" i="11"/>
  <c r="BR452" i="11"/>
  <c r="BT452" i="11"/>
  <c r="BL452" i="11"/>
  <c r="BD452" i="11"/>
  <c r="AV452" i="11"/>
  <c r="AN452" i="11"/>
  <c r="AT452" i="11"/>
  <c r="BJ452" i="11"/>
  <c r="AM452" i="11"/>
  <c r="AQ452" i="11"/>
  <c r="AU452" i="11"/>
  <c r="AY452" i="11"/>
  <c r="BC452" i="11"/>
  <c r="BG452" i="11"/>
  <c r="BK452" i="11"/>
  <c r="BO452" i="11"/>
  <c r="BS452" i="11"/>
  <c r="AO452" i="11"/>
  <c r="AS452" i="11"/>
  <c r="AW452" i="11"/>
  <c r="BA452" i="11"/>
  <c r="BE452" i="11"/>
  <c r="BI452" i="11"/>
  <c r="BM452" i="11"/>
  <c r="BQ452" i="11"/>
  <c r="BF456" i="11"/>
  <c r="BN456" i="11"/>
  <c r="AX456" i="11"/>
  <c r="AP456" i="11"/>
  <c r="BU456" i="11"/>
  <c r="BP456" i="11"/>
  <c r="BH456" i="11"/>
  <c r="AZ456" i="11"/>
  <c r="AR456" i="11"/>
  <c r="B456" i="11"/>
  <c r="D456" i="11" s="1"/>
  <c r="E456" i="11" s="1"/>
  <c r="F456" i="11" s="1"/>
  <c r="G456" i="11" s="1"/>
  <c r="H456" i="11" s="1"/>
  <c r="I456" i="11" s="1"/>
  <c r="J456" i="11" s="1"/>
  <c r="K456" i="11" s="1"/>
  <c r="L456" i="11" s="1"/>
  <c r="M456" i="11" s="1"/>
  <c r="N456" i="11" s="1"/>
  <c r="O456" i="11" s="1"/>
  <c r="P456" i="11" s="1"/>
  <c r="Q456" i="11" s="1"/>
  <c r="R456" i="11" s="1"/>
  <c r="S456" i="11" s="1"/>
  <c r="T456" i="11" s="1"/>
  <c r="U456" i="11" s="1"/>
  <c r="V456" i="11" s="1"/>
  <c r="W456" i="11" s="1"/>
  <c r="X456" i="11" s="1"/>
  <c r="Y456" i="11" s="1"/>
  <c r="Z456" i="11" s="1"/>
  <c r="AA456" i="11" s="1"/>
  <c r="AB456" i="11" s="1"/>
  <c r="AC456" i="11" s="1"/>
  <c r="AD456" i="11" s="1"/>
  <c r="AE456" i="11" s="1"/>
  <c r="AF456" i="11" s="1"/>
  <c r="AG456" i="11" s="1"/>
  <c r="AH456" i="11" s="1"/>
  <c r="AI456" i="11" s="1"/>
  <c r="AJ456" i="11" s="1"/>
  <c r="AK456" i="11" s="1"/>
  <c r="AL456" i="11" s="1"/>
  <c r="BB456" i="11"/>
  <c r="BR456" i="11"/>
  <c r="BT456" i="11"/>
  <c r="BL456" i="11"/>
  <c r="BD456" i="11"/>
  <c r="AV456" i="11"/>
  <c r="AN456" i="11"/>
  <c r="AT456" i="11"/>
  <c r="BJ456" i="11"/>
  <c r="AM456" i="11"/>
  <c r="AQ456" i="11"/>
  <c r="AU456" i="11"/>
  <c r="AY456" i="11"/>
  <c r="BC456" i="11"/>
  <c r="BG456" i="11"/>
  <c r="BK456" i="11"/>
  <c r="BO456" i="11"/>
  <c r="BS456" i="11"/>
  <c r="AO456" i="11"/>
  <c r="AS456" i="11"/>
  <c r="AW456" i="11"/>
  <c r="BA456" i="11"/>
  <c r="BE456" i="11"/>
  <c r="BI456" i="11"/>
  <c r="BM456" i="11"/>
  <c r="BQ456" i="11"/>
  <c r="BF460" i="11"/>
  <c r="BN460" i="11"/>
  <c r="AX460" i="11"/>
  <c r="AP460" i="11"/>
  <c r="BU460" i="11"/>
  <c r="BP460" i="11"/>
  <c r="BH460" i="11"/>
  <c r="AZ460" i="11"/>
  <c r="AR460" i="11"/>
  <c r="B460" i="11"/>
  <c r="D460" i="11" s="1"/>
  <c r="E460" i="11" s="1"/>
  <c r="F460" i="11" s="1"/>
  <c r="G460" i="11" s="1"/>
  <c r="H460" i="11" s="1"/>
  <c r="I460" i="11" s="1"/>
  <c r="J460" i="11" s="1"/>
  <c r="K460" i="11" s="1"/>
  <c r="L460" i="11" s="1"/>
  <c r="M460" i="11" s="1"/>
  <c r="N460" i="11" s="1"/>
  <c r="O460" i="11" s="1"/>
  <c r="P460" i="11" s="1"/>
  <c r="Q460" i="11" s="1"/>
  <c r="R460" i="11" s="1"/>
  <c r="S460" i="11" s="1"/>
  <c r="T460" i="11" s="1"/>
  <c r="U460" i="11" s="1"/>
  <c r="V460" i="11" s="1"/>
  <c r="W460" i="11" s="1"/>
  <c r="X460" i="11" s="1"/>
  <c r="Y460" i="11" s="1"/>
  <c r="Z460" i="11" s="1"/>
  <c r="AA460" i="11" s="1"/>
  <c r="AB460" i="11" s="1"/>
  <c r="AC460" i="11" s="1"/>
  <c r="AD460" i="11" s="1"/>
  <c r="AE460" i="11" s="1"/>
  <c r="AF460" i="11" s="1"/>
  <c r="AG460" i="11" s="1"/>
  <c r="AH460" i="11" s="1"/>
  <c r="AI460" i="11" s="1"/>
  <c r="AJ460" i="11" s="1"/>
  <c r="AK460" i="11" s="1"/>
  <c r="AL460" i="11" s="1"/>
  <c r="BB460" i="11"/>
  <c r="BR460" i="11"/>
  <c r="BT460" i="11"/>
  <c r="BL460" i="11"/>
  <c r="BD460" i="11"/>
  <c r="AV460" i="11"/>
  <c r="AN460" i="11"/>
  <c r="AT460" i="11"/>
  <c r="BJ460" i="11"/>
  <c r="AO460" i="11"/>
  <c r="AS460" i="11"/>
  <c r="AW460" i="11"/>
  <c r="BA460" i="11"/>
  <c r="BE460" i="11"/>
  <c r="BI460" i="11"/>
  <c r="BM460" i="11"/>
  <c r="BQ460" i="11"/>
  <c r="AM460" i="11"/>
  <c r="AQ460" i="11"/>
  <c r="AU460" i="11"/>
  <c r="AY460" i="11"/>
  <c r="BC460" i="11"/>
  <c r="BG460" i="11"/>
  <c r="BK460" i="11"/>
  <c r="BO460" i="11"/>
  <c r="BS460" i="11"/>
  <c r="BF464" i="11"/>
  <c r="BN464" i="11"/>
  <c r="AX464" i="11"/>
  <c r="AP464" i="11"/>
  <c r="BU464" i="11"/>
  <c r="BP464" i="11"/>
  <c r="BH464" i="11"/>
  <c r="AZ464" i="11"/>
  <c r="AR464" i="11"/>
  <c r="B464" i="11"/>
  <c r="D464" i="11" s="1"/>
  <c r="E464" i="11" s="1"/>
  <c r="F464" i="11" s="1"/>
  <c r="G464" i="11" s="1"/>
  <c r="H464" i="11" s="1"/>
  <c r="I464" i="11" s="1"/>
  <c r="J464" i="11" s="1"/>
  <c r="K464" i="11" s="1"/>
  <c r="L464" i="11" s="1"/>
  <c r="M464" i="11" s="1"/>
  <c r="N464" i="11" s="1"/>
  <c r="O464" i="11" s="1"/>
  <c r="P464" i="11" s="1"/>
  <c r="Q464" i="11" s="1"/>
  <c r="R464" i="11" s="1"/>
  <c r="S464" i="11" s="1"/>
  <c r="T464" i="11" s="1"/>
  <c r="U464" i="11" s="1"/>
  <c r="V464" i="11" s="1"/>
  <c r="W464" i="11" s="1"/>
  <c r="X464" i="11" s="1"/>
  <c r="Y464" i="11" s="1"/>
  <c r="Z464" i="11" s="1"/>
  <c r="AA464" i="11" s="1"/>
  <c r="AB464" i="11" s="1"/>
  <c r="AC464" i="11" s="1"/>
  <c r="AD464" i="11" s="1"/>
  <c r="AE464" i="11" s="1"/>
  <c r="AF464" i="11" s="1"/>
  <c r="AG464" i="11" s="1"/>
  <c r="AH464" i="11" s="1"/>
  <c r="AI464" i="11" s="1"/>
  <c r="AJ464" i="11" s="1"/>
  <c r="AK464" i="11" s="1"/>
  <c r="AL464" i="11" s="1"/>
  <c r="BB464" i="11"/>
  <c r="BR464" i="11"/>
  <c r="BT464" i="11"/>
  <c r="BL464" i="11"/>
  <c r="BD464" i="11"/>
  <c r="AV464" i="11"/>
  <c r="AN464" i="11"/>
  <c r="AT464" i="11"/>
  <c r="BJ464" i="11"/>
  <c r="AO464" i="11"/>
  <c r="AS464" i="11"/>
  <c r="AW464" i="11"/>
  <c r="BA464" i="11"/>
  <c r="BE464" i="11"/>
  <c r="BI464" i="11"/>
  <c r="BM464" i="11"/>
  <c r="BQ464" i="11"/>
  <c r="AM464" i="11"/>
  <c r="AQ464" i="11"/>
  <c r="AU464" i="11"/>
  <c r="AY464" i="11"/>
  <c r="BC464" i="11"/>
  <c r="BG464" i="11"/>
  <c r="BK464" i="11"/>
  <c r="BO464" i="11"/>
  <c r="BS464" i="11"/>
  <c r="AX468" i="11"/>
  <c r="BF468" i="11"/>
  <c r="BN468" i="11"/>
  <c r="AP468" i="11"/>
  <c r="BU468" i="11"/>
  <c r="BP468" i="11"/>
  <c r="BH468" i="11"/>
  <c r="AZ468" i="11"/>
  <c r="AR468" i="11"/>
  <c r="B468" i="11"/>
  <c r="D468" i="11" s="1"/>
  <c r="E468" i="11" s="1"/>
  <c r="F468" i="11" s="1"/>
  <c r="G468" i="11" s="1"/>
  <c r="H468" i="11" s="1"/>
  <c r="I468" i="11" s="1"/>
  <c r="J468" i="11" s="1"/>
  <c r="K468" i="11" s="1"/>
  <c r="L468" i="11" s="1"/>
  <c r="M468" i="11" s="1"/>
  <c r="N468" i="11" s="1"/>
  <c r="O468" i="11" s="1"/>
  <c r="P468" i="11" s="1"/>
  <c r="Q468" i="11" s="1"/>
  <c r="R468" i="11" s="1"/>
  <c r="S468" i="11" s="1"/>
  <c r="T468" i="11" s="1"/>
  <c r="U468" i="11" s="1"/>
  <c r="V468" i="11" s="1"/>
  <c r="W468" i="11" s="1"/>
  <c r="X468" i="11" s="1"/>
  <c r="Y468" i="11" s="1"/>
  <c r="Z468" i="11" s="1"/>
  <c r="AA468" i="11" s="1"/>
  <c r="AB468" i="11" s="1"/>
  <c r="AC468" i="11" s="1"/>
  <c r="AD468" i="11" s="1"/>
  <c r="AE468" i="11" s="1"/>
  <c r="AF468" i="11" s="1"/>
  <c r="AG468" i="11" s="1"/>
  <c r="AH468" i="11" s="1"/>
  <c r="AI468" i="11" s="1"/>
  <c r="AJ468" i="11" s="1"/>
  <c r="AK468" i="11" s="1"/>
  <c r="AL468" i="11" s="1"/>
  <c r="BB468" i="11"/>
  <c r="BR468" i="11"/>
  <c r="BT468" i="11"/>
  <c r="BL468" i="11"/>
  <c r="BD468" i="11"/>
  <c r="AV468" i="11"/>
  <c r="AN468" i="11"/>
  <c r="AT468" i="11"/>
  <c r="BJ468" i="11"/>
  <c r="AO468" i="11"/>
  <c r="AS468" i="11"/>
  <c r="AW468" i="11"/>
  <c r="BA468" i="11"/>
  <c r="BE468" i="11"/>
  <c r="BI468" i="11"/>
  <c r="BM468" i="11"/>
  <c r="BQ468" i="11"/>
  <c r="AM468" i="11"/>
  <c r="AQ468" i="11"/>
  <c r="AU468" i="11"/>
  <c r="AY468" i="11"/>
  <c r="BC468" i="11"/>
  <c r="BG468" i="11"/>
  <c r="BK468" i="11"/>
  <c r="BO468" i="11"/>
  <c r="BS468" i="11"/>
  <c r="AX472" i="11"/>
  <c r="BF472" i="11"/>
  <c r="BN472" i="11"/>
  <c r="AP472" i="11"/>
  <c r="BU472" i="11"/>
  <c r="BP472" i="11"/>
  <c r="BH472" i="11"/>
  <c r="AZ472" i="11"/>
  <c r="AR472" i="11"/>
  <c r="B472" i="11"/>
  <c r="D472" i="11" s="1"/>
  <c r="E472" i="11" s="1"/>
  <c r="F472" i="11" s="1"/>
  <c r="G472" i="11" s="1"/>
  <c r="H472" i="11" s="1"/>
  <c r="I472" i="11" s="1"/>
  <c r="J472" i="11" s="1"/>
  <c r="K472" i="11" s="1"/>
  <c r="L472" i="11" s="1"/>
  <c r="M472" i="11" s="1"/>
  <c r="N472" i="11" s="1"/>
  <c r="O472" i="11" s="1"/>
  <c r="P472" i="11" s="1"/>
  <c r="Q472" i="11" s="1"/>
  <c r="R472" i="11" s="1"/>
  <c r="S472" i="11" s="1"/>
  <c r="T472" i="11" s="1"/>
  <c r="U472" i="11" s="1"/>
  <c r="V472" i="11" s="1"/>
  <c r="W472" i="11" s="1"/>
  <c r="X472" i="11" s="1"/>
  <c r="Y472" i="11" s="1"/>
  <c r="Z472" i="11" s="1"/>
  <c r="AA472" i="11" s="1"/>
  <c r="AB472" i="11" s="1"/>
  <c r="AC472" i="11" s="1"/>
  <c r="AD472" i="11" s="1"/>
  <c r="AE472" i="11" s="1"/>
  <c r="AF472" i="11" s="1"/>
  <c r="AG472" i="11" s="1"/>
  <c r="AH472" i="11" s="1"/>
  <c r="AI472" i="11" s="1"/>
  <c r="AJ472" i="11" s="1"/>
  <c r="AK472" i="11" s="1"/>
  <c r="AL472" i="11" s="1"/>
  <c r="BB472" i="11"/>
  <c r="BR472" i="11"/>
  <c r="BT472" i="11"/>
  <c r="BL472" i="11"/>
  <c r="BD472" i="11"/>
  <c r="AV472" i="11"/>
  <c r="AN472" i="11"/>
  <c r="AT472" i="11"/>
  <c r="BJ472" i="11"/>
  <c r="AO472" i="11"/>
  <c r="AS472" i="11"/>
  <c r="AW472" i="11"/>
  <c r="BA472" i="11"/>
  <c r="BE472" i="11"/>
  <c r="BI472" i="11"/>
  <c r="BM472" i="11"/>
  <c r="BQ472" i="11"/>
  <c r="AM472" i="11"/>
  <c r="AQ472" i="11"/>
  <c r="AU472" i="11"/>
  <c r="AY472" i="11"/>
  <c r="BC472" i="11"/>
  <c r="BG472" i="11"/>
  <c r="BK472" i="11"/>
  <c r="BO472" i="11"/>
  <c r="BS472" i="11"/>
  <c r="AX476" i="11"/>
  <c r="BF476" i="11"/>
  <c r="BN476" i="11"/>
  <c r="AP476" i="11"/>
  <c r="BU476" i="11"/>
  <c r="BP476" i="11"/>
  <c r="BH476" i="11"/>
  <c r="AZ476" i="11"/>
  <c r="AR476" i="11"/>
  <c r="B476" i="11"/>
  <c r="D476" i="11" s="1"/>
  <c r="E476" i="11" s="1"/>
  <c r="F476" i="11" s="1"/>
  <c r="G476" i="11" s="1"/>
  <c r="H476" i="11" s="1"/>
  <c r="I476" i="11" s="1"/>
  <c r="J476" i="11" s="1"/>
  <c r="K476" i="11" s="1"/>
  <c r="L476" i="11" s="1"/>
  <c r="M476" i="11" s="1"/>
  <c r="N476" i="11" s="1"/>
  <c r="O476" i="11" s="1"/>
  <c r="P476" i="11" s="1"/>
  <c r="Q476" i="11" s="1"/>
  <c r="R476" i="11" s="1"/>
  <c r="S476" i="11" s="1"/>
  <c r="T476" i="11" s="1"/>
  <c r="U476" i="11" s="1"/>
  <c r="V476" i="11" s="1"/>
  <c r="W476" i="11" s="1"/>
  <c r="X476" i="11" s="1"/>
  <c r="Y476" i="11" s="1"/>
  <c r="Z476" i="11" s="1"/>
  <c r="AA476" i="11" s="1"/>
  <c r="AB476" i="11" s="1"/>
  <c r="AC476" i="11" s="1"/>
  <c r="AD476" i="11" s="1"/>
  <c r="AE476" i="11" s="1"/>
  <c r="AF476" i="11" s="1"/>
  <c r="AG476" i="11" s="1"/>
  <c r="AH476" i="11" s="1"/>
  <c r="AI476" i="11" s="1"/>
  <c r="AJ476" i="11" s="1"/>
  <c r="AK476" i="11" s="1"/>
  <c r="AL476" i="11" s="1"/>
  <c r="BB476" i="11"/>
  <c r="BR476" i="11"/>
  <c r="BT476" i="11"/>
  <c r="BL476" i="11"/>
  <c r="BD476" i="11"/>
  <c r="AV476" i="11"/>
  <c r="AN476" i="11"/>
  <c r="AT476" i="11"/>
  <c r="BJ476" i="11"/>
  <c r="AO476" i="11"/>
  <c r="AS476" i="11"/>
  <c r="AW476" i="11"/>
  <c r="BA476" i="11"/>
  <c r="BE476" i="11"/>
  <c r="BI476" i="11"/>
  <c r="BM476" i="11"/>
  <c r="BQ476" i="11"/>
  <c r="AM476" i="11"/>
  <c r="AQ476" i="11"/>
  <c r="AU476" i="11"/>
  <c r="AY476" i="11"/>
  <c r="BC476" i="11"/>
  <c r="BG476" i="11"/>
  <c r="BK476" i="11"/>
  <c r="BO476" i="11"/>
  <c r="BS476" i="11"/>
  <c r="BH480" i="11"/>
  <c r="AR480" i="11"/>
  <c r="BU480" i="11"/>
  <c r="BL480" i="11"/>
  <c r="AV480" i="11"/>
  <c r="B480" i="11"/>
  <c r="D480" i="11" s="1"/>
  <c r="E480" i="11" s="1"/>
  <c r="F480" i="11" s="1"/>
  <c r="G480" i="11" s="1"/>
  <c r="H480" i="11" s="1"/>
  <c r="I480" i="11" s="1"/>
  <c r="J480" i="11" s="1"/>
  <c r="K480" i="11" s="1"/>
  <c r="L480" i="11" s="1"/>
  <c r="M480" i="11" s="1"/>
  <c r="N480" i="11" s="1"/>
  <c r="O480" i="11" s="1"/>
  <c r="P480" i="11" s="1"/>
  <c r="Q480" i="11" s="1"/>
  <c r="R480" i="11" s="1"/>
  <c r="S480" i="11" s="1"/>
  <c r="T480" i="11" s="1"/>
  <c r="U480" i="11" s="1"/>
  <c r="V480" i="11" s="1"/>
  <c r="W480" i="11" s="1"/>
  <c r="X480" i="11" s="1"/>
  <c r="Y480" i="11" s="1"/>
  <c r="Z480" i="11" s="1"/>
  <c r="AA480" i="11" s="1"/>
  <c r="AB480" i="11" s="1"/>
  <c r="AC480" i="11" s="1"/>
  <c r="AD480" i="11" s="1"/>
  <c r="AE480" i="11" s="1"/>
  <c r="AF480" i="11" s="1"/>
  <c r="AG480" i="11" s="1"/>
  <c r="AH480" i="11" s="1"/>
  <c r="AI480" i="11" s="1"/>
  <c r="AJ480" i="11" s="1"/>
  <c r="AK480" i="11" s="1"/>
  <c r="AL480" i="11" s="1"/>
  <c r="BP480" i="11"/>
  <c r="BT480" i="11"/>
  <c r="BD480" i="11"/>
  <c r="AN480" i="11"/>
  <c r="AZ480" i="11"/>
  <c r="AP480" i="11"/>
  <c r="AX480" i="11"/>
  <c r="BF480" i="11"/>
  <c r="BN480" i="11"/>
  <c r="AT480" i="11"/>
  <c r="BB480" i="11"/>
  <c r="BJ480" i="11"/>
  <c r="BR480" i="11"/>
  <c r="AO480" i="11"/>
  <c r="AS480" i="11"/>
  <c r="AW480" i="11"/>
  <c r="BA480" i="11"/>
  <c r="BE480" i="11"/>
  <c r="BI480" i="11"/>
  <c r="BM480" i="11"/>
  <c r="BQ480" i="11"/>
  <c r="AM480" i="11"/>
  <c r="AQ480" i="11"/>
  <c r="AU480" i="11"/>
  <c r="AY480" i="11"/>
  <c r="BC480" i="11"/>
  <c r="BG480" i="11"/>
  <c r="BK480" i="11"/>
  <c r="BO480" i="11"/>
  <c r="BS480" i="11"/>
  <c r="AV484" i="11"/>
  <c r="BU484" i="11"/>
  <c r="BH484" i="11"/>
  <c r="AR484" i="11"/>
  <c r="BD484" i="11"/>
  <c r="B484" i="11"/>
  <c r="D484" i="11" s="1"/>
  <c r="E484" i="11" s="1"/>
  <c r="F484" i="11" s="1"/>
  <c r="G484" i="11" s="1"/>
  <c r="H484" i="11" s="1"/>
  <c r="I484" i="11" s="1"/>
  <c r="J484" i="11" s="1"/>
  <c r="K484" i="11" s="1"/>
  <c r="L484" i="11" s="1"/>
  <c r="M484" i="11" s="1"/>
  <c r="N484" i="11" s="1"/>
  <c r="O484" i="11" s="1"/>
  <c r="P484" i="11" s="1"/>
  <c r="Q484" i="11" s="1"/>
  <c r="R484" i="11" s="1"/>
  <c r="S484" i="11" s="1"/>
  <c r="T484" i="11" s="1"/>
  <c r="U484" i="11" s="1"/>
  <c r="V484" i="11" s="1"/>
  <c r="W484" i="11" s="1"/>
  <c r="X484" i="11" s="1"/>
  <c r="Y484" i="11" s="1"/>
  <c r="Z484" i="11" s="1"/>
  <c r="AA484" i="11" s="1"/>
  <c r="AB484" i="11" s="1"/>
  <c r="AC484" i="11" s="1"/>
  <c r="AD484" i="11" s="1"/>
  <c r="AE484" i="11" s="1"/>
  <c r="AF484" i="11" s="1"/>
  <c r="AG484" i="11" s="1"/>
  <c r="AH484" i="11" s="1"/>
  <c r="AI484" i="11" s="1"/>
  <c r="AJ484" i="11" s="1"/>
  <c r="AK484" i="11" s="1"/>
  <c r="AL484" i="11" s="1"/>
  <c r="BP484" i="11"/>
  <c r="AZ484" i="11"/>
  <c r="BT484" i="11"/>
  <c r="AN484" i="11"/>
  <c r="BL484" i="11"/>
  <c r="AP484" i="11"/>
  <c r="AX484" i="11"/>
  <c r="BF484" i="11"/>
  <c r="BN484" i="11"/>
  <c r="AT484" i="11"/>
  <c r="BB484" i="11"/>
  <c r="BJ484" i="11"/>
  <c r="BR484" i="11"/>
  <c r="AO484" i="11"/>
  <c r="AS484" i="11"/>
  <c r="AW484" i="11"/>
  <c r="BA484" i="11"/>
  <c r="BE484" i="11"/>
  <c r="BI484" i="11"/>
  <c r="BM484" i="11"/>
  <c r="BQ484" i="11"/>
  <c r="AM484" i="11"/>
  <c r="AQ484" i="11"/>
  <c r="AU484" i="11"/>
  <c r="AY484" i="11"/>
  <c r="BC484" i="11"/>
  <c r="BG484" i="11"/>
  <c r="BK484" i="11"/>
  <c r="BO484" i="11"/>
  <c r="BS484" i="11"/>
  <c r="BU488" i="11"/>
  <c r="B488" i="11"/>
  <c r="D488" i="11" s="1"/>
  <c r="E488" i="11" s="1"/>
  <c r="F488" i="11" s="1"/>
  <c r="G488" i="11" s="1"/>
  <c r="H488" i="11" s="1"/>
  <c r="I488" i="11" s="1"/>
  <c r="J488" i="11" s="1"/>
  <c r="K488" i="11" s="1"/>
  <c r="L488" i="11" s="1"/>
  <c r="M488" i="11" s="1"/>
  <c r="N488" i="11" s="1"/>
  <c r="O488" i="11" s="1"/>
  <c r="P488" i="11" s="1"/>
  <c r="Q488" i="11" s="1"/>
  <c r="R488" i="11" s="1"/>
  <c r="S488" i="11" s="1"/>
  <c r="T488" i="11" s="1"/>
  <c r="U488" i="11" s="1"/>
  <c r="V488" i="11" s="1"/>
  <c r="W488" i="11" s="1"/>
  <c r="X488" i="11" s="1"/>
  <c r="Y488" i="11" s="1"/>
  <c r="Z488" i="11" s="1"/>
  <c r="AA488" i="11" s="1"/>
  <c r="AB488" i="11" s="1"/>
  <c r="AC488" i="11" s="1"/>
  <c r="AD488" i="11" s="1"/>
  <c r="AE488" i="11" s="1"/>
  <c r="AF488" i="11" s="1"/>
  <c r="AG488" i="11" s="1"/>
  <c r="AH488" i="11" s="1"/>
  <c r="AI488" i="11" s="1"/>
  <c r="AJ488" i="11" s="1"/>
  <c r="AK488" i="11" s="1"/>
  <c r="AL488" i="11" s="1"/>
  <c r="BT488" i="11"/>
  <c r="BD488" i="11"/>
  <c r="AN488" i="11"/>
  <c r="BL488" i="11"/>
  <c r="AV488" i="11"/>
  <c r="AR488" i="11"/>
  <c r="BH488" i="11"/>
  <c r="AZ488" i="11"/>
  <c r="BP488" i="11"/>
  <c r="AP488" i="11"/>
  <c r="AX488" i="11"/>
  <c r="BF488" i="11"/>
  <c r="BN488" i="11"/>
  <c r="AT488" i="11"/>
  <c r="BB488" i="11"/>
  <c r="BJ488" i="11"/>
  <c r="BR488" i="11"/>
  <c r="AO488" i="11"/>
  <c r="AS488" i="11"/>
  <c r="AW488" i="11"/>
  <c r="BA488" i="11"/>
  <c r="BE488" i="11"/>
  <c r="BI488" i="11"/>
  <c r="BM488" i="11"/>
  <c r="BQ488" i="11"/>
  <c r="AM488" i="11"/>
  <c r="AQ488" i="11"/>
  <c r="AU488" i="11"/>
  <c r="AY488" i="11"/>
  <c r="BC488" i="11"/>
  <c r="BG488" i="11"/>
  <c r="BK488" i="11"/>
  <c r="BO488" i="11"/>
  <c r="BS488" i="11"/>
  <c r="BT492" i="11"/>
  <c r="B492" i="11"/>
  <c r="D492" i="11" s="1"/>
  <c r="E492" i="11" s="1"/>
  <c r="F492" i="11" s="1"/>
  <c r="G492" i="11" s="1"/>
  <c r="H492" i="11" s="1"/>
  <c r="I492" i="11" s="1"/>
  <c r="J492" i="11" s="1"/>
  <c r="K492" i="11" s="1"/>
  <c r="L492" i="11" s="1"/>
  <c r="M492" i="11" s="1"/>
  <c r="N492" i="11" s="1"/>
  <c r="O492" i="11" s="1"/>
  <c r="P492" i="11" s="1"/>
  <c r="Q492" i="11" s="1"/>
  <c r="R492" i="11" s="1"/>
  <c r="S492" i="11" s="1"/>
  <c r="T492" i="11" s="1"/>
  <c r="U492" i="11" s="1"/>
  <c r="V492" i="11" s="1"/>
  <c r="W492" i="11" s="1"/>
  <c r="X492" i="11" s="1"/>
  <c r="Y492" i="11" s="1"/>
  <c r="Z492" i="11" s="1"/>
  <c r="AA492" i="11" s="1"/>
  <c r="AB492" i="11" s="1"/>
  <c r="AC492" i="11" s="1"/>
  <c r="AD492" i="11" s="1"/>
  <c r="AE492" i="11" s="1"/>
  <c r="AF492" i="11" s="1"/>
  <c r="AG492" i="11" s="1"/>
  <c r="AH492" i="11" s="1"/>
  <c r="AI492" i="11" s="1"/>
  <c r="AJ492" i="11" s="1"/>
  <c r="AK492" i="11" s="1"/>
  <c r="AL492" i="11" s="1"/>
  <c r="AN492" i="11"/>
  <c r="BD492" i="11"/>
  <c r="BP492" i="11"/>
  <c r="AR492" i="11"/>
  <c r="BH492" i="11"/>
  <c r="AV492" i="11"/>
  <c r="AZ492" i="11"/>
  <c r="AP492" i="11"/>
  <c r="AX492" i="11"/>
  <c r="BF492" i="11"/>
  <c r="AT492" i="11"/>
  <c r="BB492" i="11"/>
  <c r="BL492" i="11"/>
  <c r="BS492" i="11"/>
  <c r="BO492" i="11"/>
  <c r="BK492" i="11"/>
  <c r="AM492" i="11"/>
  <c r="AQ492" i="11"/>
  <c r="AU492" i="11"/>
  <c r="AY492" i="11"/>
  <c r="BC492" i="11"/>
  <c r="BG492" i="11"/>
  <c r="BN492" i="11"/>
  <c r="BU492" i="11"/>
  <c r="BQ492" i="11"/>
  <c r="BM492" i="11"/>
  <c r="BI492" i="11"/>
  <c r="AO492" i="11"/>
  <c r="AS492" i="11"/>
  <c r="AW492" i="11"/>
  <c r="BA492" i="11"/>
  <c r="BE492" i="11"/>
  <c r="BJ492" i="11"/>
  <c r="BR492" i="11"/>
  <c r="BH496" i="11"/>
  <c r="AR496" i="11"/>
  <c r="BU496" i="11"/>
  <c r="BL496" i="11"/>
  <c r="AV496" i="11"/>
  <c r="B496" i="11"/>
  <c r="D496" i="11" s="1"/>
  <c r="E496" i="11" s="1"/>
  <c r="F496" i="11" s="1"/>
  <c r="G496" i="11" s="1"/>
  <c r="H496" i="11" s="1"/>
  <c r="I496" i="11" s="1"/>
  <c r="J496" i="11" s="1"/>
  <c r="K496" i="11" s="1"/>
  <c r="L496" i="11" s="1"/>
  <c r="M496" i="11" s="1"/>
  <c r="N496" i="11" s="1"/>
  <c r="O496" i="11" s="1"/>
  <c r="P496" i="11" s="1"/>
  <c r="Q496" i="11" s="1"/>
  <c r="R496" i="11" s="1"/>
  <c r="S496" i="11" s="1"/>
  <c r="T496" i="11" s="1"/>
  <c r="U496" i="11" s="1"/>
  <c r="V496" i="11" s="1"/>
  <c r="W496" i="11" s="1"/>
  <c r="X496" i="11" s="1"/>
  <c r="Y496" i="11" s="1"/>
  <c r="Z496" i="11" s="1"/>
  <c r="AA496" i="11" s="1"/>
  <c r="AB496" i="11" s="1"/>
  <c r="AC496" i="11" s="1"/>
  <c r="AD496" i="11" s="1"/>
  <c r="AE496" i="11" s="1"/>
  <c r="AF496" i="11" s="1"/>
  <c r="AG496" i="11" s="1"/>
  <c r="AH496" i="11" s="1"/>
  <c r="AI496" i="11" s="1"/>
  <c r="AJ496" i="11" s="1"/>
  <c r="AK496" i="11" s="1"/>
  <c r="AL496" i="11" s="1"/>
  <c r="BP496" i="11"/>
  <c r="BT496" i="11"/>
  <c r="BD496" i="11"/>
  <c r="AN496" i="11"/>
  <c r="AZ496" i="11"/>
  <c r="AT496" i="11"/>
  <c r="BB496" i="11"/>
  <c r="BJ496" i="11"/>
  <c r="BR496" i="11"/>
  <c r="AP496" i="11"/>
  <c r="AX496" i="11"/>
  <c r="BF496" i="11"/>
  <c r="BN496" i="11"/>
  <c r="AM496" i="11"/>
  <c r="AQ496" i="11"/>
  <c r="AU496" i="11"/>
  <c r="AY496" i="11"/>
  <c r="BC496" i="11"/>
  <c r="BG496" i="11"/>
  <c r="BK496" i="11"/>
  <c r="AO496" i="11"/>
  <c r="AS496" i="11"/>
  <c r="AW496" i="11"/>
  <c r="BA496" i="11"/>
  <c r="BE496" i="11"/>
  <c r="BI496" i="11"/>
  <c r="BM496" i="11"/>
  <c r="BQ496" i="11"/>
  <c r="BO496" i="11"/>
  <c r="BS496" i="11"/>
  <c r="BH500" i="11"/>
  <c r="AR500" i="11"/>
  <c r="BL500" i="11"/>
  <c r="AV500" i="11"/>
  <c r="B500" i="11"/>
  <c r="D500" i="11" s="1"/>
  <c r="E500" i="11" s="1"/>
  <c r="F500" i="11" s="1"/>
  <c r="G500" i="11" s="1"/>
  <c r="H500" i="11" s="1"/>
  <c r="I500" i="11" s="1"/>
  <c r="J500" i="11" s="1"/>
  <c r="K500" i="11" s="1"/>
  <c r="L500" i="11" s="1"/>
  <c r="M500" i="11" s="1"/>
  <c r="N500" i="11" s="1"/>
  <c r="O500" i="11" s="1"/>
  <c r="P500" i="11" s="1"/>
  <c r="Q500" i="11" s="1"/>
  <c r="R500" i="11" s="1"/>
  <c r="S500" i="11" s="1"/>
  <c r="T500" i="11" s="1"/>
  <c r="U500" i="11" s="1"/>
  <c r="V500" i="11" s="1"/>
  <c r="W500" i="11" s="1"/>
  <c r="X500" i="11" s="1"/>
  <c r="Y500" i="11" s="1"/>
  <c r="Z500" i="11" s="1"/>
  <c r="AA500" i="11" s="1"/>
  <c r="AB500" i="11" s="1"/>
  <c r="AC500" i="11" s="1"/>
  <c r="AD500" i="11" s="1"/>
  <c r="AE500" i="11" s="1"/>
  <c r="AF500" i="11" s="1"/>
  <c r="AG500" i="11" s="1"/>
  <c r="AH500" i="11" s="1"/>
  <c r="AI500" i="11" s="1"/>
  <c r="AJ500" i="11" s="1"/>
  <c r="AK500" i="11" s="1"/>
  <c r="AL500" i="11" s="1"/>
  <c r="BP500" i="11"/>
  <c r="BD500" i="11"/>
  <c r="AN500" i="11"/>
  <c r="AZ500" i="11"/>
  <c r="BR500" i="11"/>
  <c r="AT500" i="11"/>
  <c r="BB500" i="11"/>
  <c r="BJ500" i="11"/>
  <c r="BT500" i="11"/>
  <c r="BU500" i="11"/>
  <c r="AP500" i="11"/>
  <c r="AX500" i="11"/>
  <c r="BF500" i="11"/>
  <c r="BN500" i="11"/>
  <c r="AM500" i="11"/>
  <c r="AQ500" i="11"/>
  <c r="AU500" i="11"/>
  <c r="AY500" i="11"/>
  <c r="BC500" i="11"/>
  <c r="BG500" i="11"/>
  <c r="BK500" i="11"/>
  <c r="BO500" i="11"/>
  <c r="BS500" i="11"/>
  <c r="AO500" i="11"/>
  <c r="AS500" i="11"/>
  <c r="AW500" i="11"/>
  <c r="BA500" i="11"/>
  <c r="BE500" i="11"/>
  <c r="BI500" i="11"/>
  <c r="BM500" i="11"/>
  <c r="BQ500" i="11"/>
  <c r="BU504" i="11"/>
  <c r="AN504" i="11"/>
  <c r="BT504" i="11"/>
  <c r="B504" i="11"/>
  <c r="D504" i="11" s="1"/>
  <c r="E504" i="11" s="1"/>
  <c r="F504" i="11" s="1"/>
  <c r="G504" i="11" s="1"/>
  <c r="H504" i="11" s="1"/>
  <c r="I504" i="11" s="1"/>
  <c r="J504" i="11" s="1"/>
  <c r="K504" i="11" s="1"/>
  <c r="L504" i="11" s="1"/>
  <c r="M504" i="11" s="1"/>
  <c r="N504" i="11" s="1"/>
  <c r="O504" i="11" s="1"/>
  <c r="P504" i="11" s="1"/>
  <c r="Q504" i="11" s="1"/>
  <c r="R504" i="11" s="1"/>
  <c r="S504" i="11" s="1"/>
  <c r="T504" i="11" s="1"/>
  <c r="U504" i="11" s="1"/>
  <c r="V504" i="11" s="1"/>
  <c r="W504" i="11" s="1"/>
  <c r="X504" i="11" s="1"/>
  <c r="Y504" i="11" s="1"/>
  <c r="Z504" i="11" s="1"/>
  <c r="AA504" i="11" s="1"/>
  <c r="AB504" i="11" s="1"/>
  <c r="AC504" i="11" s="1"/>
  <c r="AD504" i="11" s="1"/>
  <c r="AE504" i="11" s="1"/>
  <c r="AF504" i="11" s="1"/>
  <c r="AG504" i="11" s="1"/>
  <c r="AH504" i="11" s="1"/>
  <c r="AI504" i="11" s="1"/>
  <c r="AJ504" i="11" s="1"/>
  <c r="AK504" i="11" s="1"/>
  <c r="AL504" i="11" s="1"/>
  <c r="AV504" i="11"/>
  <c r="BD504" i="11"/>
  <c r="BL504" i="11"/>
  <c r="AZ504" i="11"/>
  <c r="BP504" i="11"/>
  <c r="AR504" i="11"/>
  <c r="BH504" i="11"/>
  <c r="AT504" i="11"/>
  <c r="BB504" i="11"/>
  <c r="BJ504" i="11"/>
  <c r="BR504" i="11"/>
  <c r="AP504" i="11"/>
  <c r="AX504" i="11"/>
  <c r="BF504" i="11"/>
  <c r="BN504" i="11"/>
  <c r="AM504" i="11"/>
  <c r="AQ504" i="11"/>
  <c r="AU504" i="11"/>
  <c r="AY504" i="11"/>
  <c r="BC504" i="11"/>
  <c r="BG504" i="11"/>
  <c r="BK504" i="11"/>
  <c r="BO504" i="11"/>
  <c r="BS504" i="11"/>
  <c r="AO504" i="11"/>
  <c r="AS504" i="11"/>
  <c r="AW504" i="11"/>
  <c r="BA504" i="11"/>
  <c r="BE504" i="11"/>
  <c r="BI504" i="11"/>
  <c r="BM504" i="11"/>
  <c r="BQ504" i="11"/>
  <c r="BR508" i="11"/>
  <c r="BN508" i="11"/>
  <c r="BJ508" i="11"/>
  <c r="BF508" i="11"/>
  <c r="BB508" i="11"/>
  <c r="AX508" i="11"/>
  <c r="AT508" i="11"/>
  <c r="AP508" i="11"/>
  <c r="B508" i="11"/>
  <c r="D508" i="11" s="1"/>
  <c r="E508" i="11" s="1"/>
  <c r="F508" i="11" s="1"/>
  <c r="G508" i="11" s="1"/>
  <c r="H508" i="11" s="1"/>
  <c r="I508" i="11" s="1"/>
  <c r="J508" i="11" s="1"/>
  <c r="K508" i="11" s="1"/>
  <c r="L508" i="11" s="1"/>
  <c r="M508" i="11" s="1"/>
  <c r="N508" i="11" s="1"/>
  <c r="O508" i="11" s="1"/>
  <c r="P508" i="11" s="1"/>
  <c r="Q508" i="11" s="1"/>
  <c r="R508" i="11" s="1"/>
  <c r="S508" i="11" s="1"/>
  <c r="T508" i="11" s="1"/>
  <c r="U508" i="11" s="1"/>
  <c r="V508" i="11" s="1"/>
  <c r="W508" i="11" s="1"/>
  <c r="X508" i="11" s="1"/>
  <c r="Y508" i="11" s="1"/>
  <c r="Z508" i="11" s="1"/>
  <c r="AA508" i="11" s="1"/>
  <c r="AB508" i="11" s="1"/>
  <c r="AC508" i="11" s="1"/>
  <c r="AD508" i="11" s="1"/>
  <c r="AE508" i="11" s="1"/>
  <c r="AF508" i="11" s="1"/>
  <c r="AG508" i="11" s="1"/>
  <c r="AH508" i="11" s="1"/>
  <c r="AI508" i="11" s="1"/>
  <c r="AJ508" i="11" s="1"/>
  <c r="AK508" i="11" s="1"/>
  <c r="AL508" i="11" s="1"/>
  <c r="BQ508" i="11"/>
  <c r="BI508" i="11"/>
  <c r="BA508" i="11"/>
  <c r="AS508" i="11"/>
  <c r="BS508" i="11"/>
  <c r="BC508" i="11"/>
  <c r="AM508" i="11"/>
  <c r="BO508" i="11"/>
  <c r="BT508" i="11"/>
  <c r="BP508" i="11"/>
  <c r="BL508" i="11"/>
  <c r="BH508" i="11"/>
  <c r="BD508" i="11"/>
  <c r="AZ508" i="11"/>
  <c r="AV508" i="11"/>
  <c r="AR508" i="11"/>
  <c r="AN508" i="11"/>
  <c r="BU508" i="11"/>
  <c r="BM508" i="11"/>
  <c r="BE508" i="11"/>
  <c r="AW508" i="11"/>
  <c r="AO508" i="11"/>
  <c r="BK508" i="11"/>
  <c r="AU508" i="11"/>
  <c r="AY508" i="11"/>
  <c r="AQ508" i="11"/>
  <c r="BG508" i="11"/>
  <c r="BR512" i="11"/>
  <c r="BN512" i="11"/>
  <c r="BJ512" i="11"/>
  <c r="BF512" i="11"/>
  <c r="BB512" i="11"/>
  <c r="AX512" i="11"/>
  <c r="AT512" i="11"/>
  <c r="AP512" i="11"/>
  <c r="B512" i="11"/>
  <c r="D512" i="11" s="1"/>
  <c r="E512" i="11" s="1"/>
  <c r="F512" i="11" s="1"/>
  <c r="G512" i="11" s="1"/>
  <c r="H512" i="11" s="1"/>
  <c r="I512" i="11" s="1"/>
  <c r="J512" i="11" s="1"/>
  <c r="K512" i="11" s="1"/>
  <c r="L512" i="11" s="1"/>
  <c r="M512" i="11" s="1"/>
  <c r="N512" i="11" s="1"/>
  <c r="O512" i="11" s="1"/>
  <c r="P512" i="11" s="1"/>
  <c r="Q512" i="11" s="1"/>
  <c r="R512" i="11" s="1"/>
  <c r="S512" i="11" s="1"/>
  <c r="T512" i="11" s="1"/>
  <c r="U512" i="11" s="1"/>
  <c r="V512" i="11" s="1"/>
  <c r="W512" i="11" s="1"/>
  <c r="X512" i="11" s="1"/>
  <c r="Y512" i="11" s="1"/>
  <c r="Z512" i="11" s="1"/>
  <c r="AA512" i="11" s="1"/>
  <c r="AB512" i="11" s="1"/>
  <c r="AC512" i="11" s="1"/>
  <c r="AD512" i="11" s="1"/>
  <c r="AE512" i="11" s="1"/>
  <c r="AF512" i="11" s="1"/>
  <c r="AG512" i="11" s="1"/>
  <c r="AH512" i="11" s="1"/>
  <c r="AI512" i="11" s="1"/>
  <c r="AJ512" i="11" s="1"/>
  <c r="AK512" i="11" s="1"/>
  <c r="AL512" i="11" s="1"/>
  <c r="BQ512" i="11"/>
  <c r="BI512" i="11"/>
  <c r="BA512" i="11"/>
  <c r="AS512" i="11"/>
  <c r="BS512" i="11"/>
  <c r="BC512" i="11"/>
  <c r="AM512" i="11"/>
  <c r="BO512" i="11"/>
  <c r="BT512" i="11"/>
  <c r="BP512" i="11"/>
  <c r="BL512" i="11"/>
  <c r="BH512" i="11"/>
  <c r="BD512" i="11"/>
  <c r="AZ512" i="11"/>
  <c r="AV512" i="11"/>
  <c r="AR512" i="11"/>
  <c r="AN512" i="11"/>
  <c r="BU512" i="11"/>
  <c r="BM512" i="11"/>
  <c r="BE512" i="11"/>
  <c r="AW512" i="11"/>
  <c r="AO512" i="11"/>
  <c r="BK512" i="11"/>
  <c r="AU512" i="11"/>
  <c r="AY512" i="11"/>
  <c r="AQ512" i="11"/>
  <c r="BG512" i="11"/>
  <c r="BG516" i="11"/>
  <c r="AQ516" i="11"/>
  <c r="BT516" i="11"/>
  <c r="BP516" i="11"/>
  <c r="BL516" i="11"/>
  <c r="BH516" i="11"/>
  <c r="BD516" i="11"/>
  <c r="AZ516" i="11"/>
  <c r="AV516" i="11"/>
  <c r="AR516" i="11"/>
  <c r="AN516" i="11"/>
  <c r="BU516" i="11"/>
  <c r="BM516" i="11"/>
  <c r="BE516" i="11"/>
  <c r="AW516" i="11"/>
  <c r="AO516" i="11"/>
  <c r="BK516" i="11"/>
  <c r="AU516" i="11"/>
  <c r="AY516" i="11"/>
  <c r="BR516" i="11"/>
  <c r="BN516" i="11"/>
  <c r="BJ516" i="11"/>
  <c r="BF516" i="11"/>
  <c r="BB516" i="11"/>
  <c r="AX516" i="11"/>
  <c r="AT516" i="11"/>
  <c r="AP516" i="11"/>
  <c r="B516" i="11"/>
  <c r="D516" i="11" s="1"/>
  <c r="E516" i="11" s="1"/>
  <c r="F516" i="11" s="1"/>
  <c r="G516" i="11" s="1"/>
  <c r="H516" i="11" s="1"/>
  <c r="I516" i="11" s="1"/>
  <c r="J516" i="11" s="1"/>
  <c r="K516" i="11" s="1"/>
  <c r="L516" i="11" s="1"/>
  <c r="M516" i="11" s="1"/>
  <c r="N516" i="11" s="1"/>
  <c r="O516" i="11" s="1"/>
  <c r="P516" i="11" s="1"/>
  <c r="Q516" i="11" s="1"/>
  <c r="R516" i="11" s="1"/>
  <c r="S516" i="11" s="1"/>
  <c r="T516" i="11" s="1"/>
  <c r="U516" i="11" s="1"/>
  <c r="V516" i="11" s="1"/>
  <c r="W516" i="11" s="1"/>
  <c r="X516" i="11" s="1"/>
  <c r="Y516" i="11" s="1"/>
  <c r="Z516" i="11" s="1"/>
  <c r="AA516" i="11" s="1"/>
  <c r="AB516" i="11" s="1"/>
  <c r="AC516" i="11" s="1"/>
  <c r="AD516" i="11" s="1"/>
  <c r="AE516" i="11" s="1"/>
  <c r="AF516" i="11" s="1"/>
  <c r="AG516" i="11" s="1"/>
  <c r="AH516" i="11" s="1"/>
  <c r="AI516" i="11" s="1"/>
  <c r="AJ516" i="11" s="1"/>
  <c r="AK516" i="11" s="1"/>
  <c r="AL516" i="11" s="1"/>
  <c r="BQ516" i="11"/>
  <c r="BI516" i="11"/>
  <c r="BA516" i="11"/>
  <c r="AS516" i="11"/>
  <c r="BS516" i="11"/>
  <c r="BC516" i="11"/>
  <c r="AM516" i="11"/>
  <c r="BO516" i="11"/>
  <c r="BR520" i="11"/>
  <c r="BT520" i="11"/>
  <c r="BL520" i="11"/>
  <c r="BD520" i="11"/>
  <c r="AV520" i="11"/>
  <c r="AN520" i="11"/>
  <c r="BN520" i="11"/>
  <c r="AX520" i="11"/>
  <c r="BJ520" i="11"/>
  <c r="BB520" i="11"/>
  <c r="BU520" i="11"/>
  <c r="BP520" i="11"/>
  <c r="BH520" i="11"/>
  <c r="AZ520" i="11"/>
  <c r="AR520" i="11"/>
  <c r="B520" i="11"/>
  <c r="D520" i="11" s="1"/>
  <c r="E520" i="11" s="1"/>
  <c r="F520" i="11" s="1"/>
  <c r="G520" i="11" s="1"/>
  <c r="H520" i="11" s="1"/>
  <c r="I520" i="11" s="1"/>
  <c r="J520" i="11" s="1"/>
  <c r="K520" i="11" s="1"/>
  <c r="L520" i="11" s="1"/>
  <c r="M520" i="11" s="1"/>
  <c r="N520" i="11" s="1"/>
  <c r="O520" i="11" s="1"/>
  <c r="P520" i="11" s="1"/>
  <c r="Q520" i="11" s="1"/>
  <c r="R520" i="11" s="1"/>
  <c r="S520" i="11" s="1"/>
  <c r="T520" i="11" s="1"/>
  <c r="U520" i="11" s="1"/>
  <c r="V520" i="11" s="1"/>
  <c r="W520" i="11" s="1"/>
  <c r="X520" i="11" s="1"/>
  <c r="Y520" i="11" s="1"/>
  <c r="Z520" i="11" s="1"/>
  <c r="AA520" i="11" s="1"/>
  <c r="AB520" i="11" s="1"/>
  <c r="AC520" i="11" s="1"/>
  <c r="AD520" i="11" s="1"/>
  <c r="AE520" i="11" s="1"/>
  <c r="AF520" i="11" s="1"/>
  <c r="AG520" i="11" s="1"/>
  <c r="AH520" i="11" s="1"/>
  <c r="AI520" i="11" s="1"/>
  <c r="AJ520" i="11" s="1"/>
  <c r="AK520" i="11" s="1"/>
  <c r="AL520" i="11" s="1"/>
  <c r="BF520" i="11"/>
  <c r="AP520" i="11"/>
  <c r="AT520" i="11"/>
  <c r="AM520" i="11"/>
  <c r="AQ520" i="11"/>
  <c r="AU520" i="11"/>
  <c r="AY520" i="11"/>
  <c r="BC520" i="11"/>
  <c r="BG520" i="11"/>
  <c r="BK520" i="11"/>
  <c r="BO520" i="11"/>
  <c r="BS520" i="11"/>
  <c r="AO520" i="11"/>
  <c r="AS520" i="11"/>
  <c r="AW520" i="11"/>
  <c r="BA520" i="11"/>
  <c r="BE520" i="11"/>
  <c r="BI520" i="11"/>
  <c r="BM520" i="11"/>
  <c r="BQ520" i="11"/>
  <c r="R114" i="8"/>
  <c r="J114" i="8"/>
  <c r="K114" i="8" s="1"/>
  <c r="H4" i="8" s="1"/>
  <c r="H114" i="8"/>
  <c r="T114" i="8"/>
  <c r="U114" i="8" s="1"/>
  <c r="H6" i="8" s="1"/>
  <c r="I70" i="9"/>
  <c r="I69" i="9"/>
  <c r="I68" i="9"/>
  <c r="I67" i="9"/>
  <c r="D54" i="9"/>
  <c r="B54" i="9" s="1"/>
  <c r="D53" i="9"/>
  <c r="B53" i="9" s="1"/>
  <c r="D52" i="9"/>
  <c r="B52" i="9" s="1"/>
  <c r="D51" i="9"/>
  <c r="B51" i="9" s="1"/>
  <c r="G66" i="9"/>
  <c r="G65" i="9"/>
  <c r="G64" i="9"/>
  <c r="G63" i="9"/>
  <c r="I62" i="9"/>
  <c r="I61" i="9"/>
  <c r="I60" i="9"/>
  <c r="I59" i="9"/>
  <c r="I66" i="9"/>
  <c r="I65" i="9"/>
  <c r="I64" i="9"/>
  <c r="I63" i="9"/>
  <c r="D70" i="9"/>
  <c r="B70" i="9" s="1"/>
  <c r="D69" i="9"/>
  <c r="B69" i="9" s="1"/>
  <c r="D68" i="9"/>
  <c r="B68" i="9" s="1"/>
  <c r="D67" i="9"/>
  <c r="B67" i="9" s="1"/>
  <c r="I54" i="9"/>
  <c r="I53" i="9"/>
  <c r="I52" i="9"/>
  <c r="I51" i="9"/>
  <c r="D82" i="9"/>
  <c r="D81" i="9"/>
  <c r="B81" i="9" s="1"/>
  <c r="D80" i="9"/>
  <c r="B80" i="9" s="1"/>
  <c r="D79" i="9"/>
  <c r="B79" i="9" s="1"/>
  <c r="D66" i="9"/>
  <c r="B66" i="9" s="1"/>
  <c r="D65" i="9"/>
  <c r="B65" i="9" s="1"/>
  <c r="D64" i="9"/>
  <c r="B64" i="9" s="1"/>
  <c r="D63" i="9"/>
  <c r="B63" i="9" s="1"/>
  <c r="I82" i="9"/>
  <c r="I81" i="9"/>
  <c r="I80" i="9"/>
  <c r="I79" i="9"/>
  <c r="I78" i="9"/>
  <c r="I77" i="9"/>
  <c r="I76" i="9"/>
  <c r="I75" i="9"/>
  <c r="M28" i="8"/>
  <c r="R30" i="8"/>
  <c r="O30" i="8"/>
  <c r="V29" i="8"/>
  <c r="F66" i="9" s="1"/>
  <c r="O29" i="8"/>
  <c r="V28" i="8"/>
  <c r="F62" i="9" s="1"/>
  <c r="M29" i="8"/>
  <c r="Y31" i="8"/>
  <c r="W31" i="8"/>
  <c r="V32" i="8"/>
  <c r="F78" i="9" s="1"/>
  <c r="B37" i="9"/>
  <c r="F7" i="3"/>
  <c r="F8" i="3" s="1"/>
  <c r="H40" i="2"/>
  <c r="I40" i="2"/>
  <c r="H41" i="2"/>
  <c r="I41" i="2"/>
  <c r="AB113" i="7"/>
  <c r="B27" i="9"/>
  <c r="B28" i="9"/>
  <c r="W17" i="8"/>
  <c r="Y17" i="8"/>
  <c r="W16" i="8"/>
  <c r="Y15" i="8"/>
  <c r="M14" i="8"/>
  <c r="M114" i="8" s="1"/>
  <c r="W14" i="8"/>
  <c r="O14" i="8"/>
  <c r="O114" i="8" s="1"/>
  <c r="B6" i="9"/>
  <c r="B3" i="9"/>
  <c r="B20" i="9"/>
  <c r="B21" i="9"/>
  <c r="B82" i="9"/>
  <c r="B18" i="9"/>
  <c r="B17" i="9"/>
  <c r="V25" i="8"/>
  <c r="E14" i="2"/>
  <c r="D40" i="2"/>
  <c r="E15" i="2"/>
  <c r="D41" i="2"/>
  <c r="Y20" i="8"/>
  <c r="Y21" i="8"/>
  <c r="W21" i="8"/>
  <c r="W15" i="8"/>
  <c r="W22" i="8"/>
  <c r="Y14" i="8"/>
  <c r="Y114" i="8" s="1"/>
  <c r="AB112" i="7"/>
  <c r="D421" i="11"/>
  <c r="E421" i="11" s="1"/>
  <c r="F421" i="11" s="1"/>
  <c r="G421" i="11" s="1"/>
  <c r="H421" i="11" s="1"/>
  <c r="I421" i="11" s="1"/>
  <c r="J421" i="11" s="1"/>
  <c r="K421" i="11" s="1"/>
  <c r="L421" i="11" s="1"/>
  <c r="M421" i="11" s="1"/>
  <c r="N421" i="11" s="1"/>
  <c r="O421" i="11" s="1"/>
  <c r="P421" i="11" s="1"/>
  <c r="Q421" i="11" s="1"/>
  <c r="R421" i="11" s="1"/>
  <c r="S421" i="11" s="1"/>
  <c r="T421" i="11" s="1"/>
  <c r="U421" i="11" s="1"/>
  <c r="V421" i="11" s="1"/>
  <c r="W421" i="11" s="1"/>
  <c r="X421" i="11" s="1"/>
  <c r="Y421" i="11" s="1"/>
  <c r="Z421" i="11" s="1"/>
  <c r="AA421" i="11" s="1"/>
  <c r="AB421" i="11" s="1"/>
  <c r="AC421" i="11" s="1"/>
  <c r="AD421" i="11" s="1"/>
  <c r="AE421" i="11" s="1"/>
  <c r="AF421" i="11" s="1"/>
  <c r="AG421" i="11" s="1"/>
  <c r="AH421" i="11" s="1"/>
  <c r="AI421" i="11" s="1"/>
  <c r="AJ421" i="11" s="1"/>
  <c r="AK421" i="11" s="1"/>
  <c r="AL421" i="11" s="1"/>
  <c r="AR420" i="11"/>
  <c r="I521" i="11"/>
  <c r="AR521" i="11" s="1"/>
  <c r="AR414" i="11"/>
  <c r="G40" i="2"/>
  <c r="AR3" i="11"/>
  <c r="J414" i="11"/>
  <c r="J420" i="11" s="1"/>
  <c r="T3" i="5"/>
  <c r="T9" i="5" s="1"/>
  <c r="T13" i="5" s="1"/>
  <c r="V3" i="2"/>
  <c r="G41" i="2"/>
  <c r="F35" i="2"/>
  <c r="F16" i="5"/>
  <c r="D14" i="5"/>
  <c r="E15" i="5"/>
  <c r="D16" i="5"/>
  <c r="G15" i="5"/>
  <c r="M36" i="2"/>
  <c r="E7" i="5"/>
  <c r="K12" i="5" s="1"/>
  <c r="M35" i="2"/>
  <c r="W24" i="8"/>
  <c r="Y24" i="8"/>
  <c r="W30" i="8"/>
  <c r="Y30" i="8"/>
  <c r="W26" i="8"/>
  <c r="Y26" i="8"/>
  <c r="W29" i="8"/>
  <c r="Y29" i="8"/>
  <c r="E41" i="2"/>
  <c r="M23" i="2"/>
  <c r="R23" i="2" s="1"/>
  <c r="F41" i="2"/>
  <c r="E40" i="2"/>
  <c r="F40" i="2"/>
  <c r="D15" i="5"/>
  <c r="F15" i="5"/>
  <c r="E14" i="5"/>
  <c r="E16" i="5"/>
  <c r="G14" i="5"/>
  <c r="E11" i="5"/>
  <c r="F14" i="5"/>
  <c r="G16" i="5"/>
  <c r="G37" i="2"/>
  <c r="D36" i="2"/>
  <c r="D35" i="2"/>
  <c r="F37" i="2"/>
  <c r="F36" i="2"/>
  <c r="E36" i="2"/>
  <c r="F18" i="2"/>
  <c r="M7" i="2" s="1"/>
  <c r="E35" i="2"/>
  <c r="F13" i="2"/>
  <c r="E13" i="2"/>
  <c r="G36" i="2"/>
  <c r="D37" i="2"/>
  <c r="G35" i="2"/>
  <c r="J129" i="8"/>
  <c r="K129" i="8" s="1"/>
  <c r="H8" i="8" s="1"/>
  <c r="H129" i="8"/>
  <c r="E8" i="8" s="1"/>
  <c r="I114" i="8"/>
  <c r="F4" i="8" s="1"/>
  <c r="L9" i="5"/>
  <c r="L13" i="5" s="1"/>
  <c r="Q9" i="5"/>
  <c r="Q13" i="5" s="1"/>
  <c r="P9" i="5"/>
  <c r="P13" i="5" s="1"/>
  <c r="O9" i="5"/>
  <c r="O13" i="5" s="1"/>
  <c r="O17" i="5" s="1"/>
  <c r="R9" i="5"/>
  <c r="R13" i="5" s="1"/>
  <c r="S9" i="5"/>
  <c r="S13" i="5" s="1"/>
  <c r="M9" i="5"/>
  <c r="M13" i="5" s="1"/>
  <c r="W19" i="8"/>
  <c r="Y19" i="8"/>
  <c r="W18" i="8"/>
  <c r="Y18" i="8"/>
  <c r="Y23" i="8"/>
  <c r="W23" i="8"/>
  <c r="AN5" i="3"/>
  <c r="E8" i="2" s="1"/>
  <c r="E9" i="2" s="1"/>
  <c r="AD7" i="3"/>
  <c r="AO6" i="3"/>
  <c r="AF6" i="3" s="1"/>
  <c r="E30" i="2" s="1"/>
  <c r="AL6" i="3"/>
  <c r="E24" i="2" s="1"/>
  <c r="AK6" i="3"/>
  <c r="E25" i="2" s="1"/>
  <c r="AQ6" i="3"/>
  <c r="C527" i="11"/>
  <c r="C525" i="11"/>
  <c r="C524" i="11"/>
  <c r="C522" i="11"/>
  <c r="C523" i="11"/>
  <c r="D7" i="8" l="1"/>
  <c r="D9" i="8" s="1"/>
  <c r="F50" i="9"/>
  <c r="W114" i="8"/>
  <c r="P114" i="8"/>
  <c r="H5" i="8" s="1"/>
  <c r="N114" i="8"/>
  <c r="F5" i="8" s="1"/>
  <c r="Y28" i="8"/>
  <c r="W28" i="8"/>
  <c r="Y32" i="8"/>
  <c r="W32" i="8"/>
  <c r="AJ6" i="3"/>
  <c r="E26" i="2" s="1"/>
  <c r="R60" i="2"/>
  <c r="R72" i="2"/>
  <c r="AB114" i="7"/>
  <c r="BA527" i="11"/>
  <c r="BQ527" i="11"/>
  <c r="AX527" i="11"/>
  <c r="BN527" i="11"/>
  <c r="AU527" i="11"/>
  <c r="BK527" i="11"/>
  <c r="AR527" i="11"/>
  <c r="BH527" i="11"/>
  <c r="AM527" i="11"/>
  <c r="AO527" i="11"/>
  <c r="BE527" i="11"/>
  <c r="BU527" i="11"/>
  <c r="BB527" i="11"/>
  <c r="BR527" i="11"/>
  <c r="AY527" i="11"/>
  <c r="BO527" i="11"/>
  <c r="AV527" i="11"/>
  <c r="BL527" i="11"/>
  <c r="AS527" i="11"/>
  <c r="BI527" i="11"/>
  <c r="AP527" i="11"/>
  <c r="BF527" i="11"/>
  <c r="B527" i="11"/>
  <c r="BC527" i="11"/>
  <c r="BS527" i="11"/>
  <c r="AZ527" i="11"/>
  <c r="BP527" i="11"/>
  <c r="AW527" i="11"/>
  <c r="BM527" i="11"/>
  <c r="AT527" i="11"/>
  <c r="BJ527" i="11"/>
  <c r="AQ527" i="11"/>
  <c r="BG527" i="11"/>
  <c r="AN527" i="11"/>
  <c r="BD527" i="11"/>
  <c r="BT527" i="11"/>
  <c r="AI6" i="3"/>
  <c r="E27" i="2" s="1"/>
  <c r="AH6" i="3"/>
  <c r="E28" i="2" s="1"/>
  <c r="W25" i="8"/>
  <c r="Y25" i="8"/>
  <c r="K16" i="5"/>
  <c r="K17" i="5"/>
  <c r="AN522" i="11"/>
  <c r="AV522" i="11"/>
  <c r="BD522" i="11"/>
  <c r="BL522" i="11"/>
  <c r="BT522" i="11"/>
  <c r="AU522" i="11"/>
  <c r="BC522" i="11"/>
  <c r="BK522" i="11"/>
  <c r="BS522" i="11"/>
  <c r="AT522" i="11"/>
  <c r="BB522" i="11"/>
  <c r="BJ522" i="11"/>
  <c r="BR522" i="11"/>
  <c r="AS522" i="11"/>
  <c r="BA522" i="11"/>
  <c r="BI522" i="11"/>
  <c r="BQ522" i="11"/>
  <c r="AM522" i="11"/>
  <c r="AR522" i="11"/>
  <c r="AZ522" i="11"/>
  <c r="BH522" i="11"/>
  <c r="BP522" i="11"/>
  <c r="AQ522" i="11"/>
  <c r="AY522" i="11"/>
  <c r="BG522" i="11"/>
  <c r="BO522" i="11"/>
  <c r="AP522" i="11"/>
  <c r="AX522" i="11"/>
  <c r="BF522" i="11"/>
  <c r="BN522" i="11"/>
  <c r="AO522" i="11"/>
  <c r="AW522" i="11"/>
  <c r="BE522" i="11"/>
  <c r="BM522" i="11"/>
  <c r="BU522" i="11"/>
  <c r="B522" i="11"/>
  <c r="AN523" i="11"/>
  <c r="BD523" i="11"/>
  <c r="BT523" i="11"/>
  <c r="BC523" i="11"/>
  <c r="BS523" i="11"/>
  <c r="BB523" i="11"/>
  <c r="BR523" i="11"/>
  <c r="BA523" i="11"/>
  <c r="BQ523" i="11"/>
  <c r="AR523" i="11"/>
  <c r="BH523" i="11"/>
  <c r="AQ523" i="11"/>
  <c r="BG523" i="11"/>
  <c r="AP523" i="11"/>
  <c r="BF523" i="11"/>
  <c r="AO523" i="11"/>
  <c r="BE523" i="11"/>
  <c r="BU523" i="11"/>
  <c r="AV523" i="11"/>
  <c r="BL523" i="11"/>
  <c r="AU523" i="11"/>
  <c r="BK523" i="11"/>
  <c r="AT523" i="11"/>
  <c r="BJ523" i="11"/>
  <c r="AS523" i="11"/>
  <c r="BI523" i="11"/>
  <c r="AM523" i="11"/>
  <c r="AZ523" i="11"/>
  <c r="BP523" i="11"/>
  <c r="AY523" i="11"/>
  <c r="BO523" i="11"/>
  <c r="AX523" i="11"/>
  <c r="BN523" i="11"/>
  <c r="AW523" i="11"/>
  <c r="BM523" i="11"/>
  <c r="B523" i="11"/>
  <c r="AR525" i="11"/>
  <c r="AZ525" i="11"/>
  <c r="BH525" i="11"/>
  <c r="BP525" i="11"/>
  <c r="AQ525" i="11"/>
  <c r="AY525" i="11"/>
  <c r="BG525" i="11"/>
  <c r="BO525" i="11"/>
  <c r="AP525" i="11"/>
  <c r="AX525" i="11"/>
  <c r="BF525" i="11"/>
  <c r="BN525" i="11"/>
  <c r="AO525" i="11"/>
  <c r="AW525" i="11"/>
  <c r="BE525" i="11"/>
  <c r="BM525" i="11"/>
  <c r="BU525" i="11"/>
  <c r="AM525" i="11"/>
  <c r="AN525" i="11"/>
  <c r="AV525" i="11"/>
  <c r="BD525" i="11"/>
  <c r="BL525" i="11"/>
  <c r="BT525" i="11"/>
  <c r="AU525" i="11"/>
  <c r="BC525" i="11"/>
  <c r="BK525" i="11"/>
  <c r="BS525" i="11"/>
  <c r="AT525" i="11"/>
  <c r="BB525" i="11"/>
  <c r="BJ525" i="11"/>
  <c r="BR525" i="11"/>
  <c r="AS525" i="11"/>
  <c r="BA525" i="11"/>
  <c r="BI525" i="11"/>
  <c r="BQ525" i="11"/>
  <c r="B525" i="11"/>
  <c r="AR524" i="11"/>
  <c r="AZ524" i="11"/>
  <c r="BH524" i="11"/>
  <c r="BP524" i="11"/>
  <c r="AQ524" i="11"/>
  <c r="AY524" i="11"/>
  <c r="BG524" i="11"/>
  <c r="BO524" i="11"/>
  <c r="AP524" i="11"/>
  <c r="AX524" i="11"/>
  <c r="BF524" i="11"/>
  <c r="BN524" i="11"/>
  <c r="AO524" i="11"/>
  <c r="AW524" i="11"/>
  <c r="BE524" i="11"/>
  <c r="BM524" i="11"/>
  <c r="BU524" i="11"/>
  <c r="B524" i="11"/>
  <c r="AN524" i="11"/>
  <c r="AV524" i="11"/>
  <c r="BD524" i="11"/>
  <c r="BL524" i="11"/>
  <c r="BT524" i="11"/>
  <c r="AU524" i="11"/>
  <c r="BC524" i="11"/>
  <c r="BK524" i="11"/>
  <c r="BS524" i="11"/>
  <c r="AT524" i="11"/>
  <c r="BB524" i="11"/>
  <c r="BJ524" i="11"/>
  <c r="BR524" i="11"/>
  <c r="AS524" i="11"/>
  <c r="BA524" i="11"/>
  <c r="BI524" i="11"/>
  <c r="BQ524" i="11"/>
  <c r="AM524" i="11"/>
  <c r="I129" i="8"/>
  <c r="F8" i="8" s="1"/>
  <c r="J521" i="11"/>
  <c r="AS521" i="11" s="1"/>
  <c r="AS420" i="11"/>
  <c r="AS414" i="11"/>
  <c r="T23" i="2"/>
  <c r="V23" i="2"/>
  <c r="G8" i="8"/>
  <c r="AS3" i="11"/>
  <c r="K414" i="11"/>
  <c r="K420" i="11" s="1"/>
  <c r="W3" i="2"/>
  <c r="W23" i="2" s="1"/>
  <c r="U3" i="5"/>
  <c r="U9" i="5" s="1"/>
  <c r="U13" i="5" s="1"/>
  <c r="U17" i="5" s="1"/>
  <c r="O23" i="2"/>
  <c r="O72" i="2" s="1"/>
  <c r="L8" i="5"/>
  <c r="L12" i="5" s="1"/>
  <c r="L16" i="5" s="1"/>
  <c r="T24" i="2"/>
  <c r="T36" i="2" s="1"/>
  <c r="T48" i="2" s="1"/>
  <c r="V24" i="2"/>
  <c r="V36" i="2" s="1"/>
  <c r="V48" i="2" s="1"/>
  <c r="N24" i="2"/>
  <c r="N36" i="2" s="1"/>
  <c r="N48" i="2" s="1"/>
  <c r="R24" i="2"/>
  <c r="R36" i="2" s="1"/>
  <c r="R48" i="2" s="1"/>
  <c r="Q24" i="2"/>
  <c r="Q36" i="2" s="1"/>
  <c r="Q48" i="2" s="1"/>
  <c r="O24" i="2"/>
  <c r="O36" i="2" s="1"/>
  <c r="O48" i="2" s="1"/>
  <c r="S24" i="2"/>
  <c r="S36" i="2" s="1"/>
  <c r="S48" i="2" s="1"/>
  <c r="U24" i="2"/>
  <c r="U36" i="2" s="1"/>
  <c r="U48" i="2" s="1"/>
  <c r="T8" i="5"/>
  <c r="T12" i="5" s="1"/>
  <c r="T16" i="5" s="1"/>
  <c r="N23" i="2"/>
  <c r="S23" i="2"/>
  <c r="U23" i="2"/>
  <c r="Q23" i="2"/>
  <c r="M34" i="2"/>
  <c r="G4" i="8"/>
  <c r="E4" i="8"/>
  <c r="M17" i="5"/>
  <c r="S17" i="5"/>
  <c r="R17" i="5"/>
  <c r="P17" i="5"/>
  <c r="L17" i="5"/>
  <c r="M39" i="2"/>
  <c r="T17" i="5"/>
  <c r="Q17" i="5"/>
  <c r="R8" i="5"/>
  <c r="R12" i="5" s="1"/>
  <c r="R16" i="5" s="1"/>
  <c r="M8" i="5"/>
  <c r="M12" i="5" s="1"/>
  <c r="M16" i="5" s="1"/>
  <c r="M48" i="2"/>
  <c r="G6" i="8"/>
  <c r="O8" i="5"/>
  <c r="O12" i="5" s="1"/>
  <c r="O16" i="5" s="1"/>
  <c r="P8" i="5"/>
  <c r="P12" i="5" s="1"/>
  <c r="P16" i="5" s="1"/>
  <c r="S8" i="5"/>
  <c r="S12" i="5" s="1"/>
  <c r="S16" i="5" s="1"/>
  <c r="Q8" i="5"/>
  <c r="Q12" i="5" s="1"/>
  <c r="Q16" i="5" s="1"/>
  <c r="E5" i="8"/>
  <c r="E6" i="8"/>
  <c r="S114" i="8"/>
  <c r="F6" i="8" s="1"/>
  <c r="R35" i="2"/>
  <c r="R47" i="2" s="1"/>
  <c r="AG6" i="3"/>
  <c r="E29" i="2" s="1"/>
  <c r="AD8" i="3"/>
  <c r="AK7" i="3"/>
  <c r="F25" i="2" s="1"/>
  <c r="AQ7" i="3"/>
  <c r="AL7" i="3"/>
  <c r="F24" i="2" s="1"/>
  <c r="AO7" i="3"/>
  <c r="AF7" i="3" s="1"/>
  <c r="F30" i="2" s="1"/>
  <c r="C526" i="11"/>
  <c r="G5" i="8" l="1"/>
  <c r="E7" i="8"/>
  <c r="E9" i="8" s="1"/>
  <c r="F9" i="8" s="1"/>
  <c r="Z114" i="8"/>
  <c r="H7" i="8" s="1"/>
  <c r="U8" i="5"/>
  <c r="U12" i="5" s="1"/>
  <c r="U16" i="5" s="1"/>
  <c r="U18" i="5" s="1"/>
  <c r="U4" i="5" s="1"/>
  <c r="U5" i="5" s="1"/>
  <c r="AJ7" i="3"/>
  <c r="F26" i="2" s="1"/>
  <c r="Q60" i="2"/>
  <c r="Q72" i="2"/>
  <c r="S60" i="2"/>
  <c r="S72" i="2"/>
  <c r="W60" i="2"/>
  <c r="W72" i="2"/>
  <c r="V60" i="2"/>
  <c r="V72" i="2"/>
  <c r="T60" i="2"/>
  <c r="T72" i="2"/>
  <c r="U60" i="2"/>
  <c r="U72" i="2"/>
  <c r="N60" i="2"/>
  <c r="N72" i="2"/>
  <c r="O60" i="2"/>
  <c r="W24" i="2"/>
  <c r="W36" i="2" s="1"/>
  <c r="W48" i="2" s="1"/>
  <c r="BO526" i="11"/>
  <c r="AN526" i="11"/>
  <c r="AV526" i="11"/>
  <c r="BD526" i="11"/>
  <c r="BL526" i="11"/>
  <c r="BT526" i="11"/>
  <c r="AU526" i="11"/>
  <c r="BC526" i="11"/>
  <c r="BK526" i="11"/>
  <c r="BU526" i="11"/>
  <c r="AT526" i="11"/>
  <c r="BB526" i="11"/>
  <c r="BJ526" i="11"/>
  <c r="BR526" i="11"/>
  <c r="AS526" i="11"/>
  <c r="BA526" i="11"/>
  <c r="BI526" i="11"/>
  <c r="BQ526" i="11"/>
  <c r="B526" i="11"/>
  <c r="AR526" i="11"/>
  <c r="AZ526" i="11"/>
  <c r="BH526" i="11"/>
  <c r="BP526" i="11"/>
  <c r="AQ526" i="11"/>
  <c r="AY526" i="11"/>
  <c r="BG526" i="11"/>
  <c r="AP526" i="11"/>
  <c r="AX526" i="11"/>
  <c r="BF526" i="11"/>
  <c r="BN526" i="11"/>
  <c r="AO526" i="11"/>
  <c r="AW526" i="11"/>
  <c r="BE526" i="11"/>
  <c r="BM526" i="11"/>
  <c r="BS526" i="11"/>
  <c r="AM526" i="11"/>
  <c r="D525" i="11"/>
  <c r="E525" i="11" s="1"/>
  <c r="F525" i="11" s="1"/>
  <c r="G525" i="11" s="1"/>
  <c r="H525" i="11" s="1"/>
  <c r="I525" i="11" s="1"/>
  <c r="J525" i="11" s="1"/>
  <c r="K525" i="11" s="1"/>
  <c r="L525" i="11" s="1"/>
  <c r="M525" i="11" s="1"/>
  <c r="N525" i="11" s="1"/>
  <c r="O525" i="11" s="1"/>
  <c r="P525" i="11" s="1"/>
  <c r="Q525" i="11" s="1"/>
  <c r="R525" i="11" s="1"/>
  <c r="S525" i="11" s="1"/>
  <c r="T525" i="11" s="1"/>
  <c r="U525" i="11" s="1"/>
  <c r="V525" i="11" s="1"/>
  <c r="W525" i="11" s="1"/>
  <c r="X525" i="11" s="1"/>
  <c r="Y525" i="11" s="1"/>
  <c r="Z525" i="11" s="1"/>
  <c r="AA525" i="11" s="1"/>
  <c r="AB525" i="11" s="1"/>
  <c r="AC525" i="11" s="1"/>
  <c r="AD525" i="11" s="1"/>
  <c r="AE525" i="11" s="1"/>
  <c r="AF525" i="11" s="1"/>
  <c r="AG525" i="11" s="1"/>
  <c r="AH525" i="11" s="1"/>
  <c r="AI525" i="11" s="1"/>
  <c r="AJ525" i="11" s="1"/>
  <c r="AK525" i="11" s="1"/>
  <c r="AL525" i="11" s="1"/>
  <c r="D522" i="11"/>
  <c r="E522" i="11" s="1"/>
  <c r="F522" i="11" s="1"/>
  <c r="G522" i="11" s="1"/>
  <c r="H522" i="11" s="1"/>
  <c r="I522" i="11" s="1"/>
  <c r="J522" i="11" s="1"/>
  <c r="K522" i="11" s="1"/>
  <c r="L522" i="11" s="1"/>
  <c r="M522" i="11" s="1"/>
  <c r="N522" i="11" s="1"/>
  <c r="O522" i="11" s="1"/>
  <c r="P522" i="11" s="1"/>
  <c r="Q522" i="11" s="1"/>
  <c r="R522" i="11" s="1"/>
  <c r="S522" i="11" s="1"/>
  <c r="T522" i="11" s="1"/>
  <c r="U522" i="11" s="1"/>
  <c r="V522" i="11" s="1"/>
  <c r="W522" i="11" s="1"/>
  <c r="X522" i="11" s="1"/>
  <c r="Y522" i="11" s="1"/>
  <c r="Z522" i="11" s="1"/>
  <c r="AA522" i="11" s="1"/>
  <c r="AB522" i="11" s="1"/>
  <c r="AC522" i="11" s="1"/>
  <c r="AD522" i="11" s="1"/>
  <c r="AE522" i="11" s="1"/>
  <c r="AF522" i="11" s="1"/>
  <c r="AG522" i="11" s="1"/>
  <c r="AH522" i="11" s="1"/>
  <c r="AI522" i="11" s="1"/>
  <c r="AJ522" i="11" s="1"/>
  <c r="AK522" i="11" s="1"/>
  <c r="AL522" i="11" s="1"/>
  <c r="D527" i="11"/>
  <c r="E527" i="11" s="1"/>
  <c r="F527" i="11" s="1"/>
  <c r="G527" i="11" s="1"/>
  <c r="H527" i="11" s="1"/>
  <c r="I527" i="11" s="1"/>
  <c r="J527" i="11" s="1"/>
  <c r="K527" i="11" s="1"/>
  <c r="L527" i="11" s="1"/>
  <c r="M527" i="11" s="1"/>
  <c r="N527" i="11" s="1"/>
  <c r="O527" i="11" s="1"/>
  <c r="P527" i="11" s="1"/>
  <c r="Q527" i="11" s="1"/>
  <c r="R527" i="11" s="1"/>
  <c r="S527" i="11" s="1"/>
  <c r="T527" i="11" s="1"/>
  <c r="U527" i="11" s="1"/>
  <c r="V527" i="11" s="1"/>
  <c r="W527" i="11" s="1"/>
  <c r="X527" i="11" s="1"/>
  <c r="Y527" i="11" s="1"/>
  <c r="Z527" i="11" s="1"/>
  <c r="AA527" i="11" s="1"/>
  <c r="AB527" i="11" s="1"/>
  <c r="AC527" i="11" s="1"/>
  <c r="AD527" i="11" s="1"/>
  <c r="AE527" i="11" s="1"/>
  <c r="AF527" i="11" s="1"/>
  <c r="AG527" i="11" s="1"/>
  <c r="AH527" i="11" s="1"/>
  <c r="AI527" i="11" s="1"/>
  <c r="AJ527" i="11" s="1"/>
  <c r="AK527" i="11" s="1"/>
  <c r="AL527" i="11" s="1"/>
  <c r="AH7" i="3"/>
  <c r="F28" i="2" s="1"/>
  <c r="AI7" i="3"/>
  <c r="F27" i="2" s="1"/>
  <c r="D524" i="11"/>
  <c r="E524" i="11" s="1"/>
  <c r="F524" i="11" s="1"/>
  <c r="G524" i="11" s="1"/>
  <c r="H524" i="11" s="1"/>
  <c r="I524" i="11" s="1"/>
  <c r="J524" i="11" s="1"/>
  <c r="K524" i="11" s="1"/>
  <c r="L524" i="11" s="1"/>
  <c r="M524" i="11" s="1"/>
  <c r="N524" i="11" s="1"/>
  <c r="O524" i="11" s="1"/>
  <c r="P524" i="11" s="1"/>
  <c r="Q524" i="11" s="1"/>
  <c r="R524" i="11" s="1"/>
  <c r="S524" i="11" s="1"/>
  <c r="T524" i="11" s="1"/>
  <c r="U524" i="11" s="1"/>
  <c r="V524" i="11" s="1"/>
  <c r="W524" i="11" s="1"/>
  <c r="X524" i="11" s="1"/>
  <c r="Y524" i="11" s="1"/>
  <c r="Z524" i="11" s="1"/>
  <c r="AA524" i="11" s="1"/>
  <c r="AB524" i="11" s="1"/>
  <c r="AC524" i="11" s="1"/>
  <c r="AD524" i="11" s="1"/>
  <c r="AE524" i="11" s="1"/>
  <c r="AF524" i="11" s="1"/>
  <c r="AG524" i="11" s="1"/>
  <c r="AH524" i="11" s="1"/>
  <c r="AI524" i="11" s="1"/>
  <c r="AJ524" i="11" s="1"/>
  <c r="AK524" i="11" s="1"/>
  <c r="AL524" i="11" s="1"/>
  <c r="W35" i="2"/>
  <c r="W47" i="2" s="1"/>
  <c r="Q35" i="2"/>
  <c r="Q47" i="2" s="1"/>
  <c r="O35" i="2"/>
  <c r="O47" i="2" s="1"/>
  <c r="O18" i="5"/>
  <c r="O4" i="5" s="1"/>
  <c r="O5" i="5" s="1"/>
  <c r="D523" i="11"/>
  <c r="E523" i="11" s="1"/>
  <c r="F523" i="11" s="1"/>
  <c r="G523" i="11" s="1"/>
  <c r="H523" i="11" s="1"/>
  <c r="I523" i="11" s="1"/>
  <c r="J523" i="11" s="1"/>
  <c r="K523" i="11" s="1"/>
  <c r="L523" i="11" s="1"/>
  <c r="M523" i="11" s="1"/>
  <c r="N523" i="11" s="1"/>
  <c r="O523" i="11" s="1"/>
  <c r="P523" i="11" s="1"/>
  <c r="Q523" i="11" s="1"/>
  <c r="R523" i="11" s="1"/>
  <c r="S523" i="11" s="1"/>
  <c r="T523" i="11" s="1"/>
  <c r="U523" i="11" s="1"/>
  <c r="V523" i="11" s="1"/>
  <c r="W523" i="11" s="1"/>
  <c r="X523" i="11" s="1"/>
  <c r="Y523" i="11" s="1"/>
  <c r="Z523" i="11" s="1"/>
  <c r="AA523" i="11" s="1"/>
  <c r="AB523" i="11" s="1"/>
  <c r="AC523" i="11" s="1"/>
  <c r="AD523" i="11" s="1"/>
  <c r="AE523" i="11" s="1"/>
  <c r="AF523" i="11" s="1"/>
  <c r="AG523" i="11" s="1"/>
  <c r="AH523" i="11" s="1"/>
  <c r="AI523" i="11" s="1"/>
  <c r="AJ523" i="11" s="1"/>
  <c r="AK523" i="11" s="1"/>
  <c r="AL523" i="11" s="1"/>
  <c r="M40" i="2"/>
  <c r="AT420" i="11"/>
  <c r="K521" i="11"/>
  <c r="AT521" i="11" s="1"/>
  <c r="AT414" i="11"/>
  <c r="V35" i="2"/>
  <c r="V47" i="2" s="1"/>
  <c r="T35" i="2"/>
  <c r="T47" i="2" s="1"/>
  <c r="AT3" i="11"/>
  <c r="L414" i="11"/>
  <c r="L420" i="11" s="1"/>
  <c r="V3" i="5"/>
  <c r="X3" i="2"/>
  <c r="M43" i="2"/>
  <c r="M47" i="2"/>
  <c r="S35" i="2"/>
  <c r="S47" i="2" s="1"/>
  <c r="M18" i="5"/>
  <c r="M4" i="5" s="1"/>
  <c r="M5" i="5" s="1"/>
  <c r="M21" i="2"/>
  <c r="M33" i="2" s="1"/>
  <c r="P18" i="5"/>
  <c r="P4" i="5" s="1"/>
  <c r="P5" i="5" s="1"/>
  <c r="U35" i="2"/>
  <c r="U47" i="2" s="1"/>
  <c r="N35" i="2"/>
  <c r="N47" i="2" s="1"/>
  <c r="S18" i="5"/>
  <c r="S4" i="5" s="1"/>
  <c r="S5" i="5" s="1"/>
  <c r="T18" i="5"/>
  <c r="T4" i="5" s="1"/>
  <c r="T5" i="5" s="1"/>
  <c r="R18" i="5"/>
  <c r="R4" i="5" s="1"/>
  <c r="R5" i="5" s="1"/>
  <c r="M15" i="2"/>
  <c r="L18" i="5"/>
  <c r="L4" i="5" s="1"/>
  <c r="L5" i="5" s="1"/>
  <c r="Q18" i="5"/>
  <c r="Q4" i="5" s="1"/>
  <c r="Q5" i="5" s="1"/>
  <c r="AN6" i="3"/>
  <c r="AG7" i="3"/>
  <c r="F29" i="2" s="1"/>
  <c r="AL8" i="3"/>
  <c r="G24" i="2" s="1"/>
  <c r="AQ8" i="3"/>
  <c r="AO8" i="3"/>
  <c r="AF8" i="3" s="1"/>
  <c r="G30" i="2" s="1"/>
  <c r="AK8" i="3"/>
  <c r="G25" i="2" s="1"/>
  <c r="W22" i="2"/>
  <c r="S22" i="2"/>
  <c r="N22" i="2"/>
  <c r="X22" i="2"/>
  <c r="Q22" i="2"/>
  <c r="R22" i="2"/>
  <c r="T22" i="2"/>
  <c r="O22" i="2"/>
  <c r="U22" i="2"/>
  <c r="V22" i="2"/>
  <c r="G7" i="8" l="1"/>
  <c r="G9" i="8" s="1"/>
  <c r="H9" i="8" s="1"/>
  <c r="X114" i="8"/>
  <c r="F7" i="8" s="1"/>
  <c r="AJ8" i="3"/>
  <c r="G26" i="2" s="1"/>
  <c r="T59" i="2"/>
  <c r="T71" i="2"/>
  <c r="Q59" i="2"/>
  <c r="Q71" i="2"/>
  <c r="W59" i="2"/>
  <c r="W71" i="2"/>
  <c r="V59" i="2"/>
  <c r="V71" i="2"/>
  <c r="R59" i="2"/>
  <c r="R71" i="2"/>
  <c r="X59" i="2"/>
  <c r="X71" i="2"/>
  <c r="S59" i="2"/>
  <c r="S71" i="2"/>
  <c r="U59" i="2"/>
  <c r="U71" i="2"/>
  <c r="O59" i="2"/>
  <c r="O71" i="2"/>
  <c r="N59" i="2"/>
  <c r="N71" i="2"/>
  <c r="D526" i="11"/>
  <c r="E526" i="11" s="1"/>
  <c r="F526" i="11" s="1"/>
  <c r="G526" i="11" s="1"/>
  <c r="H526" i="11" s="1"/>
  <c r="I526" i="11" s="1"/>
  <c r="J526" i="11" s="1"/>
  <c r="K526" i="11" s="1"/>
  <c r="L526" i="11" s="1"/>
  <c r="M526" i="11" s="1"/>
  <c r="N526" i="11" s="1"/>
  <c r="O526" i="11" s="1"/>
  <c r="P526" i="11" s="1"/>
  <c r="Q526" i="11" s="1"/>
  <c r="R526" i="11" s="1"/>
  <c r="S526" i="11" s="1"/>
  <c r="T526" i="11" s="1"/>
  <c r="U526" i="11" s="1"/>
  <c r="V526" i="11" s="1"/>
  <c r="W526" i="11" s="1"/>
  <c r="X526" i="11" s="1"/>
  <c r="Y526" i="11" s="1"/>
  <c r="Z526" i="11" s="1"/>
  <c r="AA526" i="11" s="1"/>
  <c r="AB526" i="11" s="1"/>
  <c r="AC526" i="11" s="1"/>
  <c r="AD526" i="11" s="1"/>
  <c r="AE526" i="11" s="1"/>
  <c r="AF526" i="11" s="1"/>
  <c r="AG526" i="11" s="1"/>
  <c r="AH526" i="11" s="1"/>
  <c r="AI526" i="11" s="1"/>
  <c r="AJ526" i="11" s="1"/>
  <c r="AK526" i="11" s="1"/>
  <c r="AL526" i="11" s="1"/>
  <c r="AH8" i="3"/>
  <c r="G28" i="2" s="1"/>
  <c r="AI8" i="3"/>
  <c r="G27" i="2" s="1"/>
  <c r="M42" i="2"/>
  <c r="M60" i="2"/>
  <c r="M41" i="2"/>
  <c r="M56" i="2"/>
  <c r="M44" i="2"/>
  <c r="M20" i="2"/>
  <c r="M32" i="2" s="1"/>
  <c r="O20" i="2" s="1"/>
  <c r="M46" i="2"/>
  <c r="L521" i="11"/>
  <c r="AU521" i="11" s="1"/>
  <c r="AU420" i="11"/>
  <c r="AU414" i="11"/>
  <c r="X24" i="2"/>
  <c r="X36" i="2" s="1"/>
  <c r="X48" i="2" s="1"/>
  <c r="X23" i="2"/>
  <c r="AU3" i="11"/>
  <c r="M414" i="11"/>
  <c r="M420" i="11" s="1"/>
  <c r="Y3" i="2"/>
  <c r="Y21" i="2" s="1"/>
  <c r="W3" i="5"/>
  <c r="V9" i="5"/>
  <c r="V13" i="5" s="1"/>
  <c r="V17" i="5" s="1"/>
  <c r="V8" i="5"/>
  <c r="V12" i="5" s="1"/>
  <c r="M54" i="2"/>
  <c r="M53" i="2"/>
  <c r="M27" i="2"/>
  <c r="M57" i="2"/>
  <c r="M55" i="2"/>
  <c r="M45" i="2"/>
  <c r="R21" i="2"/>
  <c r="S21" i="2"/>
  <c r="Q21" i="2"/>
  <c r="N21" i="2"/>
  <c r="W21" i="2"/>
  <c r="T21" i="2"/>
  <c r="AG8" i="3"/>
  <c r="G29" i="2" s="1"/>
  <c r="AN7" i="3"/>
  <c r="V21" i="2"/>
  <c r="X21" i="2"/>
  <c r="O21" i="2"/>
  <c r="O70" i="2" s="1"/>
  <c r="U21" i="2"/>
  <c r="U34" i="2"/>
  <c r="U46" i="2" s="1"/>
  <c r="N34" i="2"/>
  <c r="N46" i="2" s="1"/>
  <c r="S34" i="2"/>
  <c r="S46" i="2" s="1"/>
  <c r="V34" i="2"/>
  <c r="V46" i="2" s="1"/>
  <c r="O34" i="2"/>
  <c r="O46" i="2" s="1"/>
  <c r="T34" i="2"/>
  <c r="T46" i="2" s="1"/>
  <c r="R34" i="2"/>
  <c r="R46" i="2" s="1"/>
  <c r="Q34" i="2"/>
  <c r="Q46" i="2" s="1"/>
  <c r="X34" i="2"/>
  <c r="W34" i="2"/>
  <c r="W46" i="2" s="1"/>
  <c r="U58" i="2" l="1"/>
  <c r="U70" i="2"/>
  <c r="X58" i="2"/>
  <c r="X70" i="2"/>
  <c r="Y58" i="2"/>
  <c r="Y70" i="2"/>
  <c r="R58" i="2"/>
  <c r="R70" i="2"/>
  <c r="V58" i="2"/>
  <c r="V70" i="2"/>
  <c r="T58" i="2"/>
  <c r="T70" i="2"/>
  <c r="W58" i="2"/>
  <c r="W70" i="2"/>
  <c r="Q58" i="2"/>
  <c r="Q70" i="2"/>
  <c r="X60" i="2"/>
  <c r="X72" i="2"/>
  <c r="S58" i="2"/>
  <c r="S70" i="2"/>
  <c r="N58" i="2"/>
  <c r="N70" i="2"/>
  <c r="O57" i="2"/>
  <c r="O69" i="2"/>
  <c r="O58" i="2"/>
  <c r="S33" i="2"/>
  <c r="S45" i="2" s="1"/>
  <c r="R33" i="2"/>
  <c r="R45" i="2" s="1"/>
  <c r="T33" i="2"/>
  <c r="T45" i="2" s="1"/>
  <c r="O33" i="2"/>
  <c r="O45" i="2" s="1"/>
  <c r="M19" i="2"/>
  <c r="M18" i="2" s="1"/>
  <c r="AV420" i="11"/>
  <c r="M521" i="11"/>
  <c r="AV521" i="11" s="1"/>
  <c r="X46" i="2"/>
  <c r="AV414" i="11"/>
  <c r="V16" i="5"/>
  <c r="Y23" i="2"/>
  <c r="Y24" i="2"/>
  <c r="Y36" i="2" s="1"/>
  <c r="Y48" i="2" s="1"/>
  <c r="Y22" i="2"/>
  <c r="V18" i="5"/>
  <c r="V4" i="5" s="1"/>
  <c r="V5" i="5" s="1"/>
  <c r="W9" i="5"/>
  <c r="W13" i="5" s="1"/>
  <c r="W17" i="5" s="1"/>
  <c r="W8" i="5"/>
  <c r="W12" i="5" s="1"/>
  <c r="AV3" i="11"/>
  <c r="N414" i="11"/>
  <c r="N420" i="11" s="1"/>
  <c r="X3" i="5"/>
  <c r="Z3" i="2"/>
  <c r="Z20" i="2" s="1"/>
  <c r="X35" i="2"/>
  <c r="X47" i="2" s="1"/>
  <c r="Q20" i="2"/>
  <c r="W20" i="2"/>
  <c r="T15" i="2"/>
  <c r="V15" i="2"/>
  <c r="X20" i="2"/>
  <c r="X15" i="2"/>
  <c r="R15" i="2"/>
  <c r="O15" i="2"/>
  <c r="O64" i="2" s="1"/>
  <c r="S15" i="2"/>
  <c r="U15" i="2"/>
  <c r="W33" i="2"/>
  <c r="W45" i="2" s="1"/>
  <c r="N15" i="2"/>
  <c r="Q33" i="2"/>
  <c r="Q45" i="2" s="1"/>
  <c r="Q15" i="2"/>
  <c r="Q64" i="2" s="1"/>
  <c r="W15" i="2"/>
  <c r="Y15" i="2"/>
  <c r="V33" i="2"/>
  <c r="V45" i="2" s="1"/>
  <c r="E32" i="2"/>
  <c r="M67" i="2"/>
  <c r="M59" i="2"/>
  <c r="M58" i="2"/>
  <c r="M68" i="2"/>
  <c r="M65" i="2"/>
  <c r="M69" i="2"/>
  <c r="M72" i="2"/>
  <c r="M66" i="2"/>
  <c r="Y33" i="2"/>
  <c r="Y45" i="2" s="1"/>
  <c r="U20" i="2"/>
  <c r="U33" i="2"/>
  <c r="U45" i="2" s="1"/>
  <c r="X33" i="2"/>
  <c r="X45" i="2" s="1"/>
  <c r="R20" i="2"/>
  <c r="T20" i="2"/>
  <c r="V20" i="2"/>
  <c r="S20" i="2"/>
  <c r="N20" i="2"/>
  <c r="N69" i="2" s="1"/>
  <c r="Y20" i="2"/>
  <c r="N33" i="2"/>
  <c r="N45" i="2" s="1"/>
  <c r="AN8" i="3"/>
  <c r="M52" i="2"/>
  <c r="O32" i="2"/>
  <c r="O44" i="2" s="1"/>
  <c r="M31" i="2" l="1"/>
  <c r="Z19" i="2" s="1"/>
  <c r="Y57" i="2"/>
  <c r="Y69" i="2"/>
  <c r="S57" i="2"/>
  <c r="S69" i="2"/>
  <c r="Z57" i="2"/>
  <c r="Z69" i="2"/>
  <c r="V57" i="2"/>
  <c r="V69" i="2"/>
  <c r="R57" i="2"/>
  <c r="R69" i="2"/>
  <c r="Y59" i="2"/>
  <c r="Y71" i="2"/>
  <c r="Y60" i="2"/>
  <c r="Y72" i="2"/>
  <c r="T57" i="2"/>
  <c r="T69" i="2"/>
  <c r="U57" i="2"/>
  <c r="U69" i="2"/>
  <c r="X57" i="2"/>
  <c r="X69" i="2"/>
  <c r="W57" i="2"/>
  <c r="W69" i="2"/>
  <c r="Q57" i="2"/>
  <c r="Q69" i="2"/>
  <c r="W52" i="2"/>
  <c r="W64" i="2"/>
  <c r="S52" i="2"/>
  <c r="S64" i="2"/>
  <c r="R52" i="2"/>
  <c r="R64" i="2"/>
  <c r="T52" i="2"/>
  <c r="T64" i="2"/>
  <c r="Y52" i="2"/>
  <c r="Y64" i="2"/>
  <c r="U52" i="2"/>
  <c r="U64" i="2"/>
  <c r="X52" i="2"/>
  <c r="X64" i="2"/>
  <c r="V52" i="2"/>
  <c r="V64" i="2"/>
  <c r="Q52" i="2"/>
  <c r="N52" i="2"/>
  <c r="N64" i="2"/>
  <c r="N57" i="2"/>
  <c r="O52" i="2"/>
  <c r="Z32" i="2"/>
  <c r="Z44" i="2" s="1"/>
  <c r="U32" i="2"/>
  <c r="U44" i="2" s="1"/>
  <c r="V27" i="2"/>
  <c r="V39" i="2" s="1"/>
  <c r="R27" i="2"/>
  <c r="R39" i="2" s="1"/>
  <c r="O27" i="2"/>
  <c r="O39" i="2" s="1"/>
  <c r="M71" i="2"/>
  <c r="M70" i="2"/>
  <c r="W32" i="2"/>
  <c r="W44" i="2" s="1"/>
  <c r="N521" i="11"/>
  <c r="AW521" i="11" s="1"/>
  <c r="AW420" i="11"/>
  <c r="Q32" i="2"/>
  <c r="Q44" i="2" s="1"/>
  <c r="AW414" i="11"/>
  <c r="W16" i="5"/>
  <c r="W18" i="5" s="1"/>
  <c r="W4" i="5" s="1"/>
  <c r="W5" i="5" s="1"/>
  <c r="F32" i="2"/>
  <c r="Y27" i="2"/>
  <c r="Y39" i="2" s="1"/>
  <c r="X32" i="2"/>
  <c r="X44" i="2" s="1"/>
  <c r="T27" i="2"/>
  <c r="T39" i="2" s="1"/>
  <c r="X9" i="5"/>
  <c r="X13" i="5" s="1"/>
  <c r="X17" i="5" s="1"/>
  <c r="X8" i="5"/>
  <c r="X12" i="5" s="1"/>
  <c r="Y34" i="2"/>
  <c r="Y46" i="2" s="1"/>
  <c r="Y35" i="2"/>
  <c r="Y47" i="2" s="1"/>
  <c r="Z24" i="2"/>
  <c r="Z36" i="2" s="1"/>
  <c r="Z48" i="2" s="1"/>
  <c r="Z23" i="2"/>
  <c r="Z22" i="2"/>
  <c r="Z21" i="2"/>
  <c r="AW3" i="11"/>
  <c r="O414" i="11"/>
  <c r="O420" i="11" s="1"/>
  <c r="AA3" i="2"/>
  <c r="AA20" i="2" s="1"/>
  <c r="AA57" i="2" s="1"/>
  <c r="Y3" i="5"/>
  <c r="Z15" i="2"/>
  <c r="R32" i="2"/>
  <c r="R44" i="2" s="1"/>
  <c r="Q27" i="2"/>
  <c r="Q39" i="2" s="1"/>
  <c r="V32" i="2"/>
  <c r="V44" i="2" s="1"/>
  <c r="W27" i="2"/>
  <c r="W39" i="2" s="1"/>
  <c r="X27" i="2"/>
  <c r="X39" i="2" s="1"/>
  <c r="U27" i="2"/>
  <c r="U39" i="2" s="1"/>
  <c r="S27" i="2"/>
  <c r="S39" i="2" s="1"/>
  <c r="N27" i="2"/>
  <c r="N39" i="2" s="1"/>
  <c r="N32" i="2"/>
  <c r="N44" i="2" s="1"/>
  <c r="Y32" i="2"/>
  <c r="Y44" i="2" s="1"/>
  <c r="S32" i="2"/>
  <c r="S44" i="2" s="1"/>
  <c r="T32" i="2"/>
  <c r="T44" i="2" s="1"/>
  <c r="M30" i="2"/>
  <c r="M17" i="2"/>
  <c r="M29" i="2" s="1"/>
  <c r="S19" i="2"/>
  <c r="R19" i="2"/>
  <c r="M64" i="2"/>
  <c r="U19" i="2" l="1"/>
  <c r="N19" i="2"/>
  <c r="N68" i="2" s="1"/>
  <c r="V19" i="2"/>
  <c r="V68" i="2" s="1"/>
  <c r="W19" i="2"/>
  <c r="W56" i="2" s="1"/>
  <c r="T19" i="2"/>
  <c r="T68" i="2" s="1"/>
  <c r="AA19" i="2"/>
  <c r="AA56" i="2" s="1"/>
  <c r="Y19" i="2"/>
  <c r="Y68" i="2" s="1"/>
  <c r="X19" i="2"/>
  <c r="X56" i="2" s="1"/>
  <c r="Q19" i="2"/>
  <c r="Q68" i="2" s="1"/>
  <c r="O19" i="2"/>
  <c r="O56" i="2" s="1"/>
  <c r="AA69" i="2"/>
  <c r="AA32" i="2"/>
  <c r="AA44" i="2" s="1"/>
  <c r="V56" i="2"/>
  <c r="R56" i="2"/>
  <c r="R68" i="2"/>
  <c r="S56" i="2"/>
  <c r="S68" i="2"/>
  <c r="Z58" i="2"/>
  <c r="Z70" i="2"/>
  <c r="Z60" i="2"/>
  <c r="Z72" i="2"/>
  <c r="U56" i="2"/>
  <c r="U68" i="2"/>
  <c r="Z56" i="2"/>
  <c r="Z68" i="2"/>
  <c r="Z59" i="2"/>
  <c r="Z71" i="2"/>
  <c r="Z52" i="2"/>
  <c r="Z64" i="2"/>
  <c r="N56" i="2"/>
  <c r="G32" i="2"/>
  <c r="AX420" i="11"/>
  <c r="O521" i="11"/>
  <c r="AX521" i="11" s="1"/>
  <c r="AX414" i="11"/>
  <c r="X16" i="5"/>
  <c r="X18" i="5" s="1"/>
  <c r="X4" i="5" s="1"/>
  <c r="X5" i="5" s="1"/>
  <c r="Y9" i="5"/>
  <c r="Y13" i="5" s="1"/>
  <c r="Y17" i="5" s="1"/>
  <c r="Y8" i="5"/>
  <c r="Y12" i="5" s="1"/>
  <c r="AX3" i="11"/>
  <c r="P414" i="11"/>
  <c r="P420" i="11" s="1"/>
  <c r="Z3" i="5"/>
  <c r="AB3" i="2"/>
  <c r="Z33" i="2"/>
  <c r="Z45" i="2" s="1"/>
  <c r="Z35" i="2"/>
  <c r="Z47" i="2" s="1"/>
  <c r="Z27" i="2"/>
  <c r="Z39" i="2" s="1"/>
  <c r="AA24" i="2"/>
  <c r="AA36" i="2" s="1"/>
  <c r="AA48" i="2" s="1"/>
  <c r="AA23" i="2"/>
  <c r="AA22" i="2"/>
  <c r="AA21" i="2"/>
  <c r="AA15" i="2"/>
  <c r="Z34" i="2"/>
  <c r="Z46" i="2" s="1"/>
  <c r="U31" i="2"/>
  <c r="U43" i="2" s="1"/>
  <c r="Z31" i="2"/>
  <c r="Z43" i="2" s="1"/>
  <c r="Y18" i="2"/>
  <c r="S18" i="2"/>
  <c r="AB18" i="2"/>
  <c r="U18" i="2"/>
  <c r="V18" i="2"/>
  <c r="AA18" i="2"/>
  <c r="Z18" i="2"/>
  <c r="N18" i="2"/>
  <c r="T18" i="2"/>
  <c r="X18" i="2"/>
  <c r="Q18" i="2"/>
  <c r="W18" i="2"/>
  <c r="R18" i="2"/>
  <c r="O18" i="2"/>
  <c r="V31" i="2"/>
  <c r="V43" i="2" s="1"/>
  <c r="R31" i="2"/>
  <c r="R43" i="2" s="1"/>
  <c r="N31" i="2"/>
  <c r="N43" i="2" s="1"/>
  <c r="S31" i="2"/>
  <c r="S43" i="2" s="1"/>
  <c r="AS17" i="2"/>
  <c r="AC17" i="2"/>
  <c r="S17" i="2"/>
  <c r="AM17" i="2"/>
  <c r="Q17" i="2"/>
  <c r="AY17" i="2"/>
  <c r="AB17" i="2"/>
  <c r="Y17" i="2"/>
  <c r="AT17" i="2"/>
  <c r="Z17" i="2"/>
  <c r="W17" i="2"/>
  <c r="AA17" i="2"/>
  <c r="AW17" i="2"/>
  <c r="AR17" i="2"/>
  <c r="U17" i="2"/>
  <c r="AX17" i="2"/>
  <c r="AO17" i="2"/>
  <c r="AI17" i="2"/>
  <c r="AP17" i="2"/>
  <c r="AL17" i="2"/>
  <c r="T17" i="2"/>
  <c r="V17" i="2"/>
  <c r="R17" i="2"/>
  <c r="AK17" i="2"/>
  <c r="AE17" i="2"/>
  <c r="O17" i="2"/>
  <c r="AF17" i="2"/>
  <c r="AH17" i="2"/>
  <c r="AV17" i="2"/>
  <c r="N17" i="2"/>
  <c r="AG17" i="2"/>
  <c r="AQ17" i="2"/>
  <c r="AN17" i="2"/>
  <c r="X17" i="2"/>
  <c r="AD17" i="2"/>
  <c r="AU17" i="2"/>
  <c r="AJ17" i="2"/>
  <c r="T56" i="2" l="1"/>
  <c r="W31" i="2"/>
  <c r="W43" i="2" s="1"/>
  <c r="W68" i="2"/>
  <c r="X31" i="2"/>
  <c r="X43" i="2" s="1"/>
  <c r="O68" i="2"/>
  <c r="X68" i="2"/>
  <c r="T31" i="2"/>
  <c r="T43" i="2" s="1"/>
  <c r="Q56" i="2"/>
  <c r="AA68" i="2"/>
  <c r="Q31" i="2"/>
  <c r="Q43" i="2" s="1"/>
  <c r="Y56" i="2"/>
  <c r="Y31" i="2"/>
  <c r="Y43" i="2" s="1"/>
  <c r="AA31" i="2"/>
  <c r="AA43" i="2" s="1"/>
  <c r="O31" i="2"/>
  <c r="O43" i="2" s="1"/>
  <c r="AB20" i="2"/>
  <c r="AB19" i="2"/>
  <c r="AJ54" i="2"/>
  <c r="AJ66" i="2"/>
  <c r="AN54" i="2"/>
  <c r="AN66" i="2"/>
  <c r="AG54" i="2"/>
  <c r="AG66" i="2"/>
  <c r="AF54" i="2"/>
  <c r="AF66" i="2"/>
  <c r="R54" i="2"/>
  <c r="R66" i="2"/>
  <c r="T54" i="2"/>
  <c r="T66" i="2"/>
  <c r="AO54" i="2"/>
  <c r="AO66" i="2"/>
  <c r="U54" i="2"/>
  <c r="U66" i="2"/>
  <c r="AW54" i="2"/>
  <c r="AW66" i="2"/>
  <c r="AT54" i="2"/>
  <c r="AT66" i="2"/>
  <c r="AB54" i="2"/>
  <c r="AB66" i="2"/>
  <c r="Q54" i="2"/>
  <c r="Q66" i="2"/>
  <c r="AS54" i="2"/>
  <c r="AS66" i="2"/>
  <c r="W55" i="2"/>
  <c r="W67" i="2"/>
  <c r="X55" i="2"/>
  <c r="X67" i="2"/>
  <c r="Z55" i="2"/>
  <c r="Z67" i="2"/>
  <c r="AB55" i="2"/>
  <c r="AB67" i="2"/>
  <c r="AA59" i="2"/>
  <c r="AA71" i="2"/>
  <c r="AU54" i="2"/>
  <c r="AU66" i="2"/>
  <c r="X54" i="2"/>
  <c r="X66" i="2"/>
  <c r="AQ54" i="2"/>
  <c r="AQ66" i="2"/>
  <c r="AH54" i="2"/>
  <c r="AH66" i="2"/>
  <c r="AK54" i="2"/>
  <c r="AK66" i="2"/>
  <c r="V54" i="2"/>
  <c r="V66" i="2"/>
  <c r="AL54" i="2"/>
  <c r="AL66" i="2"/>
  <c r="AI54" i="2"/>
  <c r="AI66" i="2"/>
  <c r="AX54" i="2"/>
  <c r="AX66" i="2"/>
  <c r="AR54" i="2"/>
  <c r="AR66" i="2"/>
  <c r="AA54" i="2"/>
  <c r="AA66" i="2"/>
  <c r="Z54" i="2"/>
  <c r="Z66" i="2"/>
  <c r="Y54" i="2"/>
  <c r="Y66" i="2"/>
  <c r="AY54" i="2"/>
  <c r="AY66" i="2"/>
  <c r="AM54" i="2"/>
  <c r="AM66" i="2"/>
  <c r="AC54" i="2"/>
  <c r="AC66" i="2"/>
  <c r="Q55" i="2"/>
  <c r="Q67" i="2"/>
  <c r="T55" i="2"/>
  <c r="T67" i="2"/>
  <c r="AA55" i="2"/>
  <c r="AA67" i="2"/>
  <c r="V55" i="2"/>
  <c r="V67" i="2"/>
  <c r="U55" i="2"/>
  <c r="U67" i="2"/>
  <c r="S55" i="2"/>
  <c r="S67" i="2"/>
  <c r="AA58" i="2"/>
  <c r="AA70" i="2"/>
  <c r="AA60" i="2"/>
  <c r="AA72" i="2"/>
  <c r="AD54" i="2"/>
  <c r="AD66" i="2"/>
  <c r="AV54" i="2"/>
  <c r="AV66" i="2"/>
  <c r="AE54" i="2"/>
  <c r="AE66" i="2"/>
  <c r="AP54" i="2"/>
  <c r="AP66" i="2"/>
  <c r="W54" i="2"/>
  <c r="W66" i="2"/>
  <c r="S54" i="2"/>
  <c r="S66" i="2"/>
  <c r="R55" i="2"/>
  <c r="R67" i="2"/>
  <c r="Y55" i="2"/>
  <c r="Y67" i="2"/>
  <c r="AA52" i="2"/>
  <c r="AA64" i="2"/>
  <c r="O55" i="2"/>
  <c r="O67" i="2"/>
  <c r="N55" i="2"/>
  <c r="N67" i="2"/>
  <c r="N54" i="2"/>
  <c r="N66" i="2"/>
  <c r="O54" i="2"/>
  <c r="O66" i="2"/>
  <c r="P521" i="11"/>
  <c r="AY521" i="11" s="1"/>
  <c r="AY420" i="11"/>
  <c r="AY414" i="11"/>
  <c r="Y16" i="5"/>
  <c r="Y18" i="5" s="1"/>
  <c r="Y4" i="5" s="1"/>
  <c r="Y5" i="5" s="1"/>
  <c r="AA33" i="2"/>
  <c r="AA45" i="2" s="1"/>
  <c r="AA35" i="2"/>
  <c r="AA47" i="2" s="1"/>
  <c r="AB24" i="2"/>
  <c r="AB36" i="2" s="1"/>
  <c r="AB48" i="2" s="1"/>
  <c r="AB23" i="2"/>
  <c r="AB22" i="2"/>
  <c r="AB21" i="2"/>
  <c r="AB15" i="2"/>
  <c r="AY3" i="11"/>
  <c r="Q414" i="11"/>
  <c r="Q420" i="11" s="1"/>
  <c r="AC3" i="2"/>
  <c r="AA3" i="5"/>
  <c r="AA27" i="2"/>
  <c r="AA39" i="2" s="1"/>
  <c r="AA34" i="2"/>
  <c r="AA46" i="2" s="1"/>
  <c r="Z9" i="5"/>
  <c r="Z13" i="5" s="1"/>
  <c r="Z17" i="5" s="1"/>
  <c r="Z8" i="5"/>
  <c r="Z12" i="5" s="1"/>
  <c r="AJ29" i="2"/>
  <c r="AJ41" i="2" s="1"/>
  <c r="AD29" i="2"/>
  <c r="AD41" i="2" s="1"/>
  <c r="AN29" i="2"/>
  <c r="AN41" i="2" s="1"/>
  <c r="AG29" i="2"/>
  <c r="AG41" i="2" s="1"/>
  <c r="AV29" i="2"/>
  <c r="AV41" i="2" s="1"/>
  <c r="AF29" i="2"/>
  <c r="AF41" i="2" s="1"/>
  <c r="AE29" i="2"/>
  <c r="AE41" i="2" s="1"/>
  <c r="R29" i="2"/>
  <c r="R41" i="2" s="1"/>
  <c r="T29" i="2"/>
  <c r="T41" i="2" s="1"/>
  <c r="AP29" i="2"/>
  <c r="AP41" i="2" s="1"/>
  <c r="AO29" i="2"/>
  <c r="AO41" i="2" s="1"/>
  <c r="U29" i="2"/>
  <c r="U41" i="2" s="1"/>
  <c r="AW29" i="2"/>
  <c r="AW41" i="2" s="1"/>
  <c r="W29" i="2"/>
  <c r="W41" i="2" s="1"/>
  <c r="AT29" i="2"/>
  <c r="AT41" i="2" s="1"/>
  <c r="AB29" i="2"/>
  <c r="AB41" i="2" s="1"/>
  <c r="Q29" i="2"/>
  <c r="Q41" i="2" s="1"/>
  <c r="S29" i="2"/>
  <c r="S41" i="2" s="1"/>
  <c r="AS29" i="2"/>
  <c r="AS41" i="2" s="1"/>
  <c r="Q30" i="2"/>
  <c r="Q42" i="2" s="1"/>
  <c r="T30" i="2"/>
  <c r="T42" i="2" s="1"/>
  <c r="AA30" i="2"/>
  <c r="AA42" i="2" s="1"/>
  <c r="V30" i="2"/>
  <c r="V42" i="2" s="1"/>
  <c r="U30" i="2"/>
  <c r="U42" i="2" s="1"/>
  <c r="S30" i="2"/>
  <c r="S42" i="2" s="1"/>
  <c r="AU29" i="2"/>
  <c r="AU41" i="2" s="1"/>
  <c r="X29" i="2"/>
  <c r="X41" i="2" s="1"/>
  <c r="AQ29" i="2"/>
  <c r="AQ41" i="2" s="1"/>
  <c r="N29" i="2"/>
  <c r="N41" i="2" s="1"/>
  <c r="AH29" i="2"/>
  <c r="AH41" i="2" s="1"/>
  <c r="O29" i="2"/>
  <c r="O41" i="2" s="1"/>
  <c r="AK29" i="2"/>
  <c r="AK41" i="2" s="1"/>
  <c r="V29" i="2"/>
  <c r="V41" i="2" s="1"/>
  <c r="AL29" i="2"/>
  <c r="AL41" i="2" s="1"/>
  <c r="AI29" i="2"/>
  <c r="AI41" i="2" s="1"/>
  <c r="AX29" i="2"/>
  <c r="AX41" i="2" s="1"/>
  <c r="AR29" i="2"/>
  <c r="AR41" i="2" s="1"/>
  <c r="AA29" i="2"/>
  <c r="AA41" i="2" s="1"/>
  <c r="Z29" i="2"/>
  <c r="Z41" i="2" s="1"/>
  <c r="Y29" i="2"/>
  <c r="Y41" i="2" s="1"/>
  <c r="AY29" i="2"/>
  <c r="AY41" i="2" s="1"/>
  <c r="AM29" i="2"/>
  <c r="AM41" i="2" s="1"/>
  <c r="AC29" i="2"/>
  <c r="AC41" i="2" s="1"/>
  <c r="O30" i="2"/>
  <c r="O42" i="2" s="1"/>
  <c r="R30" i="2"/>
  <c r="R42" i="2" s="1"/>
  <c r="W30" i="2"/>
  <c r="W42" i="2" s="1"/>
  <c r="X30" i="2"/>
  <c r="X42" i="2" s="1"/>
  <c r="N30" i="2"/>
  <c r="N42" i="2" s="1"/>
  <c r="Z30" i="2"/>
  <c r="Z42" i="2" s="1"/>
  <c r="AB30" i="2"/>
  <c r="AB42" i="2" s="1"/>
  <c r="Y30" i="2"/>
  <c r="Y42" i="2" s="1"/>
  <c r="AC20" i="2" l="1"/>
  <c r="AC19" i="2"/>
  <c r="AC18" i="2"/>
  <c r="AB56" i="2"/>
  <c r="AB68" i="2"/>
  <c r="AB31" i="2"/>
  <c r="AB43" i="2" s="1"/>
  <c r="AB57" i="2"/>
  <c r="AB69" i="2"/>
  <c r="AB32" i="2"/>
  <c r="AB44" i="2" s="1"/>
  <c r="AB58" i="2"/>
  <c r="AB70" i="2"/>
  <c r="AB60" i="2"/>
  <c r="AB72" i="2"/>
  <c r="AB59" i="2"/>
  <c r="AB71" i="2"/>
  <c r="AB52" i="2"/>
  <c r="AB64" i="2"/>
  <c r="N61" i="2"/>
  <c r="S73" i="2"/>
  <c r="S6" i="2" s="1"/>
  <c r="S11" i="2" s="1"/>
  <c r="V61" i="2"/>
  <c r="V5" i="2" s="1"/>
  <c r="V10" i="2" s="1"/>
  <c r="V49" i="2"/>
  <c r="V4" i="2" s="1"/>
  <c r="V9" i="2" s="1"/>
  <c r="AZ420" i="11"/>
  <c r="Q521" i="11"/>
  <c r="AZ521" i="11" s="1"/>
  <c r="AZ414" i="11"/>
  <c r="Z16" i="5"/>
  <c r="Z18" i="5" s="1"/>
  <c r="Z4" i="5" s="1"/>
  <c r="Z5" i="5" s="1"/>
  <c r="AC23" i="2"/>
  <c r="AC24" i="2"/>
  <c r="AC36" i="2" s="1"/>
  <c r="AC48" i="2" s="1"/>
  <c r="AC22" i="2"/>
  <c r="AC21" i="2"/>
  <c r="AC15" i="2"/>
  <c r="AB33" i="2"/>
  <c r="AB45" i="2" s="1"/>
  <c r="AB35" i="2"/>
  <c r="AB47" i="2" s="1"/>
  <c r="AA9" i="5"/>
  <c r="AA13" i="5" s="1"/>
  <c r="AA17" i="5" s="1"/>
  <c r="AA8" i="5"/>
  <c r="AA12" i="5" s="1"/>
  <c r="AZ3" i="11"/>
  <c r="R414" i="11"/>
  <c r="R420" i="11" s="1"/>
  <c r="AB3" i="5"/>
  <c r="AD3" i="2"/>
  <c r="AB27" i="2"/>
  <c r="AB39" i="2" s="1"/>
  <c r="AB34" i="2"/>
  <c r="AB46" i="2" s="1"/>
  <c r="AA61" i="2"/>
  <c r="AA5" i="2" s="1"/>
  <c r="AA10" i="2" s="1"/>
  <c r="AA73" i="2"/>
  <c r="AA6" i="2" s="1"/>
  <c r="AA11" i="2" s="1"/>
  <c r="AA49" i="2"/>
  <c r="AA4" i="2" s="1"/>
  <c r="AA9" i="2" s="1"/>
  <c r="V73" i="2"/>
  <c r="V6" i="2" s="1"/>
  <c r="V11" i="2" s="1"/>
  <c r="Y73" i="2"/>
  <c r="Y6" i="2" s="1"/>
  <c r="Y11" i="2" s="1"/>
  <c r="Y49" i="2"/>
  <c r="Y4" i="2" s="1"/>
  <c r="Y9" i="2" s="1"/>
  <c r="Z61" i="2"/>
  <c r="Z5" i="2" s="1"/>
  <c r="Z10" i="2" s="1"/>
  <c r="O73" i="2"/>
  <c r="O6" i="2" s="1"/>
  <c r="O11" i="2" s="1"/>
  <c r="N73" i="2"/>
  <c r="N6" i="2" s="1"/>
  <c r="N11" i="2" s="1"/>
  <c r="X49" i="2"/>
  <c r="X4" i="2" s="1"/>
  <c r="X9" i="2" s="1"/>
  <c r="S61" i="2"/>
  <c r="S5" i="2" s="1"/>
  <c r="S10" i="2" s="1"/>
  <c r="Q73" i="2"/>
  <c r="Q6" i="2" s="1"/>
  <c r="Q11" i="2" s="1"/>
  <c r="W73" i="2"/>
  <c r="W6" i="2" s="1"/>
  <c r="W11" i="2" s="1"/>
  <c r="W49" i="2"/>
  <c r="W4" i="2" s="1"/>
  <c r="W9" i="2" s="1"/>
  <c r="U73" i="2"/>
  <c r="U6" i="2" s="1"/>
  <c r="U11" i="2" s="1"/>
  <c r="U61" i="2"/>
  <c r="U5" i="2" s="1"/>
  <c r="U10" i="2" s="1"/>
  <c r="T73" i="2"/>
  <c r="T6" i="2" s="1"/>
  <c r="T11" i="2" s="1"/>
  <c r="R73" i="2"/>
  <c r="R6" i="2" s="1"/>
  <c r="R11" i="2" s="1"/>
  <c r="R49" i="2"/>
  <c r="R4" i="2" s="1"/>
  <c r="R9" i="2" s="1"/>
  <c r="Y61" i="2"/>
  <c r="Y5" i="2" s="1"/>
  <c r="Y10" i="2" s="1"/>
  <c r="Z49" i="2"/>
  <c r="Z4" i="2" s="1"/>
  <c r="Z9" i="2" s="1"/>
  <c r="Z73" i="2"/>
  <c r="Z6" i="2" s="1"/>
  <c r="Z11" i="2" s="1"/>
  <c r="O61" i="2"/>
  <c r="O5" i="2" s="1"/>
  <c r="O10" i="2" s="1"/>
  <c r="O49" i="2"/>
  <c r="O4" i="2" s="1"/>
  <c r="O9" i="2" s="1"/>
  <c r="N49" i="2"/>
  <c r="N4" i="2" s="1"/>
  <c r="N9" i="2" s="1"/>
  <c r="N5" i="2"/>
  <c r="N10" i="2" s="1"/>
  <c r="X61" i="2"/>
  <c r="X5" i="2" s="1"/>
  <c r="X10" i="2" s="1"/>
  <c r="X73" i="2"/>
  <c r="X6" i="2" s="1"/>
  <c r="X11" i="2" s="1"/>
  <c r="S49" i="2"/>
  <c r="S4" i="2" s="1"/>
  <c r="S9" i="2" s="1"/>
  <c r="Q61" i="2"/>
  <c r="Q5" i="2" s="1"/>
  <c r="Q10" i="2" s="1"/>
  <c r="Q49" i="2"/>
  <c r="Q4" i="2" s="1"/>
  <c r="Q9" i="2" s="1"/>
  <c r="W61" i="2"/>
  <c r="W5" i="2" s="1"/>
  <c r="W10" i="2" s="1"/>
  <c r="U49" i="2"/>
  <c r="U4" i="2" s="1"/>
  <c r="U9" i="2" s="1"/>
  <c r="T49" i="2"/>
  <c r="T4" i="2" s="1"/>
  <c r="T9" i="2" s="1"/>
  <c r="T61" i="2"/>
  <c r="T5" i="2" s="1"/>
  <c r="T10" i="2" s="1"/>
  <c r="R61" i="2"/>
  <c r="R5" i="2" s="1"/>
  <c r="R10" i="2" s="1"/>
  <c r="AD20" i="2" l="1"/>
  <c r="AD19" i="2"/>
  <c r="AD18" i="2"/>
  <c r="AC56" i="2"/>
  <c r="AC68" i="2"/>
  <c r="AC31" i="2"/>
  <c r="AC43" i="2" s="1"/>
  <c r="AC55" i="2"/>
  <c r="AC30" i="2"/>
  <c r="AC42" i="2" s="1"/>
  <c r="AC67" i="2"/>
  <c r="AC57" i="2"/>
  <c r="AC69" i="2"/>
  <c r="AC32" i="2"/>
  <c r="AC44" i="2" s="1"/>
  <c r="AC58" i="2"/>
  <c r="AC70" i="2"/>
  <c r="AC59" i="2"/>
  <c r="AC71" i="2"/>
  <c r="AC60" i="2"/>
  <c r="AC72" i="2"/>
  <c r="AC52" i="2"/>
  <c r="AC64" i="2"/>
  <c r="V12" i="2"/>
  <c r="V7" i="2" s="1"/>
  <c r="R521" i="11"/>
  <c r="BA521" i="11" s="1"/>
  <c r="BA420" i="11"/>
  <c r="AB61" i="2"/>
  <c r="AB5" i="2" s="1"/>
  <c r="AB10" i="2" s="1"/>
  <c r="BA414" i="11"/>
  <c r="AA16" i="5"/>
  <c r="AA18" i="5" s="1"/>
  <c r="AA4" i="5" s="1"/>
  <c r="AA5" i="5" s="1"/>
  <c r="AB49" i="2"/>
  <c r="AB4" i="2" s="1"/>
  <c r="AB9" i="2" s="1"/>
  <c r="AB73" i="2"/>
  <c r="AB6" i="2" s="1"/>
  <c r="AB11" i="2" s="1"/>
  <c r="AD23" i="2"/>
  <c r="AD24" i="2"/>
  <c r="AD36" i="2" s="1"/>
  <c r="AD48" i="2" s="1"/>
  <c r="AD22" i="2"/>
  <c r="AD21" i="2"/>
  <c r="AD15" i="2"/>
  <c r="BA3" i="11"/>
  <c r="S414" i="11"/>
  <c r="S420" i="11" s="1"/>
  <c r="AE3" i="2"/>
  <c r="AC3" i="5"/>
  <c r="AC33" i="2"/>
  <c r="AC45" i="2" s="1"/>
  <c r="AB9" i="5"/>
  <c r="AB13" i="5" s="1"/>
  <c r="AB17" i="5" s="1"/>
  <c r="AB8" i="5"/>
  <c r="AB12" i="5" s="1"/>
  <c r="AB16" i="5" s="1"/>
  <c r="AC27" i="2"/>
  <c r="AC39" i="2" s="1"/>
  <c r="AC34" i="2"/>
  <c r="AC46" i="2" s="1"/>
  <c r="AC35" i="2"/>
  <c r="AC47" i="2" s="1"/>
  <c r="AA12" i="2"/>
  <c r="AA7" i="2" s="1"/>
  <c r="X12" i="2"/>
  <c r="X7" i="2" s="1"/>
  <c r="O12" i="2"/>
  <c r="O7" i="2" s="1"/>
  <c r="Z12" i="2"/>
  <c r="Z7" i="2" s="1"/>
  <c r="R12" i="2"/>
  <c r="R7" i="2" s="1"/>
  <c r="U12" i="2"/>
  <c r="U7" i="2" s="1"/>
  <c r="S12" i="2"/>
  <c r="S7" i="2" s="1"/>
  <c r="T12" i="2"/>
  <c r="T7" i="2" s="1"/>
  <c r="W12" i="2"/>
  <c r="W7" i="2" s="1"/>
  <c r="Q12" i="2"/>
  <c r="Q7" i="2" s="1"/>
  <c r="N12" i="2"/>
  <c r="N7" i="2" s="1"/>
  <c r="Y12" i="2"/>
  <c r="Y7" i="2" s="1"/>
  <c r="AE20" i="2" l="1"/>
  <c r="AE19" i="2"/>
  <c r="AE18" i="2"/>
  <c r="AD56" i="2"/>
  <c r="AD68" i="2"/>
  <c r="AD31" i="2"/>
  <c r="AD43" i="2" s="1"/>
  <c r="AD55" i="2"/>
  <c r="AD67" i="2"/>
  <c r="AD30" i="2"/>
  <c r="AD42" i="2" s="1"/>
  <c r="AD57" i="2"/>
  <c r="AD32" i="2"/>
  <c r="AD44" i="2" s="1"/>
  <c r="AD69" i="2"/>
  <c r="AD58" i="2"/>
  <c r="AD70" i="2"/>
  <c r="AD59" i="2"/>
  <c r="AD71" i="2"/>
  <c r="AD60" i="2"/>
  <c r="AD72" i="2"/>
  <c r="AD52" i="2"/>
  <c r="AD64" i="2"/>
  <c r="BB420" i="11"/>
  <c r="S521" i="11"/>
  <c r="BB521" i="11" s="1"/>
  <c r="AB12" i="2"/>
  <c r="AB7" i="2" s="1"/>
  <c r="BB414" i="11"/>
  <c r="AB18" i="5"/>
  <c r="AB4" i="5" s="1"/>
  <c r="AB5" i="5" s="1"/>
  <c r="AC61" i="2"/>
  <c r="AC5" i="2" s="1"/>
  <c r="AC10" i="2" s="1"/>
  <c r="AE24" i="2"/>
  <c r="AE36" i="2" s="1"/>
  <c r="AE48" i="2" s="1"/>
  <c r="AE23" i="2"/>
  <c r="AE22" i="2"/>
  <c r="AE21" i="2"/>
  <c r="AE15" i="2"/>
  <c r="AD33" i="2"/>
  <c r="AD45" i="2" s="1"/>
  <c r="AC73" i="2"/>
  <c r="AC6" i="2" s="1"/>
  <c r="AC11" i="2" s="1"/>
  <c r="AC49" i="2"/>
  <c r="AC4" i="2" s="1"/>
  <c r="AC9" i="2" s="1"/>
  <c r="AC9" i="5"/>
  <c r="AC13" i="5" s="1"/>
  <c r="AC17" i="5" s="1"/>
  <c r="AC8" i="5"/>
  <c r="AC12" i="5" s="1"/>
  <c r="BB3" i="11"/>
  <c r="T414" i="11"/>
  <c r="T420" i="11" s="1"/>
  <c r="AD3" i="5"/>
  <c r="AF3" i="2"/>
  <c r="AD27" i="2"/>
  <c r="AD39" i="2" s="1"/>
  <c r="AD34" i="2"/>
  <c r="AD46" i="2" s="1"/>
  <c r="AD35" i="2"/>
  <c r="AD47" i="2" s="1"/>
  <c r="AF20" i="2" l="1"/>
  <c r="AF19" i="2"/>
  <c r="AF18" i="2"/>
  <c r="AE56" i="2"/>
  <c r="AE68" i="2"/>
  <c r="AE31" i="2"/>
  <c r="AE43" i="2" s="1"/>
  <c r="AE55" i="2"/>
  <c r="AE67" i="2"/>
  <c r="AE30" i="2"/>
  <c r="AE42" i="2" s="1"/>
  <c r="AE57" i="2"/>
  <c r="AE69" i="2"/>
  <c r="AE32" i="2"/>
  <c r="AE44" i="2" s="1"/>
  <c r="AE59" i="2"/>
  <c r="AE71" i="2"/>
  <c r="AE58" i="2"/>
  <c r="AE70" i="2"/>
  <c r="AE60" i="2"/>
  <c r="AE72" i="2"/>
  <c r="AE52" i="2"/>
  <c r="AE64" i="2"/>
  <c r="T521" i="11"/>
  <c r="BC521" i="11" s="1"/>
  <c r="BC420" i="11"/>
  <c r="BC414" i="11"/>
  <c r="AC16" i="5"/>
  <c r="AC18" i="5" s="1"/>
  <c r="AC4" i="5" s="1"/>
  <c r="AC5" i="5" s="1"/>
  <c r="AD73" i="2"/>
  <c r="AD6" i="2" s="1"/>
  <c r="AD11" i="2" s="1"/>
  <c r="AD49" i="2"/>
  <c r="AD4" i="2" s="1"/>
  <c r="AD9" i="2" s="1"/>
  <c r="AD9" i="5"/>
  <c r="AD13" i="5" s="1"/>
  <c r="AD17" i="5" s="1"/>
  <c r="AD8" i="5"/>
  <c r="AD12" i="5" s="1"/>
  <c r="AE27" i="2"/>
  <c r="AE39" i="2" s="1"/>
  <c r="AE34" i="2"/>
  <c r="AE46" i="2" s="1"/>
  <c r="AD61" i="2"/>
  <c r="AD5" i="2" s="1"/>
  <c r="AD10" i="2" s="1"/>
  <c r="AF23" i="2"/>
  <c r="AF24" i="2"/>
  <c r="AF36" i="2" s="1"/>
  <c r="AF48" i="2" s="1"/>
  <c r="AF22" i="2"/>
  <c r="AF21" i="2"/>
  <c r="AF15" i="2"/>
  <c r="BC3" i="11"/>
  <c r="U414" i="11"/>
  <c r="U420" i="11" s="1"/>
  <c r="AG3" i="2"/>
  <c r="AE3" i="5"/>
  <c r="AC12" i="2"/>
  <c r="AC7" i="2" s="1"/>
  <c r="AE33" i="2"/>
  <c r="AE45" i="2" s="1"/>
  <c r="AE35" i="2"/>
  <c r="AE47" i="2" s="1"/>
  <c r="AF56" i="2" l="1"/>
  <c r="AF68" i="2"/>
  <c r="AF31" i="2"/>
  <c r="AF43" i="2" s="1"/>
  <c r="AG20" i="2"/>
  <c r="AG19" i="2"/>
  <c r="AG18" i="2"/>
  <c r="AF55" i="2"/>
  <c r="AF67" i="2"/>
  <c r="AF30" i="2"/>
  <c r="AF42" i="2" s="1"/>
  <c r="AF57" i="2"/>
  <c r="AF69" i="2"/>
  <c r="AF32" i="2"/>
  <c r="AF44" i="2" s="1"/>
  <c r="AF58" i="2"/>
  <c r="AF70" i="2"/>
  <c r="AF59" i="2"/>
  <c r="AF71" i="2"/>
  <c r="AF60" i="2"/>
  <c r="AF72" i="2"/>
  <c r="AF52" i="2"/>
  <c r="AF64" i="2"/>
  <c r="BD420" i="11"/>
  <c r="U521" i="11"/>
  <c r="BD521" i="11" s="1"/>
  <c r="BD414" i="11"/>
  <c r="AD16" i="5"/>
  <c r="AD18" i="5" s="1"/>
  <c r="AD4" i="5" s="1"/>
  <c r="AD5" i="5" s="1"/>
  <c r="AG23" i="2"/>
  <c r="AG24" i="2"/>
  <c r="AG36" i="2" s="1"/>
  <c r="AG48" i="2" s="1"/>
  <c r="AG22" i="2"/>
  <c r="AG21" i="2"/>
  <c r="AG15" i="2"/>
  <c r="AF33" i="2"/>
  <c r="AF45" i="2" s="1"/>
  <c r="AE73" i="2"/>
  <c r="AE6" i="2" s="1"/>
  <c r="AE11" i="2" s="1"/>
  <c r="AE61" i="2"/>
  <c r="AE5" i="2" s="1"/>
  <c r="AE10" i="2" s="1"/>
  <c r="AE9" i="5"/>
  <c r="AE13" i="5" s="1"/>
  <c r="AE17" i="5" s="1"/>
  <c r="AE8" i="5"/>
  <c r="AE12" i="5" s="1"/>
  <c r="BD3" i="11"/>
  <c r="V414" i="11"/>
  <c r="V420" i="11" s="1"/>
  <c r="AF3" i="5"/>
  <c r="AH3" i="2"/>
  <c r="AF27" i="2"/>
  <c r="AF39" i="2" s="1"/>
  <c r="AF34" i="2"/>
  <c r="AF46" i="2" s="1"/>
  <c r="AF35" i="2"/>
  <c r="AF47" i="2" s="1"/>
  <c r="AE49" i="2"/>
  <c r="AE4" i="2" s="1"/>
  <c r="AE9" i="2" s="1"/>
  <c r="AD12" i="2"/>
  <c r="AD7" i="2" s="1"/>
  <c r="AH20" i="2" l="1"/>
  <c r="AH19" i="2"/>
  <c r="AH18" i="2"/>
  <c r="AG55" i="2"/>
  <c r="AG67" i="2"/>
  <c r="AG30" i="2"/>
  <c r="AG42" i="2" s="1"/>
  <c r="AG57" i="2"/>
  <c r="AG32" i="2"/>
  <c r="AG44" i="2" s="1"/>
  <c r="AG69" i="2"/>
  <c r="AG56" i="2"/>
  <c r="AG68" i="2"/>
  <c r="AG31" i="2"/>
  <c r="AG43" i="2" s="1"/>
  <c r="AG58" i="2"/>
  <c r="AG70" i="2"/>
  <c r="AG59" i="2"/>
  <c r="AG71" i="2"/>
  <c r="AG60" i="2"/>
  <c r="AG72" i="2"/>
  <c r="AG52" i="2"/>
  <c r="AG64" i="2"/>
  <c r="V521" i="11"/>
  <c r="BE521" i="11" s="1"/>
  <c r="BE420" i="11"/>
  <c r="BE414" i="11"/>
  <c r="AE16" i="5"/>
  <c r="AE18" i="5" s="1"/>
  <c r="AE4" i="5" s="1"/>
  <c r="AE5" i="5" s="1"/>
  <c r="AE12" i="2"/>
  <c r="AE7" i="2" s="1"/>
  <c r="AF61" i="2"/>
  <c r="AF5" i="2" s="1"/>
  <c r="AF10" i="2" s="1"/>
  <c r="AH24" i="2"/>
  <c r="AH36" i="2" s="1"/>
  <c r="AH48" i="2" s="1"/>
  <c r="AH23" i="2"/>
  <c r="AH22" i="2"/>
  <c r="AH21" i="2"/>
  <c r="AH15" i="2"/>
  <c r="BE3" i="11"/>
  <c r="W414" i="11"/>
  <c r="W420" i="11" s="1"/>
  <c r="AI3" i="2"/>
  <c r="AG3" i="5"/>
  <c r="AG33" i="2"/>
  <c r="AG45" i="2" s="1"/>
  <c r="AF49" i="2"/>
  <c r="AF4" i="2" s="1"/>
  <c r="AF9" i="2" s="1"/>
  <c r="AF73" i="2"/>
  <c r="AF6" i="2" s="1"/>
  <c r="AF11" i="2" s="1"/>
  <c r="AF9" i="5"/>
  <c r="AF13" i="5" s="1"/>
  <c r="AF17" i="5" s="1"/>
  <c r="AF8" i="5"/>
  <c r="AF12" i="5" s="1"/>
  <c r="AG27" i="2"/>
  <c r="AG39" i="2" s="1"/>
  <c r="AG34" i="2"/>
  <c r="AG46" i="2" s="1"/>
  <c r="AG35" i="2"/>
  <c r="AG47" i="2" s="1"/>
  <c r="AI20" i="2" l="1"/>
  <c r="AI19" i="2"/>
  <c r="AI18" i="2"/>
  <c r="AH56" i="2"/>
  <c r="AH31" i="2"/>
  <c r="AH43" i="2" s="1"/>
  <c r="AH68" i="2"/>
  <c r="AH55" i="2"/>
  <c r="AH67" i="2"/>
  <c r="AH30" i="2"/>
  <c r="AH42" i="2" s="1"/>
  <c r="AH57" i="2"/>
  <c r="AH69" i="2"/>
  <c r="AH32" i="2"/>
  <c r="AH44" i="2" s="1"/>
  <c r="AH58" i="2"/>
  <c r="AH70" i="2"/>
  <c r="AH60" i="2"/>
  <c r="AH72" i="2"/>
  <c r="AH59" i="2"/>
  <c r="AH71" i="2"/>
  <c r="AH52" i="2"/>
  <c r="AH64" i="2"/>
  <c r="BF420" i="11"/>
  <c r="W521" i="11"/>
  <c r="BF521" i="11" s="1"/>
  <c r="BF414" i="11"/>
  <c r="AF16" i="5"/>
  <c r="AF18" i="5" s="1"/>
  <c r="AF4" i="5" s="1"/>
  <c r="AF5" i="5" s="1"/>
  <c r="AF12" i="2"/>
  <c r="AF7" i="2" s="1"/>
  <c r="AG73" i="2"/>
  <c r="AG6" i="2" s="1"/>
  <c r="AG11" i="2" s="1"/>
  <c r="AG49" i="2"/>
  <c r="AG4" i="2" s="1"/>
  <c r="AG9" i="2" s="1"/>
  <c r="AG9" i="5"/>
  <c r="AG13" i="5" s="1"/>
  <c r="AG17" i="5" s="1"/>
  <c r="AG8" i="5"/>
  <c r="AG12" i="5" s="1"/>
  <c r="BF3" i="11"/>
  <c r="X414" i="11"/>
  <c r="X420" i="11" s="1"/>
  <c r="AH3" i="5"/>
  <c r="AJ3" i="2"/>
  <c r="AH27" i="2"/>
  <c r="AH39" i="2" s="1"/>
  <c r="AH34" i="2"/>
  <c r="AH46" i="2" s="1"/>
  <c r="AG61" i="2"/>
  <c r="AG5" i="2" s="1"/>
  <c r="AG10" i="2" s="1"/>
  <c r="AI24" i="2"/>
  <c r="AI36" i="2" s="1"/>
  <c r="AI48" i="2" s="1"/>
  <c r="AI23" i="2"/>
  <c r="AI22" i="2"/>
  <c r="AI21" i="2"/>
  <c r="AI15" i="2"/>
  <c r="AH33" i="2"/>
  <c r="AH45" i="2" s="1"/>
  <c r="AH35" i="2"/>
  <c r="AH47" i="2" s="1"/>
  <c r="AI56" i="2" l="1"/>
  <c r="AI68" i="2"/>
  <c r="AI31" i="2"/>
  <c r="AI43" i="2" s="1"/>
  <c r="AJ20" i="2"/>
  <c r="AJ19" i="2"/>
  <c r="AJ18" i="2"/>
  <c r="AI55" i="2"/>
  <c r="AI67" i="2"/>
  <c r="AI30" i="2"/>
  <c r="AI42" i="2" s="1"/>
  <c r="AI57" i="2"/>
  <c r="AI32" i="2"/>
  <c r="AI44" i="2" s="1"/>
  <c r="AI69" i="2"/>
  <c r="AI58" i="2"/>
  <c r="AI70" i="2"/>
  <c r="AI60" i="2"/>
  <c r="AI72" i="2"/>
  <c r="AI59" i="2"/>
  <c r="AI71" i="2"/>
  <c r="AI52" i="2"/>
  <c r="AI64" i="2"/>
  <c r="X521" i="11"/>
  <c r="BG521" i="11" s="1"/>
  <c r="BG420" i="11"/>
  <c r="AG16" i="5"/>
  <c r="AG18" i="5" s="1"/>
  <c r="AG4" i="5" s="1"/>
  <c r="AG5" i="5" s="1"/>
  <c r="BG414" i="11"/>
  <c r="AG12" i="2"/>
  <c r="AG7" i="2" s="1"/>
  <c r="AI33" i="2"/>
  <c r="AI45" i="2" s="1"/>
  <c r="AI35" i="2"/>
  <c r="AI47" i="2" s="1"/>
  <c r="AH61" i="2"/>
  <c r="AH5" i="2" s="1"/>
  <c r="AH10" i="2" s="1"/>
  <c r="AJ23" i="2"/>
  <c r="AJ24" i="2"/>
  <c r="AJ36" i="2" s="1"/>
  <c r="AJ48" i="2" s="1"/>
  <c r="AJ22" i="2"/>
  <c r="AJ21" i="2"/>
  <c r="AJ15" i="2"/>
  <c r="BG3" i="11"/>
  <c r="Y414" i="11"/>
  <c r="Y420" i="11" s="1"/>
  <c r="AK3" i="2"/>
  <c r="AI3" i="5"/>
  <c r="AI27" i="2"/>
  <c r="AI39" i="2" s="1"/>
  <c r="AI34" i="2"/>
  <c r="AI46" i="2" s="1"/>
  <c r="AH49" i="2"/>
  <c r="AH4" i="2" s="1"/>
  <c r="AH9" i="2" s="1"/>
  <c r="AH73" i="2"/>
  <c r="AH6" i="2" s="1"/>
  <c r="AH11" i="2" s="1"/>
  <c r="AH9" i="5"/>
  <c r="AH13" i="5" s="1"/>
  <c r="AH17" i="5" s="1"/>
  <c r="AH8" i="5"/>
  <c r="AH12" i="5" s="1"/>
  <c r="AK20" i="2" l="1"/>
  <c r="AK19" i="2"/>
  <c r="AK18" i="2"/>
  <c r="AJ55" i="2"/>
  <c r="AJ30" i="2"/>
  <c r="AJ42" i="2" s="1"/>
  <c r="AJ67" i="2"/>
  <c r="AJ57" i="2"/>
  <c r="AJ69" i="2"/>
  <c r="AJ32" i="2"/>
  <c r="AJ44" i="2" s="1"/>
  <c r="AJ56" i="2"/>
  <c r="AJ31" i="2"/>
  <c r="AJ43" i="2" s="1"/>
  <c r="AJ68" i="2"/>
  <c r="AJ58" i="2"/>
  <c r="AJ70" i="2"/>
  <c r="AJ59" i="2"/>
  <c r="AJ71" i="2"/>
  <c r="AJ60" i="2"/>
  <c r="AJ72" i="2"/>
  <c r="AJ52" i="2"/>
  <c r="AJ64" i="2"/>
  <c r="BH420" i="11"/>
  <c r="Y521" i="11"/>
  <c r="BH521" i="11" s="1"/>
  <c r="BH414" i="11"/>
  <c r="AH16" i="5"/>
  <c r="AH18" i="5" s="1"/>
  <c r="AH4" i="5" s="1"/>
  <c r="AH5" i="5" s="1"/>
  <c r="AI49" i="2"/>
  <c r="AI4" i="2" s="1"/>
  <c r="AI9" i="2" s="1"/>
  <c r="AI9" i="5"/>
  <c r="AI13" i="5" s="1"/>
  <c r="AI17" i="5" s="1"/>
  <c r="AI8" i="5"/>
  <c r="AI12" i="5" s="1"/>
  <c r="BH3" i="11"/>
  <c r="Z414" i="11"/>
  <c r="Z420" i="11" s="1"/>
  <c r="AJ3" i="5"/>
  <c r="AL3" i="2"/>
  <c r="AJ27" i="2"/>
  <c r="AJ39" i="2" s="1"/>
  <c r="AJ34" i="2"/>
  <c r="AJ46" i="2" s="1"/>
  <c r="AJ35" i="2"/>
  <c r="AJ47" i="2" s="1"/>
  <c r="AH12" i="2"/>
  <c r="AH7" i="2" s="1"/>
  <c r="AI61" i="2"/>
  <c r="AI5" i="2" s="1"/>
  <c r="AI10" i="2" s="1"/>
  <c r="AI73" i="2"/>
  <c r="AI6" i="2" s="1"/>
  <c r="AI11" i="2" s="1"/>
  <c r="AK23" i="2"/>
  <c r="AK24" i="2"/>
  <c r="AK36" i="2" s="1"/>
  <c r="AK48" i="2" s="1"/>
  <c r="AK22" i="2"/>
  <c r="AK21" i="2"/>
  <c r="AK15" i="2"/>
  <c r="AJ33" i="2"/>
  <c r="AJ45" i="2" s="1"/>
  <c r="AK56" i="2" l="1"/>
  <c r="AK31" i="2"/>
  <c r="AK43" i="2" s="1"/>
  <c r="AK68" i="2"/>
  <c r="AL20" i="2"/>
  <c r="AL19" i="2"/>
  <c r="AL18" i="2"/>
  <c r="AK55" i="2"/>
  <c r="AK30" i="2"/>
  <c r="AK42" i="2" s="1"/>
  <c r="AK67" i="2"/>
  <c r="AK57" i="2"/>
  <c r="AK69" i="2"/>
  <c r="AK32" i="2"/>
  <c r="AK44" i="2" s="1"/>
  <c r="AK59" i="2"/>
  <c r="AK71" i="2"/>
  <c r="AK60" i="2"/>
  <c r="AK72" i="2"/>
  <c r="AK58" i="2"/>
  <c r="AK70" i="2"/>
  <c r="AK52" i="2"/>
  <c r="AK64" i="2"/>
  <c r="AI16" i="5"/>
  <c r="AI18" i="5" s="1"/>
  <c r="AI4" i="5" s="1"/>
  <c r="AI5" i="5" s="1"/>
  <c r="Z521" i="11"/>
  <c r="BI521" i="11" s="1"/>
  <c r="BI420" i="11"/>
  <c r="BI414" i="11"/>
  <c r="AK27" i="2"/>
  <c r="AK39" i="2" s="1"/>
  <c r="AK34" i="2"/>
  <c r="AK46" i="2" s="1"/>
  <c r="AK35" i="2"/>
  <c r="AK47" i="2" s="1"/>
  <c r="AJ49" i="2"/>
  <c r="AJ4" i="2" s="1"/>
  <c r="AJ9" i="2" s="1"/>
  <c r="AJ61" i="2"/>
  <c r="AJ5" i="2" s="1"/>
  <c r="AJ10" i="2" s="1"/>
  <c r="AJ9" i="5"/>
  <c r="AJ13" i="5" s="1"/>
  <c r="AJ17" i="5" s="1"/>
  <c r="AJ8" i="5"/>
  <c r="AJ12" i="5" s="1"/>
  <c r="AK33" i="2"/>
  <c r="AK45" i="2" s="1"/>
  <c r="AJ73" i="2"/>
  <c r="AJ6" i="2" s="1"/>
  <c r="AJ11" i="2" s="1"/>
  <c r="AL24" i="2"/>
  <c r="AL36" i="2" s="1"/>
  <c r="AL48" i="2" s="1"/>
  <c r="AL23" i="2"/>
  <c r="AL22" i="2"/>
  <c r="AL21" i="2"/>
  <c r="AL15" i="2"/>
  <c r="BI3" i="11"/>
  <c r="AA414" i="11"/>
  <c r="AA420" i="11" s="1"/>
  <c r="AM3" i="2"/>
  <c r="AK3" i="5"/>
  <c r="AI12" i="2"/>
  <c r="AI7" i="2" s="1"/>
  <c r="AL55" i="2" l="1"/>
  <c r="AL67" i="2"/>
  <c r="AL30" i="2"/>
  <c r="AL42" i="2" s="1"/>
  <c r="AL57" i="2"/>
  <c r="AL69" i="2"/>
  <c r="AL32" i="2"/>
  <c r="AL44" i="2" s="1"/>
  <c r="AM20" i="2"/>
  <c r="AM19" i="2"/>
  <c r="AM18" i="2"/>
  <c r="AL56" i="2"/>
  <c r="AL31" i="2"/>
  <c r="AL43" i="2" s="1"/>
  <c r="AL68" i="2"/>
  <c r="AL60" i="2"/>
  <c r="AL72" i="2"/>
  <c r="AL59" i="2"/>
  <c r="AL71" i="2"/>
  <c r="AL58" i="2"/>
  <c r="AL70" i="2"/>
  <c r="AL52" i="2"/>
  <c r="AL64" i="2"/>
  <c r="BJ420" i="11"/>
  <c r="AA521" i="11"/>
  <c r="BJ521" i="11" s="1"/>
  <c r="AJ16" i="5"/>
  <c r="AJ18" i="5" s="1"/>
  <c r="AJ4" i="5" s="1"/>
  <c r="AJ5" i="5" s="1"/>
  <c r="BJ414" i="11"/>
  <c r="AJ12" i="2"/>
  <c r="AJ7" i="2" s="1"/>
  <c r="AK9" i="5"/>
  <c r="AK13" i="5" s="1"/>
  <c r="AK17" i="5" s="1"/>
  <c r="AK8" i="5"/>
  <c r="AK12" i="5" s="1"/>
  <c r="AK16" i="5" s="1"/>
  <c r="BJ3" i="11"/>
  <c r="AB414" i="11"/>
  <c r="AB420" i="11" s="1"/>
  <c r="AL3" i="5"/>
  <c r="AN3" i="2"/>
  <c r="AL27" i="2"/>
  <c r="AL39" i="2" s="1"/>
  <c r="AL34" i="2"/>
  <c r="AL46" i="2" s="1"/>
  <c r="AK61" i="2"/>
  <c r="AK5" i="2" s="1"/>
  <c r="AK10" i="2" s="1"/>
  <c r="AM24" i="2"/>
  <c r="AM36" i="2" s="1"/>
  <c r="AM48" i="2" s="1"/>
  <c r="AM23" i="2"/>
  <c r="AM22" i="2"/>
  <c r="AM21" i="2"/>
  <c r="AM15" i="2"/>
  <c r="AL33" i="2"/>
  <c r="AL45" i="2" s="1"/>
  <c r="AL35" i="2"/>
  <c r="AL47" i="2" s="1"/>
  <c r="AK49" i="2"/>
  <c r="AK4" i="2" s="1"/>
  <c r="AK9" i="2" s="1"/>
  <c r="AK73" i="2"/>
  <c r="AK6" i="2" s="1"/>
  <c r="AK11" i="2" s="1"/>
  <c r="AM56" i="2" l="1"/>
  <c r="AM31" i="2"/>
  <c r="AM43" i="2" s="1"/>
  <c r="AM68" i="2"/>
  <c r="AN20" i="2"/>
  <c r="AN19" i="2"/>
  <c r="AN18" i="2"/>
  <c r="AM55" i="2"/>
  <c r="AM30" i="2"/>
  <c r="AM42" i="2" s="1"/>
  <c r="AM67" i="2"/>
  <c r="AM57" i="2"/>
  <c r="AM69" i="2"/>
  <c r="AM32" i="2"/>
  <c r="AM44" i="2" s="1"/>
  <c r="AM59" i="2"/>
  <c r="AM71" i="2"/>
  <c r="AM58" i="2"/>
  <c r="AM70" i="2"/>
  <c r="AM60" i="2"/>
  <c r="AM72" i="2"/>
  <c r="AM52" i="2"/>
  <c r="AM64" i="2"/>
  <c r="AB521" i="11"/>
  <c r="BK521" i="11" s="1"/>
  <c r="BK420" i="11"/>
  <c r="BK414" i="11"/>
  <c r="AK12" i="2"/>
  <c r="AK7" i="2" s="1"/>
  <c r="AK18" i="5"/>
  <c r="AK4" i="5" s="1"/>
  <c r="AK5" i="5" s="1"/>
  <c r="AM27" i="2"/>
  <c r="AM39" i="2" s="1"/>
  <c r="AM34" i="2"/>
  <c r="AM46" i="2" s="1"/>
  <c r="AL49" i="2"/>
  <c r="AL4" i="2" s="1"/>
  <c r="AL9" i="2" s="1"/>
  <c r="AN24" i="2"/>
  <c r="AN36" i="2" s="1"/>
  <c r="AN48" i="2" s="1"/>
  <c r="AN23" i="2"/>
  <c r="AN22" i="2"/>
  <c r="AN21" i="2"/>
  <c r="AN15" i="2"/>
  <c r="BK3" i="11"/>
  <c r="AC414" i="11"/>
  <c r="AC420" i="11" s="1"/>
  <c r="AO3" i="2"/>
  <c r="AM3" i="5"/>
  <c r="AM33" i="2"/>
  <c r="AM45" i="2" s="1"/>
  <c r="AM35" i="2"/>
  <c r="AM47" i="2" s="1"/>
  <c r="AL61" i="2"/>
  <c r="AL5" i="2" s="1"/>
  <c r="AL10" i="2" s="1"/>
  <c r="AL73" i="2"/>
  <c r="AL6" i="2" s="1"/>
  <c r="AL11" i="2" s="1"/>
  <c r="AL9" i="5"/>
  <c r="AL13" i="5" s="1"/>
  <c r="AL17" i="5" s="1"/>
  <c r="AL8" i="5"/>
  <c r="AL12" i="5" s="1"/>
  <c r="AL16" i="5" s="1"/>
  <c r="AO20" i="2" l="1"/>
  <c r="AO19" i="2"/>
  <c r="AO18" i="2"/>
  <c r="AN55" i="2"/>
  <c r="AN67" i="2"/>
  <c r="AN30" i="2"/>
  <c r="AN42" i="2" s="1"/>
  <c r="AN57" i="2"/>
  <c r="AN32" i="2"/>
  <c r="AN44" i="2" s="1"/>
  <c r="AN69" i="2"/>
  <c r="AN56" i="2"/>
  <c r="AN68" i="2"/>
  <c r="AN31" i="2"/>
  <c r="AN43" i="2" s="1"/>
  <c r="AN58" i="2"/>
  <c r="AN70" i="2"/>
  <c r="AN60" i="2"/>
  <c r="AN72" i="2"/>
  <c r="AN59" i="2"/>
  <c r="AN71" i="2"/>
  <c r="AN52" i="2"/>
  <c r="AN64" i="2"/>
  <c r="BL420" i="11"/>
  <c r="AC521" i="11"/>
  <c r="BL521" i="11" s="1"/>
  <c r="BL414" i="11"/>
  <c r="AL18" i="5"/>
  <c r="AL4" i="5" s="1"/>
  <c r="AL5" i="5" s="1"/>
  <c r="AM9" i="5"/>
  <c r="AM13" i="5" s="1"/>
  <c r="AM17" i="5" s="1"/>
  <c r="AM8" i="5"/>
  <c r="AM12" i="5" s="1"/>
  <c r="AM16" i="5" s="1"/>
  <c r="BL3" i="11"/>
  <c r="AD414" i="11"/>
  <c r="AD420" i="11" s="1"/>
  <c r="AN3" i="5"/>
  <c r="AP3" i="2"/>
  <c r="AN27" i="2"/>
  <c r="AN39" i="2" s="1"/>
  <c r="AN34" i="2"/>
  <c r="AN46" i="2" s="1"/>
  <c r="AM61" i="2"/>
  <c r="AM5" i="2" s="1"/>
  <c r="AM10" i="2" s="1"/>
  <c r="AO24" i="2"/>
  <c r="AO36" i="2" s="1"/>
  <c r="AO48" i="2" s="1"/>
  <c r="AO23" i="2"/>
  <c r="AO22" i="2"/>
  <c r="AO21" i="2"/>
  <c r="AO15" i="2"/>
  <c r="AN33" i="2"/>
  <c r="AN45" i="2" s="1"/>
  <c r="AN35" i="2"/>
  <c r="AN47" i="2" s="1"/>
  <c r="AL12" i="2"/>
  <c r="AL7" i="2" s="1"/>
  <c r="AM73" i="2"/>
  <c r="AM6" i="2" s="1"/>
  <c r="AM11" i="2" s="1"/>
  <c r="AM49" i="2"/>
  <c r="AM4" i="2" s="1"/>
  <c r="AM9" i="2" s="1"/>
  <c r="AP20" i="2" l="1"/>
  <c r="AP19" i="2"/>
  <c r="AP18" i="2"/>
  <c r="AO56" i="2"/>
  <c r="AO68" i="2"/>
  <c r="AO31" i="2"/>
  <c r="AO43" i="2" s="1"/>
  <c r="AO55" i="2"/>
  <c r="AO67" i="2"/>
  <c r="AO30" i="2"/>
  <c r="AO42" i="2" s="1"/>
  <c r="AO57" i="2"/>
  <c r="AO32" i="2"/>
  <c r="AO44" i="2" s="1"/>
  <c r="AO69" i="2"/>
  <c r="AO59" i="2"/>
  <c r="AO71" i="2"/>
  <c r="AO58" i="2"/>
  <c r="AO70" i="2"/>
  <c r="AO60" i="2"/>
  <c r="AO72" i="2"/>
  <c r="AO52" i="2"/>
  <c r="AO64" i="2"/>
  <c r="AD521" i="11"/>
  <c r="BM521" i="11" s="1"/>
  <c r="BM420" i="11"/>
  <c r="BM414" i="11"/>
  <c r="AM18" i="5"/>
  <c r="AM4" i="5" s="1"/>
  <c r="AM5" i="5" s="1"/>
  <c r="AO27" i="2"/>
  <c r="AO39" i="2" s="1"/>
  <c r="AO34" i="2"/>
  <c r="AO46" i="2" s="1"/>
  <c r="AN73" i="2"/>
  <c r="AN6" i="2" s="1"/>
  <c r="AN11" i="2" s="1"/>
  <c r="AP23" i="2"/>
  <c r="AP24" i="2"/>
  <c r="AP36" i="2" s="1"/>
  <c r="AP48" i="2" s="1"/>
  <c r="AP22" i="2"/>
  <c r="AP21" i="2"/>
  <c r="AP15" i="2"/>
  <c r="BM3" i="11"/>
  <c r="AE414" i="11"/>
  <c r="AE420" i="11" s="1"/>
  <c r="AQ3" i="2"/>
  <c r="AO3" i="5"/>
  <c r="AM12" i="2"/>
  <c r="AM7" i="2" s="1"/>
  <c r="AO33" i="2"/>
  <c r="AO45" i="2" s="1"/>
  <c r="AO35" i="2"/>
  <c r="AO47" i="2" s="1"/>
  <c r="AN61" i="2"/>
  <c r="AN5" i="2" s="1"/>
  <c r="AN10" i="2" s="1"/>
  <c r="AN49" i="2"/>
  <c r="AN4" i="2" s="1"/>
  <c r="AN9" i="2" s="1"/>
  <c r="AN9" i="5"/>
  <c r="AN13" i="5" s="1"/>
  <c r="AN17" i="5" s="1"/>
  <c r="AN8" i="5"/>
  <c r="AN12" i="5" s="1"/>
  <c r="AN16" i="5" s="1"/>
  <c r="AP56" i="2" l="1"/>
  <c r="AP31" i="2"/>
  <c r="AP43" i="2" s="1"/>
  <c r="AP68" i="2"/>
  <c r="AQ20" i="2"/>
  <c r="AQ19" i="2"/>
  <c r="AQ18" i="2"/>
  <c r="AP55" i="2"/>
  <c r="AP67" i="2"/>
  <c r="AP30" i="2"/>
  <c r="AP42" i="2" s="1"/>
  <c r="AP57" i="2"/>
  <c r="AP69" i="2"/>
  <c r="AP32" i="2"/>
  <c r="AP44" i="2" s="1"/>
  <c r="AP58" i="2"/>
  <c r="AP70" i="2"/>
  <c r="AP59" i="2"/>
  <c r="AP71" i="2"/>
  <c r="AP60" i="2"/>
  <c r="AP72" i="2"/>
  <c r="AP52" i="2"/>
  <c r="AP64" i="2"/>
  <c r="BN420" i="11"/>
  <c r="AE521" i="11"/>
  <c r="BN521" i="11" s="1"/>
  <c r="BN414" i="11"/>
  <c r="AO9" i="5"/>
  <c r="AO13" i="5" s="1"/>
  <c r="AO17" i="5" s="1"/>
  <c r="AO8" i="5"/>
  <c r="AO12" i="5" s="1"/>
  <c r="AO16" i="5" s="1"/>
  <c r="BN3" i="11"/>
  <c r="AF414" i="11"/>
  <c r="AF420" i="11" s="1"/>
  <c r="AP3" i="5"/>
  <c r="AR3" i="2"/>
  <c r="AP27" i="2"/>
  <c r="AP39" i="2" s="1"/>
  <c r="AP34" i="2"/>
  <c r="AP46" i="2" s="1"/>
  <c r="AP35" i="2"/>
  <c r="AP47" i="2" s="1"/>
  <c r="AO73" i="2"/>
  <c r="AO6" i="2" s="1"/>
  <c r="AO11" i="2" s="1"/>
  <c r="AN18" i="5"/>
  <c r="AN4" i="5" s="1"/>
  <c r="AN5" i="5" s="1"/>
  <c r="AN12" i="2"/>
  <c r="AN7" i="2" s="1"/>
  <c r="AQ23" i="2"/>
  <c r="AQ24" i="2"/>
  <c r="AQ36" i="2" s="1"/>
  <c r="AQ48" i="2" s="1"/>
  <c r="AQ22" i="2"/>
  <c r="AQ21" i="2"/>
  <c r="AQ15" i="2"/>
  <c r="AP33" i="2"/>
  <c r="AP45" i="2" s="1"/>
  <c r="AO49" i="2"/>
  <c r="AO4" i="2" s="1"/>
  <c r="AO9" i="2" s="1"/>
  <c r="AO61" i="2"/>
  <c r="AO5" i="2" s="1"/>
  <c r="AO10" i="2" s="1"/>
  <c r="AQ55" i="2" l="1"/>
  <c r="AQ67" i="2"/>
  <c r="AQ30" i="2"/>
  <c r="AQ42" i="2" s="1"/>
  <c r="AQ57" i="2"/>
  <c r="AQ32" i="2"/>
  <c r="AQ44" i="2" s="1"/>
  <c r="AQ69" i="2"/>
  <c r="AR20" i="2"/>
  <c r="AR19" i="2"/>
  <c r="AR18" i="2"/>
  <c r="AQ56" i="2"/>
  <c r="AQ68" i="2"/>
  <c r="AQ31" i="2"/>
  <c r="AQ43" i="2" s="1"/>
  <c r="AQ58" i="2"/>
  <c r="AQ70" i="2"/>
  <c r="AQ59" i="2"/>
  <c r="AQ71" i="2"/>
  <c r="AQ60" i="2"/>
  <c r="AQ72" i="2"/>
  <c r="AQ52" i="2"/>
  <c r="AQ64" i="2"/>
  <c r="AF521" i="11"/>
  <c r="BO521" i="11" s="1"/>
  <c r="BO420" i="11"/>
  <c r="BO414" i="11"/>
  <c r="AO18" i="5"/>
  <c r="AO4" i="5" s="1"/>
  <c r="AO5" i="5" s="1"/>
  <c r="AP49" i="2"/>
  <c r="AP4" i="2" s="1"/>
  <c r="AP9" i="2" s="1"/>
  <c r="AR23" i="2"/>
  <c r="AR24" i="2"/>
  <c r="AR36" i="2" s="1"/>
  <c r="AR48" i="2" s="1"/>
  <c r="AR22" i="2"/>
  <c r="AR21" i="2"/>
  <c r="AR15" i="2"/>
  <c r="BO3" i="11"/>
  <c r="AG414" i="11"/>
  <c r="AG420" i="11" s="1"/>
  <c r="AS3" i="2"/>
  <c r="AQ3" i="5"/>
  <c r="AQ33" i="2"/>
  <c r="AQ45" i="2" s="1"/>
  <c r="AO12" i="2"/>
  <c r="AO7" i="2" s="1"/>
  <c r="AQ27" i="2"/>
  <c r="AQ39" i="2" s="1"/>
  <c r="AQ34" i="2"/>
  <c r="AQ46" i="2" s="1"/>
  <c r="AQ35" i="2"/>
  <c r="AQ47" i="2" s="1"/>
  <c r="AP61" i="2"/>
  <c r="AP5" i="2" s="1"/>
  <c r="AP10" i="2" s="1"/>
  <c r="AP73" i="2"/>
  <c r="AP6" i="2" s="1"/>
  <c r="AP11" i="2" s="1"/>
  <c r="AP9" i="5"/>
  <c r="AP13" i="5" s="1"/>
  <c r="AP17" i="5" s="1"/>
  <c r="AP8" i="5"/>
  <c r="AP12" i="5" s="1"/>
  <c r="AP16" i="5" s="1"/>
  <c r="AR56" i="2" l="1"/>
  <c r="AR31" i="2"/>
  <c r="AR43" i="2" s="1"/>
  <c r="AR68" i="2"/>
  <c r="AS20" i="2"/>
  <c r="AS19" i="2"/>
  <c r="AS18" i="2"/>
  <c r="AR55" i="2"/>
  <c r="AR67" i="2"/>
  <c r="AR30" i="2"/>
  <c r="AR42" i="2" s="1"/>
  <c r="AR57" i="2"/>
  <c r="AR32" i="2"/>
  <c r="AR44" i="2" s="1"/>
  <c r="AR69" i="2"/>
  <c r="AR59" i="2"/>
  <c r="AR71" i="2"/>
  <c r="AR60" i="2"/>
  <c r="AR72" i="2"/>
  <c r="AR58" i="2"/>
  <c r="AR70" i="2"/>
  <c r="AR52" i="2"/>
  <c r="AR64" i="2"/>
  <c r="BP420" i="11"/>
  <c r="AG521" i="11"/>
  <c r="BP521" i="11" s="1"/>
  <c r="BP414" i="11"/>
  <c r="AP18" i="5"/>
  <c r="AP4" i="5" s="1"/>
  <c r="AP5" i="5" s="1"/>
  <c r="AQ73" i="2"/>
  <c r="AQ6" i="2" s="1"/>
  <c r="AQ11" i="2" s="1"/>
  <c r="AQ9" i="5"/>
  <c r="AQ13" i="5" s="1"/>
  <c r="AQ17" i="5" s="1"/>
  <c r="AQ8" i="5"/>
  <c r="AQ12" i="5" s="1"/>
  <c r="AQ16" i="5" s="1"/>
  <c r="BP3" i="11"/>
  <c r="AH414" i="11"/>
  <c r="AH420" i="11" s="1"/>
  <c r="AR3" i="5"/>
  <c r="AT3" i="2"/>
  <c r="AR27" i="2"/>
  <c r="AR39" i="2" s="1"/>
  <c r="AR34" i="2"/>
  <c r="AR46" i="2" s="1"/>
  <c r="AR35" i="2"/>
  <c r="AR47" i="2" s="1"/>
  <c r="AQ49" i="2"/>
  <c r="AQ4" i="2" s="1"/>
  <c r="AQ9" i="2" s="1"/>
  <c r="AQ61" i="2"/>
  <c r="AQ5" i="2" s="1"/>
  <c r="AQ10" i="2" s="1"/>
  <c r="AS23" i="2"/>
  <c r="AS24" i="2"/>
  <c r="AS36" i="2" s="1"/>
  <c r="AS48" i="2" s="1"/>
  <c r="AS22" i="2"/>
  <c r="AS21" i="2"/>
  <c r="AS15" i="2"/>
  <c r="AR33" i="2"/>
  <c r="AR45" i="2" s="1"/>
  <c r="AP12" i="2"/>
  <c r="AP7" i="2" s="1"/>
  <c r="AS55" i="2" l="1"/>
  <c r="AS30" i="2"/>
  <c r="AS42" i="2" s="1"/>
  <c r="AS67" i="2"/>
  <c r="AS57" i="2"/>
  <c r="AS32" i="2"/>
  <c r="AS44" i="2" s="1"/>
  <c r="AS69" i="2"/>
  <c r="AT20" i="2"/>
  <c r="AT19" i="2"/>
  <c r="AT18" i="2"/>
  <c r="AS56" i="2"/>
  <c r="AS31" i="2"/>
  <c r="AS43" i="2" s="1"/>
  <c r="AS68" i="2"/>
  <c r="AS58" i="2"/>
  <c r="AS70" i="2"/>
  <c r="AS59" i="2"/>
  <c r="AS71" i="2"/>
  <c r="AS60" i="2"/>
  <c r="AS72" i="2"/>
  <c r="AS52" i="2"/>
  <c r="AS64" i="2"/>
  <c r="AH521" i="11"/>
  <c r="BQ521" i="11" s="1"/>
  <c r="BQ420" i="11"/>
  <c r="BQ414" i="11"/>
  <c r="AQ12" i="2"/>
  <c r="AQ7" i="2" s="1"/>
  <c r="AQ18" i="5"/>
  <c r="AQ4" i="5" s="1"/>
  <c r="AQ5" i="5" s="1"/>
  <c r="AS27" i="2"/>
  <c r="AS39" i="2" s="1"/>
  <c r="AS33" i="2"/>
  <c r="AS45" i="2" s="1"/>
  <c r="AR49" i="2"/>
  <c r="AR4" i="2" s="1"/>
  <c r="AR9" i="2" s="1"/>
  <c r="AR61" i="2"/>
  <c r="AR5" i="2" s="1"/>
  <c r="AR10" i="2" s="1"/>
  <c r="AR9" i="5"/>
  <c r="AR13" i="5" s="1"/>
  <c r="AR17" i="5" s="1"/>
  <c r="AR8" i="5"/>
  <c r="AR12" i="5" s="1"/>
  <c r="AR16" i="5" s="1"/>
  <c r="AS34" i="2"/>
  <c r="AS46" i="2" s="1"/>
  <c r="AS35" i="2"/>
  <c r="AS47" i="2" s="1"/>
  <c r="AR73" i="2"/>
  <c r="AR6" i="2" s="1"/>
  <c r="AR11" i="2" s="1"/>
  <c r="AT23" i="2"/>
  <c r="AT24" i="2"/>
  <c r="AT36" i="2" s="1"/>
  <c r="AT48" i="2" s="1"/>
  <c r="AT22" i="2"/>
  <c r="AT21" i="2"/>
  <c r="AT15" i="2"/>
  <c r="BQ3" i="11"/>
  <c r="AI414" i="11"/>
  <c r="AI420" i="11" s="1"/>
  <c r="AU3" i="2"/>
  <c r="AS3" i="5"/>
  <c r="AU20" i="2" l="1"/>
  <c r="AU19" i="2"/>
  <c r="AU18" i="2"/>
  <c r="AT56" i="2"/>
  <c r="AT68" i="2"/>
  <c r="AT31" i="2"/>
  <c r="AT43" i="2" s="1"/>
  <c r="AT55" i="2"/>
  <c r="AT67" i="2"/>
  <c r="AT30" i="2"/>
  <c r="AT42" i="2" s="1"/>
  <c r="AT57" i="2"/>
  <c r="AT32" i="2"/>
  <c r="AT44" i="2" s="1"/>
  <c r="AT69" i="2"/>
  <c r="AT59" i="2"/>
  <c r="AT71" i="2"/>
  <c r="AT60" i="2"/>
  <c r="AT72" i="2"/>
  <c r="AT58" i="2"/>
  <c r="AT70" i="2"/>
  <c r="AT52" i="2"/>
  <c r="AT64" i="2"/>
  <c r="BR420" i="11"/>
  <c r="AI521" i="11"/>
  <c r="BR521" i="11" s="1"/>
  <c r="BR414" i="11"/>
  <c r="AU24" i="2"/>
  <c r="AU36" i="2" s="1"/>
  <c r="AU48" i="2" s="1"/>
  <c r="AU23" i="2"/>
  <c r="AU22" i="2"/>
  <c r="AU21" i="2"/>
  <c r="AU15" i="2"/>
  <c r="AT33" i="2"/>
  <c r="AT45" i="2" s="1"/>
  <c r="AS9" i="5"/>
  <c r="AS13" i="5" s="1"/>
  <c r="AS17" i="5" s="1"/>
  <c r="AS8" i="5"/>
  <c r="AS12" i="5" s="1"/>
  <c r="AS16" i="5" s="1"/>
  <c r="BR3" i="11"/>
  <c r="AJ414" i="11"/>
  <c r="AJ420" i="11" s="1"/>
  <c r="AT3" i="5"/>
  <c r="AV3" i="2"/>
  <c r="AT27" i="2"/>
  <c r="AT39" i="2" s="1"/>
  <c r="AT34" i="2"/>
  <c r="AT46" i="2" s="1"/>
  <c r="AT35" i="2"/>
  <c r="AT47" i="2" s="1"/>
  <c r="AR18" i="5"/>
  <c r="AR4" i="5" s="1"/>
  <c r="AR5" i="5" s="1"/>
  <c r="AS73" i="2"/>
  <c r="AS6" i="2" s="1"/>
  <c r="AS11" i="2" s="1"/>
  <c r="AR12" i="2"/>
  <c r="AR7" i="2" s="1"/>
  <c r="AS61" i="2"/>
  <c r="AS5" i="2" s="1"/>
  <c r="AS10" i="2" s="1"/>
  <c r="AS49" i="2"/>
  <c r="AS4" i="2" s="1"/>
  <c r="AS9" i="2" s="1"/>
  <c r="AU56" i="2" l="1"/>
  <c r="AU31" i="2"/>
  <c r="AU43" i="2" s="1"/>
  <c r="AU68" i="2"/>
  <c r="AV20" i="2"/>
  <c r="AV19" i="2"/>
  <c r="AV18" i="2"/>
  <c r="AU55" i="2"/>
  <c r="AU30" i="2"/>
  <c r="AU42" i="2" s="1"/>
  <c r="AU67" i="2"/>
  <c r="AU57" i="2"/>
  <c r="AU32" i="2"/>
  <c r="AU44" i="2" s="1"/>
  <c r="AU69" i="2"/>
  <c r="AU59" i="2"/>
  <c r="AU71" i="2"/>
  <c r="AU58" i="2"/>
  <c r="AU70" i="2"/>
  <c r="AU60" i="2"/>
  <c r="AU72" i="2"/>
  <c r="AU52" i="2"/>
  <c r="AU64" i="2"/>
  <c r="AJ521" i="11"/>
  <c r="BS521" i="11" s="1"/>
  <c r="BS420" i="11"/>
  <c r="BS414" i="11"/>
  <c r="AS12" i="2"/>
  <c r="AS7" i="2" s="1"/>
  <c r="AS18" i="5"/>
  <c r="AS4" i="5" s="1"/>
  <c r="AS5" i="5" s="1"/>
  <c r="AT73" i="2"/>
  <c r="AT6" i="2" s="1"/>
  <c r="AT11" i="2" s="1"/>
  <c r="AV23" i="2"/>
  <c r="AV24" i="2"/>
  <c r="AV36" i="2" s="1"/>
  <c r="AV48" i="2" s="1"/>
  <c r="AV22" i="2"/>
  <c r="AV21" i="2"/>
  <c r="AV15" i="2"/>
  <c r="BS3" i="11"/>
  <c r="AK414" i="11"/>
  <c r="AK420" i="11" s="1"/>
  <c r="AW3" i="2"/>
  <c r="AU3" i="5"/>
  <c r="AU33" i="2"/>
  <c r="AU45" i="2" s="1"/>
  <c r="AU35" i="2"/>
  <c r="AU47" i="2" s="1"/>
  <c r="AT61" i="2"/>
  <c r="AT5" i="2" s="1"/>
  <c r="AT10" i="2" s="1"/>
  <c r="AT49" i="2"/>
  <c r="AT4" i="2" s="1"/>
  <c r="AT9" i="2" s="1"/>
  <c r="AT9" i="5"/>
  <c r="AT13" i="5" s="1"/>
  <c r="AT17" i="5" s="1"/>
  <c r="AT8" i="5"/>
  <c r="AT12" i="5" s="1"/>
  <c r="AT16" i="5" s="1"/>
  <c r="AU27" i="2"/>
  <c r="AU39" i="2" s="1"/>
  <c r="AU34" i="2"/>
  <c r="AU46" i="2" s="1"/>
  <c r="AW20" i="2" l="1"/>
  <c r="AW19" i="2"/>
  <c r="AW18" i="2"/>
  <c r="AV55" i="2"/>
  <c r="AV30" i="2"/>
  <c r="AV42" i="2" s="1"/>
  <c r="AV67" i="2"/>
  <c r="AV57" i="2"/>
  <c r="AV69" i="2"/>
  <c r="AV32" i="2"/>
  <c r="AV44" i="2" s="1"/>
  <c r="AV56" i="2"/>
  <c r="AV68" i="2"/>
  <c r="AV31" i="2"/>
  <c r="AV43" i="2" s="1"/>
  <c r="AV58" i="2"/>
  <c r="AV70" i="2"/>
  <c r="AV59" i="2"/>
  <c r="AV71" i="2"/>
  <c r="AV60" i="2"/>
  <c r="AV72" i="2"/>
  <c r="AV52" i="2"/>
  <c r="AV64" i="2"/>
  <c r="BT420" i="11"/>
  <c r="AK521" i="11"/>
  <c r="BT521" i="11" s="1"/>
  <c r="BT414" i="11"/>
  <c r="AU49" i="2"/>
  <c r="AU4" i="2" s="1"/>
  <c r="AU9" i="2" s="1"/>
  <c r="AT18" i="5"/>
  <c r="AT4" i="5" s="1"/>
  <c r="AT5" i="5" s="1"/>
  <c r="AT12" i="2"/>
  <c r="AT7" i="2" s="1"/>
  <c r="AU61" i="2"/>
  <c r="AU5" i="2" s="1"/>
  <c r="AU10" i="2" s="1"/>
  <c r="AU73" i="2"/>
  <c r="AU6" i="2" s="1"/>
  <c r="AU11" i="2" s="1"/>
  <c r="AW23" i="2"/>
  <c r="AW24" i="2"/>
  <c r="AW36" i="2" s="1"/>
  <c r="AW48" i="2" s="1"/>
  <c r="AW22" i="2"/>
  <c r="AW21" i="2"/>
  <c r="AW15" i="2"/>
  <c r="AV33" i="2"/>
  <c r="AV45" i="2" s="1"/>
  <c r="AU9" i="5"/>
  <c r="AU13" i="5" s="1"/>
  <c r="AU17" i="5" s="1"/>
  <c r="AU8" i="5"/>
  <c r="AU12" i="5" s="1"/>
  <c r="AU16" i="5" s="1"/>
  <c r="BT3" i="11"/>
  <c r="AL414" i="11"/>
  <c r="AL420" i="11" s="1"/>
  <c r="AV3" i="5"/>
  <c r="AX3" i="2"/>
  <c r="AV27" i="2"/>
  <c r="AV39" i="2" s="1"/>
  <c r="AV34" i="2"/>
  <c r="AV46" i="2" s="1"/>
  <c r="AV35" i="2"/>
  <c r="AV47" i="2" s="1"/>
  <c r="AW56" i="2" l="1"/>
  <c r="AW68" i="2"/>
  <c r="AW31" i="2"/>
  <c r="AW43" i="2" s="1"/>
  <c r="AX20" i="2"/>
  <c r="AX19" i="2"/>
  <c r="AX18" i="2"/>
  <c r="AW55" i="2"/>
  <c r="AW30" i="2"/>
  <c r="AW42" i="2" s="1"/>
  <c r="AW67" i="2"/>
  <c r="AW57" i="2"/>
  <c r="AW69" i="2"/>
  <c r="AW32" i="2"/>
  <c r="AW44" i="2" s="1"/>
  <c r="AW58" i="2"/>
  <c r="AW70" i="2"/>
  <c r="AW59" i="2"/>
  <c r="AW71" i="2"/>
  <c r="AW60" i="2"/>
  <c r="AW72" i="2"/>
  <c r="AW52" i="2"/>
  <c r="AW64" i="2"/>
  <c r="BU414" i="11"/>
  <c r="AL521" i="11"/>
  <c r="BU521" i="11" s="1"/>
  <c r="BU420" i="11"/>
  <c r="AU12" i="2"/>
  <c r="AU7" i="2" s="1"/>
  <c r="AU18" i="5"/>
  <c r="AU4" i="5" s="1"/>
  <c r="AU5" i="5" s="1"/>
  <c r="AV73" i="2"/>
  <c r="AV6" i="2" s="1"/>
  <c r="AV11" i="2" s="1"/>
  <c r="AV49" i="2"/>
  <c r="AV4" i="2" s="1"/>
  <c r="AV9" i="2" s="1"/>
  <c r="AV9" i="5"/>
  <c r="AV13" i="5" s="1"/>
  <c r="AV17" i="5" s="1"/>
  <c r="AV8" i="5"/>
  <c r="AV12" i="5" s="1"/>
  <c r="AV16" i="5" s="1"/>
  <c r="AW33" i="2"/>
  <c r="AW45" i="2" s="1"/>
  <c r="AV61" i="2"/>
  <c r="AV5" i="2" s="1"/>
  <c r="AV10" i="2" s="1"/>
  <c r="AX24" i="2"/>
  <c r="AX36" i="2" s="1"/>
  <c r="AX48" i="2" s="1"/>
  <c r="AX23" i="2"/>
  <c r="AX22" i="2"/>
  <c r="AX21" i="2"/>
  <c r="AX15" i="2"/>
  <c r="BU3" i="11"/>
  <c r="AY3" i="2"/>
  <c r="AW3" i="5"/>
  <c r="AW27" i="2"/>
  <c r="AW39" i="2" s="1"/>
  <c r="AW34" i="2"/>
  <c r="AW46" i="2" s="1"/>
  <c r="AW35" i="2"/>
  <c r="AW47" i="2" s="1"/>
  <c r="AY20" i="2" l="1"/>
  <c r="AY19" i="2"/>
  <c r="AY18" i="2"/>
  <c r="AX55" i="2"/>
  <c r="AX67" i="2"/>
  <c r="AX30" i="2"/>
  <c r="AX42" i="2" s="1"/>
  <c r="AX57" i="2"/>
  <c r="AX32" i="2"/>
  <c r="AX44" i="2" s="1"/>
  <c r="AX69" i="2"/>
  <c r="AX56" i="2"/>
  <c r="AX68" i="2"/>
  <c r="AX31" i="2"/>
  <c r="AX43" i="2" s="1"/>
  <c r="AX59" i="2"/>
  <c r="AX71" i="2"/>
  <c r="AX58" i="2"/>
  <c r="AX70" i="2"/>
  <c r="AX60" i="2"/>
  <c r="AX72" i="2"/>
  <c r="AX52" i="2"/>
  <c r="AX64" i="2"/>
  <c r="AV18" i="5"/>
  <c r="AV4" i="5" s="1"/>
  <c r="AV5" i="5" s="1"/>
  <c r="AV12" i="2"/>
  <c r="AV7" i="2" s="1"/>
  <c r="AW73" i="2"/>
  <c r="AW6" i="2" s="1"/>
  <c r="AW11" i="2" s="1"/>
  <c r="AW9" i="5"/>
  <c r="AW13" i="5" s="1"/>
  <c r="AW17" i="5" s="1"/>
  <c r="AW8" i="5"/>
  <c r="AW12" i="5" s="1"/>
  <c r="AW16" i="5" s="1"/>
  <c r="AX33" i="2"/>
  <c r="AX45" i="2" s="1"/>
  <c r="AX35" i="2"/>
  <c r="AX47" i="2" s="1"/>
  <c r="AW61" i="2"/>
  <c r="AW5" i="2" s="1"/>
  <c r="AW10" i="2" s="1"/>
  <c r="AW49" i="2"/>
  <c r="AW4" i="2" s="1"/>
  <c r="AW9" i="2" s="1"/>
  <c r="AY24" i="2"/>
  <c r="AY36" i="2" s="1"/>
  <c r="AY48" i="2" s="1"/>
  <c r="AY23" i="2"/>
  <c r="AY22" i="2"/>
  <c r="AY21" i="2"/>
  <c r="AY15" i="2"/>
  <c r="AX27" i="2"/>
  <c r="AX39" i="2" s="1"/>
  <c r="AX34" i="2"/>
  <c r="AX46" i="2" s="1"/>
  <c r="AY56" i="2" l="1"/>
  <c r="AY31" i="2"/>
  <c r="AY43" i="2" s="1"/>
  <c r="AY68" i="2"/>
  <c r="AY55" i="2"/>
  <c r="AY30" i="2"/>
  <c r="AY42" i="2" s="1"/>
  <c r="AY67" i="2"/>
  <c r="AY57" i="2"/>
  <c r="AY32" i="2"/>
  <c r="AY44" i="2" s="1"/>
  <c r="AY69" i="2"/>
  <c r="AY60" i="2"/>
  <c r="AY72" i="2"/>
  <c r="AY59" i="2"/>
  <c r="AY71" i="2"/>
  <c r="AY58" i="2"/>
  <c r="AY70" i="2"/>
  <c r="AY52" i="2"/>
  <c r="AY64" i="2"/>
  <c r="AX61" i="2"/>
  <c r="AX5" i="2" s="1"/>
  <c r="AX10" i="2" s="1"/>
  <c r="AW12" i="2"/>
  <c r="AW7" i="2" s="1"/>
  <c r="AW18" i="5"/>
  <c r="AW4" i="5" s="1"/>
  <c r="AW5" i="5" s="1"/>
  <c r="AX49" i="2"/>
  <c r="AX4" i="2" s="1"/>
  <c r="AX9" i="2" s="1"/>
  <c r="AY33" i="2"/>
  <c r="AY45" i="2" s="1"/>
  <c r="AY35" i="2"/>
  <c r="AY47" i="2" s="1"/>
  <c r="AX73" i="2"/>
  <c r="AX6" i="2" s="1"/>
  <c r="AX11" i="2" s="1"/>
  <c r="AY27" i="2"/>
  <c r="AY39" i="2" s="1"/>
  <c r="AY34" i="2"/>
  <c r="AY46" i="2" s="1"/>
  <c r="AY61" i="2" l="1"/>
  <c r="AY5" i="2" s="1"/>
  <c r="AY10" i="2" s="1"/>
  <c r="AY49" i="2"/>
  <c r="AY4" i="2" s="1"/>
  <c r="AY9" i="2" s="1"/>
  <c r="AY73" i="2"/>
  <c r="AY6" i="2" s="1"/>
  <c r="AY11" i="2" s="1"/>
  <c r="AX12" i="2"/>
  <c r="AX7" i="2" s="1"/>
  <c r="AY12" i="2" l="1"/>
  <c r="AY7" i="2" s="1"/>
</calcChain>
</file>

<file path=xl/sharedStrings.xml><?xml version="1.0" encoding="utf-8"?>
<sst xmlns="http://schemas.openxmlformats.org/spreadsheetml/2006/main" count="3564" uniqueCount="416">
  <si>
    <t>No.</t>
    <phoneticPr fontId="2"/>
  </si>
  <si>
    <t>対象</t>
    <rPh sb="0" eb="2">
      <t>タイショウ</t>
    </rPh>
    <phoneticPr fontId="2"/>
  </si>
  <si>
    <t>構造</t>
    <rPh sb="0" eb="2">
      <t>コウゾウ</t>
    </rPh>
    <phoneticPr fontId="2"/>
  </si>
  <si>
    <t>用途</t>
    <rPh sb="0" eb="2">
      <t>ヨウト</t>
    </rPh>
    <phoneticPr fontId="2"/>
  </si>
  <si>
    <t>基礎</t>
    <rPh sb="0" eb="2">
      <t>キソ</t>
    </rPh>
    <phoneticPr fontId="2"/>
  </si>
  <si>
    <t>屋根</t>
    <rPh sb="0" eb="2">
      <t>ヤネ</t>
    </rPh>
    <phoneticPr fontId="2"/>
  </si>
  <si>
    <t>フロア</t>
    <phoneticPr fontId="2"/>
  </si>
  <si>
    <t>金額</t>
    <rPh sb="0" eb="2">
      <t>キンガク</t>
    </rPh>
    <phoneticPr fontId="2"/>
  </si>
  <si>
    <t>係数a</t>
    <rPh sb="0" eb="2">
      <t>ケイスウ</t>
    </rPh>
    <phoneticPr fontId="2"/>
  </si>
  <si>
    <t>係数b</t>
    <rPh sb="0" eb="2">
      <t>ケイスウ</t>
    </rPh>
    <phoneticPr fontId="2"/>
  </si>
  <si>
    <t>係数c</t>
    <rPh sb="0" eb="2">
      <t>ケイスウ</t>
    </rPh>
    <phoneticPr fontId="2"/>
  </si>
  <si>
    <t>※係数a,b,cについて</t>
    <rPh sb="1" eb="3">
      <t>ケイスウ</t>
    </rPh>
    <phoneticPr fontId="2"/>
  </si>
  <si>
    <t>住宅・事務所</t>
    <rPh sb="0" eb="2">
      <t>ジュウタク</t>
    </rPh>
    <rPh sb="3" eb="5">
      <t>ジム</t>
    </rPh>
    <rPh sb="5" eb="6">
      <t>ショ</t>
    </rPh>
    <phoneticPr fontId="2"/>
  </si>
  <si>
    <t>階高に対する浸水割合を「X %」としたとき、</t>
    <rPh sb="0" eb="2">
      <t>カイダカ</t>
    </rPh>
    <rPh sb="3" eb="4">
      <t>タイ</t>
    </rPh>
    <rPh sb="6" eb="8">
      <t>シンスイ</t>
    </rPh>
    <rPh sb="8" eb="10">
      <t>ワリアイ</t>
    </rPh>
    <phoneticPr fontId="2"/>
  </si>
  <si>
    <t>各部位の被害率を[ f(X) = aX^2 + bX + c ]とする</t>
    <rPh sb="0" eb="3">
      <t>カクブイ</t>
    </rPh>
    <rPh sb="4" eb="6">
      <t>ヒガイ</t>
    </rPh>
    <rPh sb="6" eb="7">
      <t>リツ</t>
    </rPh>
    <phoneticPr fontId="2"/>
  </si>
  <si>
    <t>工場・倉庫</t>
    <rPh sb="0" eb="2">
      <t>コウジョウ</t>
    </rPh>
    <rPh sb="3" eb="5">
      <t>ソウコ</t>
    </rPh>
    <phoneticPr fontId="2"/>
  </si>
  <si>
    <t>階高は、基礎：地盤から1階床までの高さ、屋根：水下と水上高さの差、各階：階高　とする。</t>
    <rPh sb="0" eb="2">
      <t>カイダカ</t>
    </rPh>
    <rPh sb="4" eb="6">
      <t>キソ</t>
    </rPh>
    <rPh sb="7" eb="9">
      <t>ジバン</t>
    </rPh>
    <rPh sb="12" eb="13">
      <t>カイ</t>
    </rPh>
    <rPh sb="13" eb="14">
      <t>ユカ</t>
    </rPh>
    <rPh sb="17" eb="18">
      <t>タカ</t>
    </rPh>
    <rPh sb="20" eb="22">
      <t>ヤネ</t>
    </rPh>
    <rPh sb="23" eb="24">
      <t>ミズ</t>
    </rPh>
    <rPh sb="24" eb="25">
      <t>シタ</t>
    </rPh>
    <rPh sb="26" eb="27">
      <t>ミズ</t>
    </rPh>
    <rPh sb="27" eb="28">
      <t>ウエ</t>
    </rPh>
    <rPh sb="28" eb="29">
      <t>タカ</t>
    </rPh>
    <rPh sb="31" eb="32">
      <t>サ</t>
    </rPh>
    <rPh sb="33" eb="35">
      <t>カクカイ</t>
    </rPh>
    <rPh sb="36" eb="37">
      <t>カイ</t>
    </rPh>
    <rPh sb="37" eb="38">
      <t>タカ</t>
    </rPh>
    <phoneticPr fontId="2"/>
  </si>
  <si>
    <t>屋外設備</t>
    <rPh sb="0" eb="2">
      <t>オクガイ</t>
    </rPh>
    <rPh sb="2" eb="4">
      <t>セツビ</t>
    </rPh>
    <phoneticPr fontId="2"/>
  </si>
  <si>
    <t>No.</t>
    <phoneticPr fontId="2"/>
  </si>
  <si>
    <t>製品</t>
    <rPh sb="0" eb="2">
      <t>セイヒン</t>
    </rPh>
    <phoneticPr fontId="2"/>
  </si>
  <si>
    <t>係数a'</t>
    <rPh sb="0" eb="2">
      <t>ケイスウ</t>
    </rPh>
    <phoneticPr fontId="2"/>
  </si>
  <si>
    <t>係数b'</t>
    <rPh sb="0" eb="2">
      <t>ケイスウ</t>
    </rPh>
    <phoneticPr fontId="2"/>
  </si>
  <si>
    <t>係数c'</t>
    <rPh sb="0" eb="2">
      <t>ケイスウ</t>
    </rPh>
    <phoneticPr fontId="2"/>
  </si>
  <si>
    <t>all</t>
    <phoneticPr fontId="2"/>
  </si>
  <si>
    <t>家庭用品</t>
    <rPh sb="0" eb="2">
      <t>カテイ</t>
    </rPh>
    <rPh sb="2" eb="4">
      <t>ヨウヒン</t>
    </rPh>
    <phoneticPr fontId="2"/>
  </si>
  <si>
    <t>事業所償却資産</t>
    <rPh sb="0" eb="3">
      <t>ジギョウショ</t>
    </rPh>
    <rPh sb="3" eb="5">
      <t>ショウキャク</t>
    </rPh>
    <rPh sb="5" eb="7">
      <t>シサン</t>
    </rPh>
    <phoneticPr fontId="2"/>
  </si>
  <si>
    <t>事業所在庫資産</t>
    <rPh sb="0" eb="3">
      <t>ジギョウショ</t>
    </rPh>
    <rPh sb="3" eb="5">
      <t>ザイコ</t>
    </rPh>
    <rPh sb="5" eb="7">
      <t>シサン</t>
    </rPh>
    <phoneticPr fontId="2"/>
  </si>
  <si>
    <t>設備・什器・商品等</t>
    <rPh sb="0" eb="2">
      <t>セツビ</t>
    </rPh>
    <rPh sb="3" eb="5">
      <t>ジュウキ</t>
    </rPh>
    <rPh sb="6" eb="8">
      <t>ショウヒン</t>
    </rPh>
    <rPh sb="8" eb="9">
      <t>トウ</t>
    </rPh>
    <phoneticPr fontId="2"/>
  </si>
  <si>
    <t>階数</t>
    <rPh sb="0" eb="2">
      <t>カイスウ</t>
    </rPh>
    <phoneticPr fontId="2"/>
  </si>
  <si>
    <t>建物外形</t>
    <rPh sb="0" eb="2">
      <t>タテモノ</t>
    </rPh>
    <rPh sb="2" eb="4">
      <t>ガイケイ</t>
    </rPh>
    <phoneticPr fontId="2"/>
  </si>
  <si>
    <t>建物</t>
    <rPh sb="0" eb="2">
      <t>タテモノ</t>
    </rPh>
    <phoneticPr fontId="2"/>
  </si>
  <si>
    <t>木造</t>
    <rPh sb="0" eb="2">
      <t>モクゾウ</t>
    </rPh>
    <phoneticPr fontId="2"/>
  </si>
  <si>
    <t>非木造</t>
    <rPh sb="0" eb="1">
      <t>ヒ</t>
    </rPh>
    <rPh sb="1" eb="3">
      <t>モクゾウ</t>
    </rPh>
    <phoneticPr fontId="2"/>
  </si>
  <si>
    <t>設備・什器</t>
    <rPh sb="0" eb="2">
      <t>セツビ</t>
    </rPh>
    <rPh sb="3" eb="5">
      <t>ジュウキ</t>
    </rPh>
    <phoneticPr fontId="2"/>
  </si>
  <si>
    <t>地下</t>
    <rPh sb="0" eb="2">
      <t>チカ</t>
    </rPh>
    <phoneticPr fontId="2"/>
  </si>
  <si>
    <t>地上</t>
    <rPh sb="0" eb="2">
      <t>チジョウ</t>
    </rPh>
    <phoneticPr fontId="2"/>
  </si>
  <si>
    <t>地下階</t>
    <rPh sb="0" eb="2">
      <t>チカ</t>
    </rPh>
    <rPh sb="2" eb="3">
      <t>カイ</t>
    </rPh>
    <phoneticPr fontId="2"/>
  </si>
  <si>
    <t>建物名称</t>
    <rPh sb="0" eb="2">
      <t>タテモノ</t>
    </rPh>
    <rPh sb="2" eb="4">
      <t>メイショウ</t>
    </rPh>
    <phoneticPr fontId="2"/>
  </si>
  <si>
    <t>建物No.</t>
    <rPh sb="0" eb="2">
      <t>タテモノ</t>
    </rPh>
    <phoneticPr fontId="2"/>
  </si>
  <si>
    <t>建物概要</t>
    <rPh sb="0" eb="2">
      <t>タテモノ</t>
    </rPh>
    <rPh sb="2" eb="4">
      <t>ガイヨウ</t>
    </rPh>
    <phoneticPr fontId="2"/>
  </si>
  <si>
    <t>軒高</t>
    <rPh sb="0" eb="2">
      <t>ノキダカ</t>
    </rPh>
    <phoneticPr fontId="2"/>
  </si>
  <si>
    <t>水上　GL+</t>
    <rPh sb="0" eb="2">
      <t>ミズカミ</t>
    </rPh>
    <phoneticPr fontId="2"/>
  </si>
  <si>
    <t>水下　GL+</t>
    <rPh sb="0" eb="1">
      <t>ミズ</t>
    </rPh>
    <rPh sb="1" eb="2">
      <t>シタ</t>
    </rPh>
    <phoneticPr fontId="2"/>
  </si>
  <si>
    <t>1階床　GL+</t>
    <rPh sb="1" eb="2">
      <t>カイ</t>
    </rPh>
    <rPh sb="2" eb="3">
      <t>ユカ</t>
    </rPh>
    <phoneticPr fontId="2"/>
  </si>
  <si>
    <t>嵩上げ</t>
    <rPh sb="0" eb="2">
      <t>カサア</t>
    </rPh>
    <phoneticPr fontId="2"/>
  </si>
  <si>
    <t>地上7階～</t>
    <rPh sb="0" eb="2">
      <t>チジョウ</t>
    </rPh>
    <rPh sb="3" eb="4">
      <t>カイ</t>
    </rPh>
    <phoneticPr fontId="2"/>
  </si>
  <si>
    <t>-</t>
    <phoneticPr fontId="2"/>
  </si>
  <si>
    <t>階高cm</t>
    <rPh sb="0" eb="1">
      <t>カイ</t>
    </rPh>
    <rPh sb="1" eb="2">
      <t>タカ</t>
    </rPh>
    <phoneticPr fontId="2"/>
  </si>
  <si>
    <t>保険価額</t>
    <rPh sb="0" eb="2">
      <t>ホケン</t>
    </rPh>
    <rPh sb="2" eb="4">
      <t>カガク</t>
    </rPh>
    <phoneticPr fontId="2"/>
  </si>
  <si>
    <t>商品・材料</t>
    <rPh sb="0" eb="2">
      <t>ショウヒン</t>
    </rPh>
    <rPh sb="3" eb="5">
      <t>ザイリョウ</t>
    </rPh>
    <phoneticPr fontId="2"/>
  </si>
  <si>
    <t>設備割合</t>
    <rPh sb="0" eb="2">
      <t>セツビ</t>
    </rPh>
    <rPh sb="2" eb="4">
      <t>ワリアイ</t>
    </rPh>
    <phoneticPr fontId="2"/>
  </si>
  <si>
    <t>商品割合</t>
    <rPh sb="0" eb="2">
      <t>ショウヒン</t>
    </rPh>
    <rPh sb="2" eb="4">
      <t>ワリアイ</t>
    </rPh>
    <phoneticPr fontId="2"/>
  </si>
  <si>
    <t>建物割合</t>
    <rPh sb="0" eb="2">
      <t>タテモノ</t>
    </rPh>
    <rPh sb="2" eb="4">
      <t>ワリアイ</t>
    </rPh>
    <phoneticPr fontId="2"/>
  </si>
  <si>
    <t>合計</t>
    <rPh sb="0" eb="2">
      <t>ゴウケイ</t>
    </rPh>
    <phoneticPr fontId="2"/>
  </si>
  <si>
    <t>浸水深</t>
    <rPh sb="0" eb="1">
      <t>シン</t>
    </rPh>
    <rPh sb="1" eb="3">
      <t>スイシン</t>
    </rPh>
    <phoneticPr fontId="2"/>
  </si>
  <si>
    <t>床高</t>
    <rPh sb="0" eb="1">
      <t>ユカ</t>
    </rPh>
    <rPh sb="1" eb="2">
      <t>タカ</t>
    </rPh>
    <phoneticPr fontId="2"/>
  </si>
  <si>
    <t>屋根上</t>
    <rPh sb="0" eb="2">
      <t>ヤネ</t>
    </rPh>
    <rPh sb="2" eb="3">
      <t>ウエ</t>
    </rPh>
    <phoneticPr fontId="2"/>
  </si>
  <si>
    <t>階高</t>
    <rPh sb="0" eb="2">
      <t>カイダカ</t>
    </rPh>
    <phoneticPr fontId="2"/>
  </si>
  <si>
    <t>-</t>
    <phoneticPr fontId="2"/>
  </si>
  <si>
    <t>各階状況</t>
    <rPh sb="0" eb="2">
      <t>カクカイ</t>
    </rPh>
    <rPh sb="2" eb="4">
      <t>ジョウキョウ</t>
    </rPh>
    <phoneticPr fontId="2"/>
  </si>
  <si>
    <t>被害率</t>
    <rPh sb="0" eb="2">
      <t>ヒガイ</t>
    </rPh>
    <rPh sb="2" eb="3">
      <t>リツ</t>
    </rPh>
    <phoneticPr fontId="2"/>
  </si>
  <si>
    <t>部位金額係数</t>
    <rPh sb="0" eb="2">
      <t>ブイ</t>
    </rPh>
    <rPh sb="2" eb="4">
      <t>キンガク</t>
    </rPh>
    <rPh sb="4" eb="6">
      <t>ケイスウ</t>
    </rPh>
    <phoneticPr fontId="2"/>
  </si>
  <si>
    <t>部位</t>
    <rPh sb="0" eb="2">
      <t>ブイ</t>
    </rPh>
    <phoneticPr fontId="2"/>
  </si>
  <si>
    <t>項目</t>
    <rPh sb="0" eb="2">
      <t>コウモク</t>
    </rPh>
    <phoneticPr fontId="2"/>
  </si>
  <si>
    <t>B1</t>
    <phoneticPr fontId="2"/>
  </si>
  <si>
    <t>B2</t>
    <phoneticPr fontId="2"/>
  </si>
  <si>
    <t>B3</t>
    <phoneticPr fontId="2"/>
  </si>
  <si>
    <t>B4</t>
    <phoneticPr fontId="2"/>
  </si>
  <si>
    <t>C1</t>
    <phoneticPr fontId="2"/>
  </si>
  <si>
    <t>C2</t>
    <phoneticPr fontId="2"/>
  </si>
  <si>
    <t>C3</t>
    <phoneticPr fontId="2"/>
  </si>
  <si>
    <t>B5</t>
  </si>
  <si>
    <t>B6</t>
  </si>
  <si>
    <t>B7</t>
  </si>
  <si>
    <t>B8</t>
  </si>
  <si>
    <t>B9</t>
  </si>
  <si>
    <t>B10</t>
  </si>
  <si>
    <t>B11</t>
  </si>
  <si>
    <t>B12</t>
  </si>
  <si>
    <t>B13</t>
  </si>
  <si>
    <t>B14</t>
  </si>
  <si>
    <t>C4</t>
  </si>
  <si>
    <t>C5</t>
  </si>
  <si>
    <t>C6</t>
  </si>
  <si>
    <t>C7</t>
  </si>
  <si>
    <t>C8</t>
  </si>
  <si>
    <t>C9</t>
  </si>
  <si>
    <t>C10</t>
  </si>
  <si>
    <t>C11</t>
  </si>
  <si>
    <t>C12</t>
  </si>
  <si>
    <t>C13</t>
  </si>
  <si>
    <t>C14</t>
  </si>
  <si>
    <t>C15</t>
  </si>
  <si>
    <t>code</t>
    <phoneticPr fontId="2"/>
  </si>
  <si>
    <t>係数a, a'</t>
    <rPh sb="0" eb="2">
      <t>ケイスウ</t>
    </rPh>
    <phoneticPr fontId="2"/>
  </si>
  <si>
    <t>係数b, b'</t>
    <rPh sb="0" eb="2">
      <t>ケイスウ</t>
    </rPh>
    <phoneticPr fontId="2"/>
  </si>
  <si>
    <t>係数c, c'</t>
    <rPh sb="0" eb="2">
      <t>ケイスウ</t>
    </rPh>
    <phoneticPr fontId="2"/>
  </si>
  <si>
    <t>種別</t>
    <rPh sb="0" eb="2">
      <t>シュベツ</t>
    </rPh>
    <phoneticPr fontId="2"/>
  </si>
  <si>
    <t>建物被害率</t>
    <rPh sb="0" eb="2">
      <t>タテモノ</t>
    </rPh>
    <rPh sb="2" eb="4">
      <t>ヒガイ</t>
    </rPh>
    <rPh sb="4" eb="5">
      <t>リツ</t>
    </rPh>
    <phoneticPr fontId="2"/>
  </si>
  <si>
    <t>資産比率</t>
    <rPh sb="0" eb="2">
      <t>シサン</t>
    </rPh>
    <rPh sb="2" eb="4">
      <t>ヒリツ</t>
    </rPh>
    <phoneticPr fontId="2"/>
  </si>
  <si>
    <t>合計被害率</t>
    <rPh sb="0" eb="2">
      <t>ゴウケイ</t>
    </rPh>
    <rPh sb="2" eb="4">
      <t>ヒガイ</t>
    </rPh>
    <rPh sb="4" eb="5">
      <t>リツ</t>
    </rPh>
    <phoneticPr fontId="2"/>
  </si>
  <si>
    <t>床下浸水の場合は、地下がある場合は被害なし、地下が無い場合は床上0cmまで線形補完とする。</t>
    <rPh sb="0" eb="2">
      <t>ユカシタ</t>
    </rPh>
    <rPh sb="2" eb="4">
      <t>シンスイ</t>
    </rPh>
    <rPh sb="5" eb="7">
      <t>バアイ</t>
    </rPh>
    <rPh sb="9" eb="11">
      <t>チカ</t>
    </rPh>
    <rPh sb="14" eb="16">
      <t>バアイ</t>
    </rPh>
    <rPh sb="17" eb="19">
      <t>ヒガイ</t>
    </rPh>
    <rPh sb="22" eb="24">
      <t>チカ</t>
    </rPh>
    <rPh sb="25" eb="26">
      <t>ナ</t>
    </rPh>
    <rPh sb="27" eb="29">
      <t>バアイ</t>
    </rPh>
    <rPh sb="30" eb="32">
      <t>ユカウエ</t>
    </rPh>
    <rPh sb="37" eb="39">
      <t>センケイ</t>
    </rPh>
    <rPh sb="39" eb="41">
      <t>ホカン</t>
    </rPh>
    <phoneticPr fontId="2"/>
  </si>
  <si>
    <t>設備被害率</t>
    <rPh sb="0" eb="2">
      <t>セツビ</t>
    </rPh>
    <rPh sb="2" eb="4">
      <t>ヒガイ</t>
    </rPh>
    <rPh sb="4" eb="5">
      <t>リツ</t>
    </rPh>
    <phoneticPr fontId="2"/>
  </si>
  <si>
    <t>建物水没率</t>
    <rPh sb="0" eb="2">
      <t>タテモノ</t>
    </rPh>
    <rPh sb="2" eb="4">
      <t>スイボツ</t>
    </rPh>
    <rPh sb="4" eb="5">
      <t>リツ</t>
    </rPh>
    <phoneticPr fontId="2"/>
  </si>
  <si>
    <t>床上浸水深をXcm(&lt;=350cm)とした場合</t>
    <rPh sb="0" eb="2">
      <t>ユカウエ</t>
    </rPh>
    <rPh sb="2" eb="4">
      <t>シンスイ</t>
    </rPh>
    <rPh sb="4" eb="5">
      <t>フカ</t>
    </rPh>
    <rPh sb="21" eb="23">
      <t>バアイ</t>
    </rPh>
    <phoneticPr fontId="2"/>
  </si>
  <si>
    <t>商品被害率</t>
    <rPh sb="0" eb="2">
      <t>ショウヒン</t>
    </rPh>
    <rPh sb="2" eb="4">
      <t>ヒガイ</t>
    </rPh>
    <rPh sb="4" eb="5">
      <t>リツ</t>
    </rPh>
    <phoneticPr fontId="2"/>
  </si>
  <si>
    <t>構造・用途</t>
    <rPh sb="0" eb="2">
      <t>コウゾウ</t>
    </rPh>
    <rPh sb="3" eb="5">
      <t>ヨウト</t>
    </rPh>
    <phoneticPr fontId="2"/>
  </si>
  <si>
    <t>各階
浸水深</t>
    <rPh sb="0" eb="2">
      <t>カクカイ</t>
    </rPh>
    <rPh sb="3" eb="4">
      <t>シン</t>
    </rPh>
    <rPh sb="4" eb="6">
      <t>スイシン</t>
    </rPh>
    <phoneticPr fontId="2"/>
  </si>
  <si>
    <t>各階
浸水率</t>
    <rPh sb="0" eb="2">
      <t>カクカイ</t>
    </rPh>
    <rPh sb="3" eb="4">
      <t>シン</t>
    </rPh>
    <rPh sb="5" eb="6">
      <t>リツ</t>
    </rPh>
    <phoneticPr fontId="2"/>
  </si>
  <si>
    <t>合計金額</t>
    <rPh sb="0" eb="2">
      <t>ゴウケイ</t>
    </rPh>
    <rPh sb="2" eb="4">
      <t>キンガク</t>
    </rPh>
    <phoneticPr fontId="2"/>
  </si>
  <si>
    <t>B15</t>
    <phoneticPr fontId="2"/>
  </si>
  <si>
    <t>建物・屋外設備</t>
    <rPh sb="0" eb="2">
      <t>タテモノ</t>
    </rPh>
    <rPh sb="3" eb="5">
      <t>オクガイ</t>
    </rPh>
    <rPh sb="5" eb="7">
      <t>セツビ</t>
    </rPh>
    <phoneticPr fontId="2"/>
  </si>
  <si>
    <t>建物名</t>
    <rPh sb="0" eb="2">
      <t>タテモノ</t>
    </rPh>
    <rPh sb="2" eb="3">
      <t>メイ</t>
    </rPh>
    <phoneticPr fontId="2"/>
  </si>
  <si>
    <t>B4</t>
  </si>
  <si>
    <t>-</t>
    <phoneticPr fontId="2"/>
  </si>
  <si>
    <t>1階床高</t>
    <rPh sb="1" eb="2">
      <t>カイ</t>
    </rPh>
    <rPh sb="2" eb="3">
      <t>ユカ</t>
    </rPh>
    <rPh sb="3" eb="4">
      <t>タカ</t>
    </rPh>
    <phoneticPr fontId="2"/>
  </si>
  <si>
    <t>GL+  cm</t>
    <phoneticPr fontId="2"/>
  </si>
  <si>
    <t>code</t>
    <phoneticPr fontId="2"/>
  </si>
  <si>
    <t>製品・材料</t>
    <rPh sb="0" eb="2">
      <t>セイヒン</t>
    </rPh>
    <rPh sb="3" eb="5">
      <t>ザイリョウ</t>
    </rPh>
    <phoneticPr fontId="2"/>
  </si>
  <si>
    <t>保険価額（千円）</t>
    <rPh sb="0" eb="2">
      <t>ホケン</t>
    </rPh>
    <rPh sb="2" eb="4">
      <t>カガク</t>
    </rPh>
    <rPh sb="5" eb="7">
      <t>センエン</t>
    </rPh>
    <phoneticPr fontId="2"/>
  </si>
  <si>
    <t>B2</t>
  </si>
  <si>
    <t>B15</t>
  </si>
  <si>
    <t>B3</t>
  </si>
  <si>
    <t>B16</t>
  </si>
  <si>
    <t>B17</t>
  </si>
  <si>
    <t>B18</t>
  </si>
  <si>
    <t>B19</t>
  </si>
  <si>
    <t>B20</t>
  </si>
  <si>
    <t>→被害関数用</t>
    <rPh sb="1" eb="3">
      <t>ヒガイ</t>
    </rPh>
    <rPh sb="3" eb="5">
      <t>カンスウ</t>
    </rPh>
    <rPh sb="5" eb="6">
      <t>ヨウ</t>
    </rPh>
    <phoneticPr fontId="2"/>
  </si>
  <si>
    <t>被害算定用</t>
    <rPh sb="0" eb="2">
      <t>ヒガイ</t>
    </rPh>
    <rPh sb="2" eb="4">
      <t>サンテイ</t>
    </rPh>
    <rPh sb="4" eb="5">
      <t>ヨウ</t>
    </rPh>
    <phoneticPr fontId="2"/>
  </si>
  <si>
    <t>屋外設備
No.</t>
    <rPh sb="0" eb="2">
      <t>オクガイ</t>
    </rPh>
    <rPh sb="2" eb="4">
      <t>セツビ</t>
    </rPh>
    <phoneticPr fontId="2"/>
  </si>
  <si>
    <t>保険価額
（千円）</t>
    <rPh sb="0" eb="2">
      <t>ホケン</t>
    </rPh>
    <rPh sb="2" eb="4">
      <t>カガク</t>
    </rPh>
    <rPh sb="6" eb="8">
      <t>センエン</t>
    </rPh>
    <phoneticPr fontId="2"/>
  </si>
  <si>
    <t>形状デフォルト</t>
    <rPh sb="0" eb="2">
      <t>ケイジョウ</t>
    </rPh>
    <phoneticPr fontId="2"/>
  </si>
  <si>
    <t>地上階階高</t>
    <rPh sb="0" eb="2">
      <t>チジョウ</t>
    </rPh>
    <rPh sb="2" eb="3">
      <t>カイ</t>
    </rPh>
    <rPh sb="3" eb="5">
      <t>カイダカ</t>
    </rPh>
    <phoneticPr fontId="2"/>
  </si>
  <si>
    <t>水下～水上</t>
    <rPh sb="0" eb="1">
      <t>ミズ</t>
    </rPh>
    <rPh sb="1" eb="2">
      <t>シタ</t>
    </rPh>
    <rPh sb="3" eb="4">
      <t>ミズ</t>
    </rPh>
    <rPh sb="4" eb="5">
      <t>ウエ</t>
    </rPh>
    <phoneticPr fontId="2"/>
  </si>
  <si>
    <t>屋外設備No.</t>
    <rPh sb="0" eb="2">
      <t>オクガイ</t>
    </rPh>
    <rPh sb="2" eb="4">
      <t>セツビ</t>
    </rPh>
    <phoneticPr fontId="2"/>
  </si>
  <si>
    <t>設備高さ　</t>
    <rPh sb="0" eb="2">
      <t>セツビ</t>
    </rPh>
    <rPh sb="2" eb="3">
      <t>タカ</t>
    </rPh>
    <phoneticPr fontId="2"/>
  </si>
  <si>
    <t>床高＋</t>
    <phoneticPr fontId="2"/>
  </si>
  <si>
    <t>屋外設備
被害率</t>
    <rPh sb="0" eb="2">
      <t>オクガイ</t>
    </rPh>
    <rPh sb="2" eb="4">
      <t>セツビ</t>
    </rPh>
    <rPh sb="5" eb="7">
      <t>ヒガイ</t>
    </rPh>
    <rPh sb="7" eb="8">
      <t>リツ</t>
    </rPh>
    <phoneticPr fontId="2"/>
  </si>
  <si>
    <t>建物形状
（階数・嵩上げ）</t>
    <rPh sb="0" eb="2">
      <t>タテモノ</t>
    </rPh>
    <rPh sb="2" eb="4">
      <t>ケイジョウ</t>
    </rPh>
    <rPh sb="6" eb="8">
      <t>カイスウ</t>
    </rPh>
    <rPh sb="9" eb="11">
      <t>カサア</t>
    </rPh>
    <phoneticPr fontId="2"/>
  </si>
  <si>
    <t>各階階高・資産分布</t>
    <rPh sb="0" eb="2">
      <t>カクカイ</t>
    </rPh>
    <rPh sb="2" eb="4">
      <t>カイダカ</t>
    </rPh>
    <rPh sb="5" eb="7">
      <t>シサン</t>
    </rPh>
    <rPh sb="7" eb="9">
      <t>ブンプ</t>
    </rPh>
    <phoneticPr fontId="2"/>
  </si>
  <si>
    <t>入力有無</t>
    <rPh sb="0" eb="2">
      <t>ニュウリョク</t>
    </rPh>
    <rPh sb="2" eb="4">
      <t>ウム</t>
    </rPh>
    <phoneticPr fontId="2"/>
  </si>
  <si>
    <t>B5</t>
    <phoneticPr fontId="2"/>
  </si>
  <si>
    <t>B6</t>
    <phoneticPr fontId="2"/>
  </si>
  <si>
    <t>B7</t>
    <phoneticPr fontId="2"/>
  </si>
  <si>
    <t>B8</t>
    <phoneticPr fontId="2"/>
  </si>
  <si>
    <t>B9</t>
    <phoneticPr fontId="2"/>
  </si>
  <si>
    <t>B10</t>
    <phoneticPr fontId="2"/>
  </si>
  <si>
    <t>B11</t>
    <phoneticPr fontId="2"/>
  </si>
  <si>
    <t>B12</t>
    <phoneticPr fontId="2"/>
  </si>
  <si>
    <t>B13</t>
    <phoneticPr fontId="2"/>
  </si>
  <si>
    <t>B14</t>
    <phoneticPr fontId="2"/>
  </si>
  <si>
    <t>B16</t>
    <phoneticPr fontId="2"/>
  </si>
  <si>
    <t>B17</t>
    <phoneticPr fontId="2"/>
  </si>
  <si>
    <t>B18</t>
    <phoneticPr fontId="2"/>
  </si>
  <si>
    <t>B19</t>
    <phoneticPr fontId="2"/>
  </si>
  <si>
    <t>U1</t>
  </si>
  <si>
    <t>U1</t>
    <phoneticPr fontId="2"/>
  </si>
  <si>
    <t>U2</t>
  </si>
  <si>
    <t>U2</t>
    <phoneticPr fontId="2"/>
  </si>
  <si>
    <t>U3</t>
  </si>
  <si>
    <t>U3</t>
    <phoneticPr fontId="2"/>
  </si>
  <si>
    <t>U4</t>
  </si>
  <si>
    <t>U4</t>
    <phoneticPr fontId="2"/>
  </si>
  <si>
    <t>U5</t>
  </si>
  <si>
    <t>U5</t>
    <phoneticPr fontId="2"/>
  </si>
  <si>
    <t>U6</t>
  </si>
  <si>
    <t>U6</t>
    <phoneticPr fontId="2"/>
  </si>
  <si>
    <t>U7</t>
  </si>
  <si>
    <t>U7</t>
    <phoneticPr fontId="2"/>
  </si>
  <si>
    <t>U8</t>
  </si>
  <si>
    <t>U8</t>
    <phoneticPr fontId="2"/>
  </si>
  <si>
    <t>U9</t>
  </si>
  <si>
    <t>U9</t>
    <phoneticPr fontId="2"/>
  </si>
  <si>
    <t>U10</t>
  </si>
  <si>
    <t>U10</t>
    <phoneticPr fontId="2"/>
  </si>
  <si>
    <t>GL+　cm</t>
    <phoneticPr fontId="2"/>
  </si>
  <si>
    <t>屋外
設備名</t>
    <rPh sb="0" eb="2">
      <t>オクガイ</t>
    </rPh>
    <rPh sb="3" eb="5">
      <t>セツビ</t>
    </rPh>
    <rPh sb="5" eb="6">
      <t>メイ</t>
    </rPh>
    <phoneticPr fontId="2"/>
  </si>
  <si>
    <t>②任意入力項目</t>
    <rPh sb="1" eb="3">
      <t>ニンイ</t>
    </rPh>
    <rPh sb="3" eb="5">
      <t>ニュウリョク</t>
    </rPh>
    <rPh sb="5" eb="7">
      <t>コウモク</t>
    </rPh>
    <phoneticPr fontId="2"/>
  </si>
  <si>
    <t>高さcm</t>
    <rPh sb="0" eb="1">
      <t>タカ</t>
    </rPh>
    <phoneticPr fontId="2"/>
  </si>
  <si>
    <t>任意入力項目</t>
    <rPh sb="0" eb="2">
      <t>ニンイ</t>
    </rPh>
    <rPh sb="2" eb="4">
      <t>ニュウリョク</t>
    </rPh>
    <rPh sb="4" eb="6">
      <t>コウモク</t>
    </rPh>
    <phoneticPr fontId="2"/>
  </si>
  <si>
    <t>B2</t>
    <phoneticPr fontId="2"/>
  </si>
  <si>
    <t>GL+  cm</t>
    <phoneticPr fontId="2"/>
  </si>
  <si>
    <t>B3</t>
    <phoneticPr fontId="2"/>
  </si>
  <si>
    <t>B4</t>
    <phoneticPr fontId="2"/>
  </si>
  <si>
    <t>B5</t>
    <phoneticPr fontId="2"/>
  </si>
  <si>
    <t>B6</t>
    <phoneticPr fontId="2"/>
  </si>
  <si>
    <t>B7</t>
    <phoneticPr fontId="2"/>
  </si>
  <si>
    <t>B8</t>
    <phoneticPr fontId="2"/>
  </si>
  <si>
    <t>B9</t>
    <phoneticPr fontId="2"/>
  </si>
  <si>
    <t>B10</t>
    <phoneticPr fontId="2"/>
  </si>
  <si>
    <t>B11</t>
    <phoneticPr fontId="2"/>
  </si>
  <si>
    <t>B12</t>
    <phoneticPr fontId="2"/>
  </si>
  <si>
    <t>B13</t>
    <phoneticPr fontId="2"/>
  </si>
  <si>
    <t>B14</t>
    <phoneticPr fontId="2"/>
  </si>
  <si>
    <t>B15</t>
    <phoneticPr fontId="2"/>
  </si>
  <si>
    <t>B16</t>
    <phoneticPr fontId="2"/>
  </si>
  <si>
    <t>B17</t>
    <phoneticPr fontId="2"/>
  </si>
  <si>
    <t>B18</t>
    <phoneticPr fontId="2"/>
  </si>
  <si>
    <t>B19</t>
    <phoneticPr fontId="2"/>
  </si>
  <si>
    <t>B20</t>
    <phoneticPr fontId="2"/>
  </si>
  <si>
    <t>U2</t>
    <phoneticPr fontId="2"/>
  </si>
  <si>
    <t>U3</t>
    <phoneticPr fontId="2"/>
  </si>
  <si>
    <t>U4</t>
    <phoneticPr fontId="2"/>
  </si>
  <si>
    <t>U5</t>
    <phoneticPr fontId="2"/>
  </si>
  <si>
    <t>U6</t>
    <phoneticPr fontId="2"/>
  </si>
  <si>
    <t>U7</t>
    <phoneticPr fontId="2"/>
  </si>
  <si>
    <t>U8</t>
    <phoneticPr fontId="2"/>
  </si>
  <si>
    <t>U9</t>
    <phoneticPr fontId="2"/>
  </si>
  <si>
    <t>U10</t>
    <phoneticPr fontId="2"/>
  </si>
  <si>
    <t>採用形状</t>
    <rPh sb="0" eb="2">
      <t>サイヨウ</t>
    </rPh>
    <rPh sb="2" eb="4">
      <t>ケイジョウ</t>
    </rPh>
    <phoneticPr fontId="2"/>
  </si>
  <si>
    <t>デフォルト</t>
    <phoneticPr fontId="2"/>
  </si>
  <si>
    <t>-</t>
    <phoneticPr fontId="2"/>
  </si>
  <si>
    <t>資産分母
（対象階）</t>
    <rPh sb="0" eb="2">
      <t>シサン</t>
    </rPh>
    <rPh sb="2" eb="4">
      <t>ブンボ</t>
    </rPh>
    <rPh sb="6" eb="8">
      <t>タイショウ</t>
    </rPh>
    <rPh sb="8" eb="9">
      <t>カイ</t>
    </rPh>
    <phoneticPr fontId="2"/>
  </si>
  <si>
    <t>浸水深1</t>
    <rPh sb="0" eb="1">
      <t>シン</t>
    </rPh>
    <rPh sb="1" eb="3">
      <t>スイシン</t>
    </rPh>
    <phoneticPr fontId="2"/>
  </si>
  <si>
    <t>浸水深2</t>
    <rPh sb="0" eb="1">
      <t>シン</t>
    </rPh>
    <rPh sb="1" eb="3">
      <t>スイシン</t>
    </rPh>
    <phoneticPr fontId="2"/>
  </si>
  <si>
    <t>Macro
計算対象</t>
    <rPh sb="6" eb="8">
      <t>ケイサン</t>
    </rPh>
    <rPh sb="8" eb="10">
      <t>タイショウ</t>
    </rPh>
    <phoneticPr fontId="2"/>
  </si>
  <si>
    <t>浸水深１</t>
    <rPh sb="0" eb="1">
      <t>シン</t>
    </rPh>
    <rPh sb="1" eb="3">
      <t>スイシン</t>
    </rPh>
    <phoneticPr fontId="2"/>
  </si>
  <si>
    <t>浸水深２</t>
    <rPh sb="0" eb="1">
      <t>シン</t>
    </rPh>
    <rPh sb="1" eb="3">
      <t>スイシン</t>
    </rPh>
    <phoneticPr fontId="2"/>
  </si>
  <si>
    <t>Total</t>
    <phoneticPr fontId="2"/>
  </si>
  <si>
    <t>建物小計</t>
    <rPh sb="0" eb="2">
      <t>タテモノ</t>
    </rPh>
    <rPh sb="2" eb="4">
      <t>ショウケイ</t>
    </rPh>
    <phoneticPr fontId="2"/>
  </si>
  <si>
    <t>各階階高・資産分布（重みづけ係数）</t>
    <rPh sb="0" eb="2">
      <t>カクカイ</t>
    </rPh>
    <rPh sb="2" eb="4">
      <t>カイダカ</t>
    </rPh>
    <rPh sb="5" eb="7">
      <t>シサン</t>
    </rPh>
    <rPh sb="7" eb="9">
      <t>ブンプ</t>
    </rPh>
    <rPh sb="10" eb="11">
      <t>オモ</t>
    </rPh>
    <rPh sb="14" eb="16">
      <t>ケイスウ</t>
    </rPh>
    <phoneticPr fontId="2"/>
  </si>
  <si>
    <t>計算
No</t>
    <rPh sb="0" eb="2">
      <t>ケイサン</t>
    </rPh>
    <phoneticPr fontId="2"/>
  </si>
  <si>
    <t>ROW</t>
    <phoneticPr fontId="2"/>
  </si>
  <si>
    <t>被害関数
格納行</t>
    <rPh sb="0" eb="2">
      <t>ヒガイ</t>
    </rPh>
    <rPh sb="2" eb="4">
      <t>カンスウ</t>
    </rPh>
    <rPh sb="5" eb="7">
      <t>カクノウ</t>
    </rPh>
    <rPh sb="7" eb="8">
      <t>ギョウ</t>
    </rPh>
    <phoneticPr fontId="2"/>
  </si>
  <si>
    <t>Column</t>
    <phoneticPr fontId="2"/>
  </si>
  <si>
    <t>No.</t>
    <phoneticPr fontId="2"/>
  </si>
  <si>
    <t>計算
建物数</t>
    <rPh sb="0" eb="2">
      <t>ケイサン</t>
    </rPh>
    <rPh sb="3" eb="5">
      <t>タテモノ</t>
    </rPh>
    <rPh sb="5" eb="6">
      <t>スウ</t>
    </rPh>
    <phoneticPr fontId="2"/>
  </si>
  <si>
    <t>計算
設備数</t>
    <rPh sb="0" eb="2">
      <t>ケイサン</t>
    </rPh>
    <rPh sb="3" eb="5">
      <t>セツビ</t>
    </rPh>
    <rPh sb="5" eb="6">
      <t>スウ</t>
    </rPh>
    <phoneticPr fontId="2"/>
  </si>
  <si>
    <t>被害率
格納行</t>
    <rPh sb="0" eb="2">
      <t>ヒガイ</t>
    </rPh>
    <rPh sb="2" eb="3">
      <t>リツ</t>
    </rPh>
    <rPh sb="4" eb="6">
      <t>カクノウ</t>
    </rPh>
    <rPh sb="6" eb="7">
      <t>ギョウ</t>
    </rPh>
    <phoneticPr fontId="2"/>
  </si>
  <si>
    <t>保険価額</t>
    <rPh sb="0" eb="2">
      <t>ホケン</t>
    </rPh>
    <rPh sb="2" eb="4">
      <t>カガク</t>
    </rPh>
    <phoneticPr fontId="2"/>
  </si>
  <si>
    <t>建物</t>
  </si>
  <si>
    <t>設備・什器</t>
  </si>
  <si>
    <t>商品・材料</t>
  </si>
  <si>
    <t>屋外設備</t>
  </si>
  <si>
    <t>総計</t>
    <rPh sb="0" eb="2">
      <t>ソウケイ</t>
    </rPh>
    <phoneticPr fontId="2"/>
  </si>
  <si>
    <t>建屋別集計</t>
    <rPh sb="0" eb="2">
      <t>タテヤ</t>
    </rPh>
    <rPh sb="2" eb="3">
      <t>ベツ</t>
    </rPh>
    <rPh sb="3" eb="5">
      <t>シュウケイ</t>
    </rPh>
    <phoneticPr fontId="2"/>
  </si>
  <si>
    <t>種目別集計</t>
    <rPh sb="0" eb="2">
      <t>シュモク</t>
    </rPh>
    <rPh sb="2" eb="3">
      <t>ベツ</t>
    </rPh>
    <rPh sb="3" eb="5">
      <t>シュウケイ</t>
    </rPh>
    <phoneticPr fontId="2"/>
  </si>
  <si>
    <t>屋外設備別集計</t>
    <rPh sb="0" eb="2">
      <t>オクガイ</t>
    </rPh>
    <rPh sb="2" eb="4">
      <t>セツビ</t>
    </rPh>
    <rPh sb="4" eb="5">
      <t>ベツ</t>
    </rPh>
    <rPh sb="5" eb="7">
      <t>シュウケイ</t>
    </rPh>
    <phoneticPr fontId="2"/>
  </si>
  <si>
    <t>B20</t>
    <phoneticPr fontId="2"/>
  </si>
  <si>
    <t>被害額</t>
    <rPh sb="2" eb="3">
      <t>ガク</t>
    </rPh>
    <phoneticPr fontId="2"/>
  </si>
  <si>
    <t>被害率</t>
    <rPh sb="2" eb="3">
      <t>リツ</t>
    </rPh>
    <phoneticPr fontId="2"/>
  </si>
  <si>
    <t>被害率ベース</t>
    <rPh sb="2" eb="3">
      <t>リツ</t>
    </rPh>
    <phoneticPr fontId="2"/>
  </si>
  <si>
    <t>被害額ベース</t>
    <rPh sb="2" eb="3">
      <t>ガク</t>
    </rPh>
    <phoneticPr fontId="2"/>
  </si>
  <si>
    <t>被害率１</t>
    <rPh sb="2" eb="3">
      <t>リツ</t>
    </rPh>
    <phoneticPr fontId="2"/>
  </si>
  <si>
    <t>被害率２</t>
    <rPh sb="2" eb="3">
      <t>リツ</t>
    </rPh>
    <phoneticPr fontId="2"/>
  </si>
  <si>
    <t>被害関数作成用浸水深</t>
    <rPh sb="0" eb="2">
      <t>ヒガイ</t>
    </rPh>
    <rPh sb="2" eb="4">
      <t>カンスウ</t>
    </rPh>
    <rPh sb="4" eb="7">
      <t>サクセイヨウ</t>
    </rPh>
    <rPh sb="7" eb="8">
      <t>シン</t>
    </rPh>
    <rPh sb="8" eb="10">
      <t>スイシン</t>
    </rPh>
    <phoneticPr fontId="2"/>
  </si>
  <si>
    <t>max浸水深</t>
    <rPh sb="3" eb="4">
      <t>シン</t>
    </rPh>
    <rPh sb="4" eb="6">
      <t>スイシン</t>
    </rPh>
    <phoneticPr fontId="2"/>
  </si>
  <si>
    <t>max浸水深cm</t>
    <rPh sb="3" eb="4">
      <t>シン</t>
    </rPh>
    <rPh sb="4" eb="6">
      <t>スイシン</t>
    </rPh>
    <phoneticPr fontId="2"/>
  </si>
  <si>
    <t>係数d, d'</t>
    <rPh sb="0" eb="2">
      <t>ケイスウ</t>
    </rPh>
    <phoneticPr fontId="2"/>
  </si>
  <si>
    <t>係数e, e'</t>
    <rPh sb="0" eb="2">
      <t>ケイスウ</t>
    </rPh>
    <phoneticPr fontId="2"/>
  </si>
  <si>
    <t>※係数a',b',c',d',e'について</t>
    <rPh sb="1" eb="3">
      <t>ケイスウ</t>
    </rPh>
    <phoneticPr fontId="2"/>
  </si>
  <si>
    <t>係数d'</t>
    <rPh sb="0" eb="2">
      <t>ケイスウ</t>
    </rPh>
    <phoneticPr fontId="2"/>
  </si>
  <si>
    <t>係数e'</t>
    <rPh sb="0" eb="2">
      <t>ケイスウ</t>
    </rPh>
    <phoneticPr fontId="2"/>
  </si>
  <si>
    <t>各階の被害率を[ f(X) = a'X^4 + b'X^3 + c'X^2 + d'X + e' ]とする</t>
    <rPh sb="0" eb="1">
      <t>カク</t>
    </rPh>
    <rPh sb="1" eb="2">
      <t>カイ</t>
    </rPh>
    <rPh sb="3" eb="5">
      <t>ヒガイ</t>
    </rPh>
    <rPh sb="5" eb="6">
      <t>リツ</t>
    </rPh>
    <phoneticPr fontId="2"/>
  </si>
  <si>
    <t>B1</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</si>
  <si>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</si>
  <si>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</si>
  <si>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</si>
  <si>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</si>
  <si>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</si>
  <si>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</si>
  <si>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</si>
  <si>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</si>
  <si>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</si>
  <si>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</si>
  <si>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</si>
  <si>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</si>
  <si>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</si>
  <si>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</si>
  <si>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</si>
  <si>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</si>
  <si>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</si>
  <si>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</si>
  <si>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</si>
  <si>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</si>
  <si>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</si>
  <si>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</si>
  <si>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</si>
  <si>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</si>
  <si>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</si>
  <si>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</si>
  <si>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</si>
  <si>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</si>
  <si>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</si>
  <si>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</si>
  <si>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</si>
  <si>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</si>
  <si>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</si>
  <si>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</si>
  <si>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</si>
  <si>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</si>
  <si>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</si>
  <si>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</si>
  <si>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</si>
  <si>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</si>
  <si>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</si>
  <si>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</si>
  <si>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</si>
  <si>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</si>
  <si>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</si>
  <si>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</si>
  <si>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</si>
  <si>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</si>
  <si>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</si>
  <si>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</si>
  <si>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</si>
  <si>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B72</t>
  </si>
  <si>
    <t>B73</t>
  </si>
  <si>
    <t>B74</t>
  </si>
  <si>
    <t>B75</t>
  </si>
  <si>
    <t>B76</t>
  </si>
  <si>
    <t>B77</t>
  </si>
  <si>
    <t>B78</t>
  </si>
  <si>
    <t>B79</t>
  </si>
  <si>
    <t>B80</t>
  </si>
  <si>
    <t>B81</t>
  </si>
  <si>
    <t>B82</t>
  </si>
  <si>
    <t>B83</t>
  </si>
  <si>
    <t>B84</t>
  </si>
  <si>
    <t>B85</t>
  </si>
  <si>
    <t>B86</t>
  </si>
  <si>
    <t>B87</t>
  </si>
  <si>
    <t>B88</t>
  </si>
  <si>
    <t>B89</t>
  </si>
  <si>
    <t>B90</t>
  </si>
  <si>
    <t>B91</t>
  </si>
  <si>
    <t>B92</t>
  </si>
  <si>
    <t>B93</t>
  </si>
  <si>
    <t>B94</t>
  </si>
  <si>
    <t>B95</t>
  </si>
  <si>
    <t>B96</t>
  </si>
  <si>
    <t>B97</t>
  </si>
  <si>
    <t>B98</t>
  </si>
  <si>
    <t>B99</t>
  </si>
  <si>
    <t>B100</t>
  </si>
  <si>
    <t>B21</t>
    <phoneticPr fontId="2"/>
  </si>
  <si>
    <t>B22</t>
    <phoneticPr fontId="2"/>
  </si>
  <si>
    <t>B23</t>
    <phoneticPr fontId="2"/>
  </si>
  <si>
    <t>B24</t>
    <phoneticPr fontId="2"/>
  </si>
  <si>
    <t>B25</t>
    <phoneticPr fontId="2"/>
  </si>
  <si>
    <t>B26</t>
    <phoneticPr fontId="2"/>
  </si>
  <si>
    <t>B27</t>
    <phoneticPr fontId="2"/>
  </si>
  <si>
    <t>B28</t>
    <phoneticPr fontId="2"/>
  </si>
  <si>
    <t>B29</t>
    <phoneticPr fontId="2"/>
  </si>
  <si>
    <t>B30</t>
    <phoneticPr fontId="2"/>
  </si>
  <si>
    <t>B31</t>
    <phoneticPr fontId="2"/>
  </si>
  <si>
    <t>B32</t>
    <phoneticPr fontId="2"/>
  </si>
  <si>
    <t>B33</t>
    <phoneticPr fontId="2"/>
  </si>
  <si>
    <t>B34</t>
    <phoneticPr fontId="2"/>
  </si>
  <si>
    <t>B35</t>
    <phoneticPr fontId="2"/>
  </si>
  <si>
    <t>B36</t>
    <phoneticPr fontId="2"/>
  </si>
  <si>
    <t>B37</t>
    <phoneticPr fontId="2"/>
  </si>
  <si>
    <t>B38</t>
    <phoneticPr fontId="2"/>
  </si>
  <si>
    <t>B39</t>
    <phoneticPr fontId="2"/>
  </si>
  <si>
    <t>B40</t>
    <phoneticPr fontId="2"/>
  </si>
  <si>
    <t>B41</t>
    <phoneticPr fontId="2"/>
  </si>
  <si>
    <t>B42</t>
    <phoneticPr fontId="2"/>
  </si>
  <si>
    <t>B43</t>
    <phoneticPr fontId="2"/>
  </si>
  <si>
    <t>B44</t>
    <phoneticPr fontId="2"/>
  </si>
  <si>
    <t>B45</t>
    <phoneticPr fontId="2"/>
  </si>
  <si>
    <t>B46</t>
    <phoneticPr fontId="2"/>
  </si>
  <si>
    <t>B47</t>
    <phoneticPr fontId="2"/>
  </si>
  <si>
    <t>B48</t>
    <phoneticPr fontId="2"/>
  </si>
  <si>
    <t>B49</t>
    <phoneticPr fontId="2"/>
  </si>
  <si>
    <t>B50</t>
    <phoneticPr fontId="2"/>
  </si>
  <si>
    <t>B51</t>
    <phoneticPr fontId="2"/>
  </si>
  <si>
    <t>B52</t>
    <phoneticPr fontId="2"/>
  </si>
  <si>
    <t>B53</t>
    <phoneticPr fontId="2"/>
  </si>
  <si>
    <t>B54</t>
    <phoneticPr fontId="2"/>
  </si>
  <si>
    <t>B55</t>
    <phoneticPr fontId="2"/>
  </si>
  <si>
    <t>B56</t>
    <phoneticPr fontId="2"/>
  </si>
  <si>
    <t>B57</t>
    <phoneticPr fontId="2"/>
  </si>
  <si>
    <t>B58</t>
    <phoneticPr fontId="2"/>
  </si>
  <si>
    <t>B59</t>
    <phoneticPr fontId="2"/>
  </si>
  <si>
    <t>B60</t>
    <phoneticPr fontId="2"/>
  </si>
  <si>
    <t>B61</t>
    <phoneticPr fontId="2"/>
  </si>
  <si>
    <t>B62</t>
    <phoneticPr fontId="2"/>
  </si>
  <si>
    <t>B63</t>
    <phoneticPr fontId="2"/>
  </si>
  <si>
    <t>B64</t>
    <phoneticPr fontId="2"/>
  </si>
  <si>
    <t>B65</t>
    <phoneticPr fontId="2"/>
  </si>
  <si>
    <t>B66</t>
    <phoneticPr fontId="2"/>
  </si>
  <si>
    <t>B67</t>
    <phoneticPr fontId="2"/>
  </si>
  <si>
    <t>B68</t>
    <phoneticPr fontId="2"/>
  </si>
  <si>
    <t>B69</t>
    <phoneticPr fontId="2"/>
  </si>
  <si>
    <t>B70</t>
    <phoneticPr fontId="2"/>
  </si>
  <si>
    <t>B71</t>
    <phoneticPr fontId="2"/>
  </si>
  <si>
    <t>B72</t>
    <phoneticPr fontId="2"/>
  </si>
  <si>
    <t>B73</t>
    <phoneticPr fontId="2"/>
  </si>
  <si>
    <t>B74</t>
    <phoneticPr fontId="2"/>
  </si>
  <si>
    <t>B75</t>
    <phoneticPr fontId="2"/>
  </si>
  <si>
    <t>B76</t>
    <phoneticPr fontId="2"/>
  </si>
  <si>
    <t>B77</t>
    <phoneticPr fontId="2"/>
  </si>
  <si>
    <t>B78</t>
    <phoneticPr fontId="2"/>
  </si>
  <si>
    <t>B79</t>
    <phoneticPr fontId="2"/>
  </si>
  <si>
    <t>B80</t>
    <phoneticPr fontId="2"/>
  </si>
  <si>
    <t>B81</t>
    <phoneticPr fontId="2"/>
  </si>
  <si>
    <t>B82</t>
    <phoneticPr fontId="2"/>
  </si>
  <si>
    <t>B83</t>
    <phoneticPr fontId="2"/>
  </si>
  <si>
    <t>B84</t>
    <phoneticPr fontId="2"/>
  </si>
  <si>
    <t>B85</t>
    <phoneticPr fontId="2"/>
  </si>
  <si>
    <t>B86</t>
    <phoneticPr fontId="2"/>
  </si>
  <si>
    <t>B87</t>
    <phoneticPr fontId="2"/>
  </si>
  <si>
    <t>B88</t>
    <phoneticPr fontId="2"/>
  </si>
  <si>
    <t>B89</t>
    <phoneticPr fontId="2"/>
  </si>
  <si>
    <t>B90</t>
    <phoneticPr fontId="2"/>
  </si>
  <si>
    <t>B91</t>
    <phoneticPr fontId="2"/>
  </si>
  <si>
    <t>B92</t>
    <phoneticPr fontId="2"/>
  </si>
  <si>
    <t>B93</t>
    <phoneticPr fontId="2"/>
  </si>
  <si>
    <t>B94</t>
    <phoneticPr fontId="2"/>
  </si>
  <si>
    <t>B95</t>
    <phoneticPr fontId="2"/>
  </si>
  <si>
    <t>B96</t>
    <phoneticPr fontId="2"/>
  </si>
  <si>
    <t>B97</t>
    <phoneticPr fontId="2"/>
  </si>
  <si>
    <t>B98</t>
    <phoneticPr fontId="2"/>
  </si>
  <si>
    <t>B99</t>
    <phoneticPr fontId="2"/>
  </si>
  <si>
    <t>B100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</si>
</sst>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0&quot;階&quot;"/>
    <numFmt numFmtId="177" formatCode="0&quot;cm&quot;"/>
    <numFmt numFmtId="178" formatCode="&quot;地上&quot;0&quot;階&quot;"/>
    <numFmt numFmtId="179" formatCode="0.0%"/>
    <numFmt numFmtId="180" formatCode="0.000000_ "/>
    <numFmt numFmtId="181" formatCode="0.00_);[Red]\(0.00\)"/>
    <numFmt numFmtId="182" formatCode="0_);[Red]\(0\)"/>
    <numFmt numFmtId="183" formatCode="0_ "/>
    <numFmt numFmtId="184" formatCode="0.00000"/>
  </numFmts>
  <fonts count="10" x14ac:knownFonts="1">
    <font>
      <sz val="11"/>
      <name val="ＭＳ Ｐゴシック"/>
      <family val="3"/>
      <charset val="128"/>
    </font>
    <font>
      <sz val="11"/>
      <name val="ＭＳ Ｐゴシック"/>
      <family val="3"/>
      <charset val="128"/>
    </font>
    <font>
      <sz val="6"/>
      <name val="ＭＳ Ｐゴシック"/>
      <family val="3"/>
      <charset val="128"/>
    </font>
    <font>
      <sz val="11"/>
      <name val="ＭＳ Ｐゴシック"/>
      <family val="3"/>
      <charset val="128"/>
    </font>
    <font>
      <sz val="10"/>
      <name val="ＭＳ Ｐゴシック"/>
      <family val="3"/>
      <charset val="128"/>
    </font>
    <font>
      <sz val="11"/>
      <color theme="0"/>
      <name val="ＭＳ Ｐゴシック"/>
      <family val="3"/>
      <charset val="128"/>
    </font>
    <font>
      <sz val="11"/>
      <color rgb="FF000000"/>
      <name val="ＭＳ Ｐゴシック"/>
      <family val="3"/>
      <charset val="128"/>
    </font>
    <font>
      <sz val="20"/>
      <color rgb="FF000000"/>
      <name val="ＭＳ Ｐゴシック"/>
      <family val="3"/>
      <charset val="128"/>
    </font>
    <font>
      <sz val="8"/>
      <name val="ＭＳ Ｐゴシック"/>
      <family val="3"/>
      <charset val="128"/>
    </font>
    <font>
      <b/>
      <sz val="11"/>
      <color rgb="FFFF0000"/>
      <name val="ＭＳ Ｐゴシック"/>
      <family val="3"/>
      <charset val="128"/>
    </font>
  </fonts>
  <fills count="23">
    <fill>
      <patternFill patternType="none"/>
    </fill>
    <fill>
      <patternFill patternType="gray125"/>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theme="0" tint="-0.249977111117893"/>
        <bgColor indexed="64"/>
      </patternFill>
    </fill>
    <fill>
      <patternFill patternType="solid">
        <fgColor theme="9"/>
        <bgColor indexed="64"/>
      </patternFill>
    </fill>
    <fill>
      <patternFill patternType="solid">
        <fgColor theme="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tint="-0.499984740745262"/>
        <bgColor indexed="64"/>
      </patternFill>
    </fill>
    <fill>
      <patternFill patternType="solid">
        <fgColor theme="8"/>
        <bgColor indexed="64"/>
      </patternFill>
    </fill>
    <fill>
      <patternFill patternType="solid">
        <fgColor theme="1"/>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1" tint="4.9989318521683403E-2"/>
        <bgColor indexed="64"/>
      </patternFill>
    </fill>
    <fill>
      <patternFill patternType="solid">
        <fgColor theme="6" tint="0.79998168889431442"/>
        <bgColor indexed="64"/>
      </patternFill>
    </fill>
    <fill>
      <patternFill patternType="solid">
        <fgColor theme="4"/>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s>
  <cellStyleXfs count="3">
    <xf numFmtId="0" fontId="0" fillId="0" borderId="0"/>
    <xf numFmtId="9" fontId="1" fillId="0" borderId="0" applyFont="0" applyFill="0" applyBorder="0" applyAlignment="0" applyProtection="0"/>
    <xf numFmtId="38" fontId="1" fillId="0" borderId="0" applyFont="0" applyFill="0" applyBorder="0" applyAlignment="0" applyProtection="0"/>
  </cellStyleXfs>
  <cellXfs count="214">
    <xf numFmtId="0" fontId="0" fillId="0" borderId="0" xfId="0"/>
    <xf numFmtId="0" fontId="4" fillId="0" borderId="0" xfId="0" applyFont="1"/>
    <xf numFmtId="0" fontId="4" fillId="2" borderId="1" xfId="0" applyFont="1" applyFill="1" applyBorder="1"/>
    <xf numFmtId="0" fontId="4" fillId="0" borderId="1" xfId="0" applyFont="1" applyBorder="1"/>
    <xf numFmtId="0" fontId="0" fillId="0" borderId="1" xfId="0" applyBorder="1" applyAlignment="1">
      <alignment horizontal="center" vertical="center" shrinkToFit="1"/>
    </xf>
    <xf numFmtId="0" fontId="0" fillId="0" borderId="0" xfId="0" applyAlignment="1">
      <alignment shrinkToFit="1"/>
    </xf>
    <xf numFmtId="0" fontId="0" fillId="0" borderId="1" xfId="0" applyBorder="1" applyAlignment="1">
      <alignment horizontal="right" shrinkToFit="1"/>
    </xf>
    <xf numFmtId="0" fontId="0" fillId="0" borderId="1" xfId="0" applyBorder="1" applyAlignment="1">
      <alignment horizontal="center" shrinkToFit="1"/>
    </xf>
    <xf numFmtId="178" fontId="0" fillId="0" borderId="1" xfId="0" applyNumberFormat="1" applyBorder="1" applyAlignment="1">
      <alignment horizontal="center" shrinkToFit="1"/>
    </xf>
    <xf numFmtId="179" fontId="0" fillId="0" borderId="1" xfId="0" applyNumberFormat="1" applyBorder="1" applyAlignment="1">
      <alignment shrinkToFit="1"/>
    </xf>
    <xf numFmtId="177" fontId="0" fillId="0" borderId="1" xfId="0" applyNumberFormat="1" applyBorder="1" applyAlignment="1">
      <alignment horizontal="center" shrinkToFit="1"/>
    </xf>
    <xf numFmtId="9" fontId="0" fillId="0" borderId="1" xfId="0" applyNumberFormat="1" applyBorder="1" applyAlignment="1">
      <alignment horizontal="center" shrinkToFit="1"/>
    </xf>
    <xf numFmtId="0" fontId="4" fillId="3" borderId="1" xfId="0" applyFont="1" applyFill="1" applyBorder="1"/>
    <xf numFmtId="0" fontId="0" fillId="2" borderId="1" xfId="0" applyFill="1" applyBorder="1" applyAlignment="1">
      <alignment horizontal="center" vertical="center" shrinkToFit="1"/>
    </xf>
    <xf numFmtId="180" fontId="0" fillId="2" borderId="1" xfId="0" applyNumberFormat="1" applyFill="1" applyBorder="1" applyAlignment="1">
      <alignment horizontal="right" shrinkToFit="1"/>
    </xf>
    <xf numFmtId="0" fontId="0" fillId="2" borderId="1" xfId="0" applyFill="1" applyBorder="1" applyAlignment="1">
      <alignment horizontal="center" shrinkToFit="1"/>
    </xf>
    <xf numFmtId="0" fontId="0" fillId="2" borderId="1" xfId="0" applyFill="1" applyBorder="1" applyAlignment="1">
      <alignment horizontal="center" vertical="center" shrinkToFit="1"/>
    </xf>
    <xf numFmtId="0" fontId="0" fillId="2" borderId="1" xfId="0" applyFill="1" applyBorder="1" applyAlignment="1">
      <alignment horizontal="center" shrinkToFit="1"/>
    </xf>
    <xf numFmtId="179" fontId="0" fillId="0" borderId="1" xfId="0" applyNumberFormat="1" applyBorder="1" applyAlignment="1">
      <alignment horizontal="center" shrinkToFit="1"/>
    </xf>
    <xf numFmtId="177" fontId="0" fillId="2" borderId="1" xfId="0" applyNumberFormat="1" applyFill="1" applyBorder="1" applyAlignment="1">
      <alignment horizontal="center" shrinkToFit="1"/>
    </xf>
    <xf numFmtId="0" fontId="0" fillId="4" borderId="1" xfId="0" applyFill="1" applyBorder="1" applyAlignment="1">
      <alignment horizontal="center" shrinkToFit="1"/>
    </xf>
    <xf numFmtId="179" fontId="0" fillId="0" borderId="1" xfId="1" applyNumberFormat="1" applyFont="1" applyBorder="1" applyAlignment="1">
      <alignment horizontal="center" shrinkToFit="1"/>
    </xf>
    <xf numFmtId="0" fontId="4" fillId="2" borderId="1" xfId="0" applyFont="1" applyFill="1" applyBorder="1" applyAlignment="1">
      <alignment horizontal="center"/>
    </xf>
    <xf numFmtId="0" fontId="4" fillId="2" borderId="2" xfId="0" applyFont="1" applyFill="1" applyBorder="1" applyAlignment="1">
      <alignment horizontal="center"/>
    </xf>
    <xf numFmtId="0" fontId="0" fillId="4" borderId="1" xfId="0" applyFill="1" applyBorder="1" applyAlignment="1">
      <alignment horizontal="center" shrinkToFit="1"/>
    </xf>
    <xf numFmtId="0" fontId="0" fillId="0" borderId="3" xfId="0" applyBorder="1" applyAlignment="1">
      <alignment horizontal="right" shrinkToFit="1"/>
    </xf>
    <xf numFmtId="0" fontId="0" fillId="2" borderId="1" xfId="0" applyFill="1" applyBorder="1" applyAlignment="1">
      <alignment horizontal="center" vertical="center" shrinkToFit="1"/>
    </xf>
    <xf numFmtId="0" fontId="0" fillId="2" borderId="1" xfId="0" applyFill="1" applyBorder="1" applyAlignment="1">
      <alignment horizontal="center" shrinkToFit="1"/>
    </xf>
    <xf numFmtId="0" fontId="0" fillId="0" borderId="1" xfId="0" applyBorder="1" applyAlignment="1">
      <alignment vertical="center" shrinkToFit="1"/>
    </xf>
    <xf numFmtId="179" fontId="0" fillId="0" borderId="1" xfId="1" applyNumberFormat="1" applyFont="1" applyBorder="1" applyAlignment="1">
      <alignment shrinkToFit="1"/>
    </xf>
    <xf numFmtId="38" fontId="0" fillId="0" borderId="1" xfId="2" applyFont="1" applyBorder="1" applyAlignment="1">
      <alignment shrinkToFit="1"/>
    </xf>
    <xf numFmtId="38" fontId="0" fillId="0" borderId="1" xfId="0" applyNumberFormat="1" applyBorder="1" applyAlignment="1">
      <alignment shrinkToFit="1"/>
    </xf>
    <xf numFmtId="0" fontId="0" fillId="4" borderId="1" xfId="0" applyFill="1" applyBorder="1" applyAlignment="1">
      <alignment horizontal="center" vertical="center" shrinkToFit="1"/>
    </xf>
    <xf numFmtId="0" fontId="0" fillId="0" borderId="1" xfId="0" applyBorder="1" applyAlignment="1">
      <alignment horizontal="right" vertical="center" shrinkToFit="1"/>
    </xf>
    <xf numFmtId="0" fontId="0" fillId="2" borderId="1" xfId="0" applyFill="1" applyBorder="1" applyAlignment="1">
      <alignment horizontal="center" vertical="center"/>
    </xf>
    <xf numFmtId="176" fontId="0" fillId="2" borderId="1" xfId="0" applyNumberFormat="1" applyFill="1" applyBorder="1" applyAlignment="1">
      <alignment horizontal="right" vertical="center" shrinkToFit="1"/>
    </xf>
    <xf numFmtId="177" fontId="0" fillId="2" borderId="1" xfId="0" applyNumberFormat="1" applyFill="1" applyBorder="1" applyAlignment="1">
      <alignment vertical="center" shrinkToFit="1"/>
    </xf>
    <xf numFmtId="38" fontId="3" fillId="2" borderId="1" xfId="2" applyFont="1" applyFill="1" applyBorder="1" applyAlignment="1">
      <alignment horizontal="right" vertical="center" shrinkToFit="1"/>
    </xf>
    <xf numFmtId="177" fontId="0" fillId="0" borderId="1" xfId="0" applyNumberFormat="1" applyFill="1" applyBorder="1" applyAlignment="1">
      <alignment shrinkToFit="1"/>
    </xf>
    <xf numFmtId="177" fontId="0" fillId="2" borderId="1" xfId="0" applyNumberFormat="1" applyFill="1" applyBorder="1" applyAlignment="1">
      <alignment shrinkToFit="1"/>
    </xf>
    <xf numFmtId="0" fontId="0" fillId="0" borderId="1" xfId="0" applyBorder="1"/>
    <xf numFmtId="0" fontId="4" fillId="0" borderId="1" xfId="0" applyFont="1" applyFill="1" applyBorder="1"/>
    <xf numFmtId="0" fontId="0" fillId="2" borderId="1" xfId="0" applyFill="1" applyBorder="1"/>
    <xf numFmtId="0" fontId="0" fillId="0" borderId="4" xfId="0" applyBorder="1" applyAlignment="1">
      <alignment vertical="center" shrinkToFit="1"/>
    </xf>
    <xf numFmtId="0" fontId="0" fillId="2" borderId="3" xfId="0" applyFill="1" applyBorder="1" applyAlignment="1">
      <alignment horizontal="center" shrinkToFit="1"/>
    </xf>
    <xf numFmtId="178" fontId="0" fillId="0" borderId="3" xfId="0" applyNumberFormat="1" applyBorder="1" applyAlignment="1">
      <alignment horizontal="center" shrinkToFit="1"/>
    </xf>
    <xf numFmtId="0" fontId="0" fillId="0" borderId="3" xfId="0" applyBorder="1" applyAlignment="1">
      <alignment horizontal="center" shrinkToFit="1"/>
    </xf>
    <xf numFmtId="0" fontId="0" fillId="0" borderId="0" xfId="0" applyBorder="1" applyAlignment="1">
      <alignment vertical="center" shrinkToFit="1"/>
    </xf>
    <xf numFmtId="0" fontId="0" fillId="0" borderId="3" xfId="0" applyBorder="1" applyAlignment="1">
      <alignment horizontal="right"/>
    </xf>
    <xf numFmtId="0" fontId="0" fillId="0" borderId="1" xfId="0" applyBorder="1" applyAlignment="1">
      <alignment horizontal="center"/>
    </xf>
    <xf numFmtId="0" fontId="0" fillId="2" borderId="0" xfId="0" applyFont="1" applyFill="1"/>
    <xf numFmtId="0" fontId="0" fillId="5" borderId="0" xfId="0" applyFill="1"/>
    <xf numFmtId="178" fontId="0" fillId="2" borderId="1" xfId="0" applyNumberFormat="1" applyFill="1" applyBorder="1" applyAlignment="1">
      <alignment horizontal="center" shrinkToFit="1"/>
    </xf>
    <xf numFmtId="0" fontId="5" fillId="7" borderId="1" xfId="0" applyFont="1" applyFill="1" applyBorder="1" applyAlignment="1">
      <alignment horizontal="center" vertical="center"/>
    </xf>
    <xf numFmtId="0" fontId="5" fillId="6" borderId="1" xfId="0" applyFont="1" applyFill="1" applyBorder="1" applyAlignment="1">
      <alignment horizontal="center" shrinkToFit="1"/>
    </xf>
    <xf numFmtId="177" fontId="0" fillId="10" borderId="1" xfId="0" applyNumberFormat="1" applyFill="1" applyBorder="1" applyAlignment="1">
      <alignment horizontal="right" shrinkToFit="1"/>
    </xf>
    <xf numFmtId="176" fontId="0" fillId="2" borderId="1" xfId="0" applyNumberFormat="1" applyFill="1" applyBorder="1" applyAlignment="1">
      <alignment horizontal="center" shrinkToFit="1"/>
    </xf>
    <xf numFmtId="177" fontId="0" fillId="2" borderId="1" xfId="0" applyNumberFormat="1" applyFill="1" applyBorder="1" applyAlignment="1">
      <alignment horizontal="right" vertical="center" shrinkToFit="1"/>
    </xf>
    <xf numFmtId="0" fontId="0" fillId="2" borderId="0" xfId="0" applyFill="1"/>
    <xf numFmtId="0" fontId="0" fillId="4" borderId="1" xfId="0" applyFill="1" applyBorder="1" applyAlignment="1">
      <alignment horizontal="right" vertical="center" shrinkToFit="1"/>
    </xf>
    <xf numFmtId="0" fontId="0" fillId="4" borderId="1" xfId="0" applyFill="1" applyBorder="1" applyAlignment="1">
      <alignment horizontal="left" vertical="center" shrinkToFit="1"/>
    </xf>
    <xf numFmtId="0" fontId="0" fillId="2" borderId="1" xfId="0" applyFill="1" applyBorder="1" applyAlignment="1">
      <alignment horizontal="center"/>
    </xf>
    <xf numFmtId="177" fontId="0" fillId="2" borderId="1" xfId="0" applyNumberFormat="1" applyFill="1" applyBorder="1" applyAlignment="1">
      <alignment horizontal="right" shrinkToFit="1"/>
    </xf>
    <xf numFmtId="179" fontId="0" fillId="2" borderId="1" xfId="0" applyNumberFormat="1" applyFill="1" applyBorder="1" applyAlignment="1">
      <alignment horizontal="right" shrinkToFit="1"/>
    </xf>
    <xf numFmtId="0" fontId="0" fillId="2" borderId="1" xfId="0" applyFill="1" applyBorder="1" applyAlignment="1">
      <alignment horizontal="right" shrinkToFit="1"/>
    </xf>
    <xf numFmtId="179" fontId="3" fillId="2" borderId="1" xfId="1" applyNumberFormat="1" applyFont="1" applyFill="1" applyBorder="1" applyAlignment="1">
      <alignment horizontal="right" shrinkToFit="1"/>
    </xf>
    <xf numFmtId="0" fontId="5" fillId="11" borderId="0" xfId="0" applyFont="1" applyFill="1" applyBorder="1" applyAlignment="1">
      <alignment horizontal="center"/>
    </xf>
    <xf numFmtId="9" fontId="3" fillId="2" borderId="1" xfId="1" applyFont="1" applyFill="1" applyBorder="1"/>
    <xf numFmtId="179" fontId="3" fillId="2" borderId="1" xfId="1" applyNumberFormat="1" applyFont="1" applyFill="1" applyBorder="1"/>
    <xf numFmtId="179" fontId="0" fillId="0" borderId="1" xfId="1" applyNumberFormat="1" applyFont="1" applyBorder="1"/>
    <xf numFmtId="0" fontId="0" fillId="0" borderId="1" xfId="0" applyFill="1" applyBorder="1" applyAlignment="1">
      <alignment horizontal="center" shrinkToFit="1"/>
    </xf>
    <xf numFmtId="176" fontId="0" fillId="0" borderId="1" xfId="0" applyNumberFormat="1" applyFill="1" applyBorder="1" applyAlignment="1">
      <alignment horizontal="left" shrinkToFit="1"/>
    </xf>
    <xf numFmtId="177" fontId="0" fillId="0" borderId="1" xfId="0" applyNumberFormat="1" applyFill="1" applyBorder="1" applyAlignment="1">
      <alignment horizontal="right" shrinkToFit="1"/>
    </xf>
    <xf numFmtId="179" fontId="0" fillId="0" borderId="1" xfId="1" applyNumberFormat="1" applyFont="1" applyFill="1" applyBorder="1" applyAlignment="1">
      <alignment horizontal="right" shrinkToFit="1"/>
    </xf>
    <xf numFmtId="179" fontId="0" fillId="0" borderId="0" xfId="0" applyNumberFormat="1" applyAlignment="1">
      <alignment shrinkToFit="1"/>
    </xf>
    <xf numFmtId="177" fontId="0" fillId="13" borderId="1" xfId="0" applyNumberFormat="1" applyFill="1" applyBorder="1" applyAlignment="1">
      <alignment shrinkToFit="1"/>
    </xf>
    <xf numFmtId="179" fontId="0" fillId="13" borderId="1" xfId="0" applyNumberFormat="1" applyFill="1" applyBorder="1" applyAlignment="1">
      <alignment shrinkToFit="1"/>
    </xf>
    <xf numFmtId="179" fontId="3" fillId="13" borderId="1" xfId="1" applyNumberFormat="1" applyFont="1" applyFill="1" applyBorder="1" applyAlignment="1">
      <alignment shrinkToFit="1"/>
    </xf>
    <xf numFmtId="38" fontId="3" fillId="13" borderId="1" xfId="2" applyFont="1" applyFill="1" applyBorder="1" applyAlignment="1">
      <alignment shrinkToFit="1"/>
    </xf>
    <xf numFmtId="38" fontId="0" fillId="13" borderId="1" xfId="0" applyNumberFormat="1" applyFill="1" applyBorder="1" applyAlignment="1">
      <alignment shrinkToFit="1"/>
    </xf>
    <xf numFmtId="177" fontId="0" fillId="0" borderId="1" xfId="0" applyNumberFormat="1" applyFill="1" applyBorder="1" applyAlignment="1">
      <alignment vertical="center" shrinkToFit="1"/>
    </xf>
    <xf numFmtId="38" fontId="0" fillId="0" borderId="1" xfId="0" applyNumberFormat="1" applyBorder="1"/>
    <xf numFmtId="38" fontId="0" fillId="0" borderId="1" xfId="2" applyFont="1" applyFill="1" applyBorder="1" applyAlignment="1">
      <alignment vertical="center" shrinkToFit="1"/>
    </xf>
    <xf numFmtId="38" fontId="0" fillId="0" borderId="1" xfId="0" applyNumberFormat="1" applyBorder="1" applyAlignment="1">
      <alignment vertical="center"/>
    </xf>
    <xf numFmtId="179" fontId="0" fillId="0" borderId="1" xfId="0" applyNumberFormat="1" applyBorder="1" applyAlignment="1">
      <alignment vertical="center"/>
    </xf>
    <xf numFmtId="0" fontId="0" fillId="15" borderId="0" xfId="0" applyFill="1"/>
    <xf numFmtId="38" fontId="3" fillId="15" borderId="0" xfId="2" applyFont="1" applyFill="1"/>
    <xf numFmtId="0" fontId="0" fillId="17" borderId="0" xfId="0" applyFill="1"/>
    <xf numFmtId="38" fontId="3" fillId="17" borderId="0" xfId="2" applyFont="1" applyFill="1"/>
    <xf numFmtId="0" fontId="0" fillId="0" borderId="3" xfId="0" applyBorder="1" applyAlignment="1">
      <alignment vertical="center" shrinkToFit="1"/>
    </xf>
    <xf numFmtId="179" fontId="0" fillId="19" borderId="0" xfId="1" applyNumberFormat="1" applyFont="1" applyFill="1"/>
    <xf numFmtId="179" fontId="0" fillId="0" borderId="0" xfId="1" applyNumberFormat="1" applyFont="1"/>
    <xf numFmtId="179" fontId="0" fillId="16" borderId="0" xfId="1" applyNumberFormat="1" applyFont="1" applyFill="1"/>
    <xf numFmtId="179" fontId="0" fillId="18" borderId="0" xfId="1" applyNumberFormat="1" applyFont="1" applyFill="1"/>
    <xf numFmtId="0" fontId="5" fillId="20" borderId="1" xfId="0" applyFont="1" applyFill="1" applyBorder="1" applyAlignment="1">
      <alignment vertical="center"/>
    </xf>
    <xf numFmtId="0" fontId="0" fillId="0" borderId="0" xfId="0" applyAlignment="1">
      <alignment vertical="center"/>
    </xf>
    <xf numFmtId="0" fontId="0" fillId="8" borderId="1" xfId="0" applyFill="1" applyBorder="1" applyAlignment="1" applyProtection="1">
      <alignment horizontal="center"/>
      <protection locked="0"/>
    </xf>
    <xf numFmtId="0" fontId="0" fillId="8" borderId="1" xfId="0" applyFill="1" applyBorder="1" applyAlignment="1" applyProtection="1">
      <alignment horizontal="left" vertical="center" shrinkToFit="1"/>
      <protection locked="0"/>
    </xf>
    <xf numFmtId="176" fontId="0" fillId="8" borderId="1" xfId="0" applyNumberFormat="1" applyFill="1" applyBorder="1" applyAlignment="1" applyProtection="1">
      <alignment horizontal="right" vertical="center" shrinkToFit="1"/>
      <protection locked="0"/>
    </xf>
    <xf numFmtId="177" fontId="0" fillId="8" borderId="1" xfId="0" applyNumberFormat="1" applyFill="1" applyBorder="1" applyAlignment="1" applyProtection="1">
      <alignment vertical="center" shrinkToFit="1"/>
      <protection locked="0"/>
    </xf>
    <xf numFmtId="0" fontId="0" fillId="8" borderId="1" xfId="0" applyFill="1" applyBorder="1" applyAlignment="1" applyProtection="1">
      <alignment horizontal="center" vertical="center" shrinkToFit="1"/>
      <protection locked="0"/>
    </xf>
    <xf numFmtId="0" fontId="0" fillId="9" borderId="1" xfId="0" applyFill="1" applyBorder="1" applyAlignment="1" applyProtection="1">
      <alignment horizontal="center"/>
      <protection locked="0"/>
    </xf>
    <xf numFmtId="177" fontId="0" fillId="12" borderId="1" xfId="0" applyNumberFormat="1" applyFill="1" applyBorder="1" applyAlignment="1" applyProtection="1">
      <alignment horizontal="right" shrinkToFit="1"/>
      <protection locked="0"/>
    </xf>
    <xf numFmtId="177" fontId="0" fillId="10" borderId="1" xfId="0" applyNumberFormat="1" applyFill="1" applyBorder="1" applyAlignment="1" applyProtection="1">
      <alignment horizontal="right" shrinkToFit="1"/>
      <protection locked="0"/>
    </xf>
    <xf numFmtId="181" fontId="0" fillId="10" borderId="1" xfId="0" applyNumberFormat="1" applyFill="1" applyBorder="1" applyAlignment="1" applyProtection="1">
      <alignment horizontal="right" shrinkToFit="1"/>
      <protection locked="0"/>
    </xf>
    <xf numFmtId="181" fontId="0" fillId="12" borderId="1" xfId="0" applyNumberFormat="1" applyFill="1" applyBorder="1" applyAlignment="1" applyProtection="1">
      <alignment horizontal="right" shrinkToFit="1"/>
      <protection locked="0"/>
    </xf>
    <xf numFmtId="181" fontId="3" fillId="10" borderId="1" xfId="1" applyNumberFormat="1" applyFont="1" applyFill="1" applyBorder="1" applyAlignment="1" applyProtection="1">
      <alignment horizontal="right" shrinkToFit="1"/>
      <protection locked="0"/>
    </xf>
    <xf numFmtId="0" fontId="0" fillId="0" borderId="0" xfId="0" applyProtection="1">
      <protection locked="0"/>
    </xf>
    <xf numFmtId="0" fontId="0" fillId="14" borderId="1" xfId="0" applyFill="1" applyBorder="1" applyAlignment="1" applyProtection="1">
      <alignment horizontal="center" shrinkToFit="1"/>
      <protection locked="0"/>
    </xf>
    <xf numFmtId="0" fontId="0" fillId="21" borderId="0" xfId="0" applyFill="1"/>
    <xf numFmtId="0" fontId="0" fillId="0" borderId="5" xfId="0" applyBorder="1" applyAlignment="1">
      <alignment vertical="center" shrinkToFit="1"/>
    </xf>
    <xf numFmtId="0" fontId="0" fillId="0" borderId="5" xfId="0" applyBorder="1" applyAlignment="1">
      <alignment shrinkToFit="1"/>
    </xf>
    <xf numFmtId="0" fontId="0" fillId="0" borderId="6" xfId="0" applyBorder="1" applyAlignment="1">
      <alignment shrinkToFit="1"/>
    </xf>
    <xf numFmtId="0" fontId="0" fillId="0" borderId="3" xfId="0" applyBorder="1" applyAlignment="1">
      <alignment shrinkToFit="1"/>
    </xf>
    <xf numFmtId="38" fontId="0" fillId="0" borderId="3" xfId="0" applyNumberFormat="1" applyBorder="1" applyAlignment="1">
      <alignment vertical="center" shrinkToFit="1"/>
    </xf>
    <xf numFmtId="0" fontId="0" fillId="0" borderId="5" xfId="0" applyFill="1" applyBorder="1" applyAlignment="1">
      <alignment shrinkToFit="1"/>
    </xf>
    <xf numFmtId="0" fontId="0" fillId="0" borderId="3" xfId="0" applyFill="1" applyBorder="1" applyAlignment="1">
      <alignment shrinkToFit="1"/>
    </xf>
    <xf numFmtId="0" fontId="0" fillId="0" borderId="5" xfId="0" applyFill="1" applyBorder="1" applyAlignment="1">
      <alignment horizontal="left" shrinkToFit="1"/>
    </xf>
    <xf numFmtId="182" fontId="0" fillId="2" borderId="0" xfId="0" applyNumberFormat="1" applyFill="1"/>
    <xf numFmtId="182" fontId="0" fillId="0" borderId="0" xfId="0" applyNumberFormat="1"/>
    <xf numFmtId="38" fontId="0" fillId="21" borderId="0" xfId="2" applyFont="1" applyFill="1"/>
    <xf numFmtId="38" fontId="0" fillId="13" borderId="0" xfId="2" applyFont="1" applyFill="1"/>
    <xf numFmtId="177" fontId="0" fillId="0" borderId="4" xfId="0" applyNumberFormat="1" applyFill="1" applyBorder="1" applyAlignment="1">
      <alignment shrinkToFit="1"/>
    </xf>
    <xf numFmtId="0" fontId="0" fillId="9" borderId="1" xfId="0" applyFill="1" applyBorder="1"/>
    <xf numFmtId="38" fontId="0" fillId="9" borderId="1" xfId="2" applyFont="1" applyFill="1" applyBorder="1"/>
    <xf numFmtId="179" fontId="0" fillId="9" borderId="1" xfId="1" applyNumberFormat="1" applyFont="1" applyFill="1" applyBorder="1"/>
    <xf numFmtId="177" fontId="0" fillId="0" borderId="7" xfId="0" applyNumberFormat="1" applyFill="1" applyBorder="1" applyAlignment="1">
      <alignment shrinkToFit="1"/>
    </xf>
    <xf numFmtId="182" fontId="0" fillId="2" borderId="1" xfId="0" applyNumberFormat="1" applyFill="1" applyBorder="1"/>
    <xf numFmtId="38" fontId="1" fillId="8" borderId="1" xfId="2" applyFont="1" applyFill="1" applyBorder="1" applyAlignment="1" applyProtection="1">
      <alignment horizontal="right" vertical="center" shrinkToFit="1"/>
      <protection locked="0"/>
    </xf>
    <xf numFmtId="0" fontId="0" fillId="2" borderId="1" xfId="0" applyFill="1" applyBorder="1" applyAlignment="1">
      <alignment horizontal="center"/>
    </xf>
    <xf numFmtId="0" fontId="0" fillId="2" borderId="1" xfId="0" applyFill="1" applyBorder="1" applyAlignment="1">
      <alignment horizontal="center" shrinkToFit="1"/>
    </xf>
    <xf numFmtId="0" fontId="0" fillId="2" borderId="1" xfId="0" applyFill="1" applyBorder="1" applyAlignment="1">
      <alignment horizontal="center" vertical="center" shrinkToFit="1"/>
    </xf>
    <xf numFmtId="0" fontId="0" fillId="2" borderId="1" xfId="0" applyFill="1" applyBorder="1" applyAlignment="1">
      <alignment horizontal="center" shrinkToFit="1"/>
    </xf>
    <xf numFmtId="0" fontId="5" fillId="22" borderId="1" xfId="0" applyFont="1" applyFill="1" applyBorder="1" applyAlignment="1">
      <alignment horizontal="center" vertical="center"/>
    </xf>
    <xf numFmtId="38" fontId="3" fillId="15" borderId="1" xfId="2" applyFont="1" applyFill="1" applyBorder="1"/>
    <xf numFmtId="179" fontId="3" fillId="15" borderId="1" xfId="1" applyNumberFormat="1" applyFont="1" applyFill="1" applyBorder="1"/>
    <xf numFmtId="38" fontId="0" fillId="15" borderId="1" xfId="0" applyNumberFormat="1" applyFill="1" applyBorder="1" applyAlignment="1">
      <alignment vertical="center"/>
    </xf>
    <xf numFmtId="179" fontId="0" fillId="15" borderId="1" xfId="1" applyNumberFormat="1" applyFont="1" applyFill="1" applyBorder="1" applyAlignment="1">
      <alignment vertical="center"/>
    </xf>
    <xf numFmtId="0" fontId="5" fillId="7" borderId="1" xfId="0" applyFont="1" applyFill="1" applyBorder="1" applyAlignment="1">
      <alignment horizontal="center"/>
    </xf>
    <xf numFmtId="177" fontId="0" fillId="0" borderId="1" xfId="0" applyNumberFormat="1" applyFill="1" applyBorder="1" applyAlignment="1" applyProtection="1">
      <alignment shrinkToFit="1"/>
      <protection locked="0"/>
    </xf>
    <xf numFmtId="177" fontId="0" fillId="8" borderId="1" xfId="0" applyNumberFormat="1" applyFill="1" applyBorder="1" applyAlignment="1" applyProtection="1">
      <alignment shrinkToFit="1"/>
      <protection locked="0"/>
    </xf>
    <xf numFmtId="0" fontId="8" fillId="2" borderId="1" xfId="0" applyFont="1" applyFill="1" applyBorder="1"/>
    <xf numFmtId="183" fontId="0" fillId="2" borderId="1" xfId="0" applyNumberFormat="1" applyFill="1" applyBorder="1" applyAlignment="1">
      <alignment horizontal="right" shrinkToFit="1"/>
    </xf>
    <xf numFmtId="184" fontId="4" fillId="0" borderId="1" xfId="0" applyNumberFormat="1" applyFont="1" applyBorder="1"/>
    <xf numFmtId="0" fontId="0" fillId="2" borderId="1" xfId="0" applyFill="1" applyBorder="1" applyAlignment="1">
      <alignment horizontal="center" shrinkToFit="1"/>
    </xf>
    <xf numFmtId="0" fontId="0" fillId="2" borderId="1" xfId="0" applyFill="1" applyBorder="1" applyAlignment="1">
      <alignment horizontal="center"/>
    </xf>
    <xf numFmtId="0" fontId="0" fillId="2" borderId="1" xfId="0" applyFill="1" applyBorder="1" applyAlignment="1">
      <alignment horizontal="center" vertical="center"/>
    </xf>
    <xf numFmtId="0" fontId="0" fillId="0" borderId="1" xfId="0" applyBorder="1" applyAlignment="1">
      <alignment horizontal="center" vertical="center" shrinkToFit="1"/>
    </xf>
    <xf numFmtId="0" fontId="0" fillId="2" borderId="1" xfId="0" applyFill="1" applyBorder="1" applyAlignment="1">
      <alignment horizontal="center" shrinkToFit="1"/>
    </xf>
    <xf numFmtId="0" fontId="0" fillId="2" borderId="1" xfId="0" applyFill="1" applyBorder="1" applyAlignment="1">
      <alignment horizontal="center" vertical="center" shrinkToFit="1"/>
    </xf>
    <xf numFmtId="0" fontId="9" fillId="0" borderId="0" xfId="0" applyFont="1"/>
    <xf numFmtId="0" fontId="5" fillId="7" borderId="1" xfId="0" applyFont="1" applyFill="1" applyBorder="1" applyAlignment="1">
      <alignment horizontal="center" vertical="center"/>
    </xf>
    <xf numFmtId="0" fontId="5" fillId="7" borderId="8" xfId="0" applyFont="1" applyFill="1" applyBorder="1" applyAlignment="1">
      <alignment horizontal="center" vertical="center" wrapText="1"/>
    </xf>
    <xf numFmtId="0" fontId="5" fillId="7" borderId="9" xfId="0" applyFont="1" applyFill="1" applyBorder="1" applyAlignment="1">
      <alignment horizontal="center" vertical="center" wrapText="1"/>
    </xf>
    <xf numFmtId="0" fontId="5" fillId="7" borderId="10" xfId="0" applyFont="1" applyFill="1" applyBorder="1" applyAlignment="1">
      <alignment horizontal="center" vertical="center" wrapText="1"/>
    </xf>
    <xf numFmtId="0" fontId="5" fillId="7" borderId="8" xfId="0" applyFont="1" applyFill="1" applyBorder="1" applyAlignment="1">
      <alignment horizontal="center" vertical="center"/>
    </xf>
    <xf numFmtId="0" fontId="5" fillId="7" borderId="13" xfId="0" applyFont="1" applyFill="1" applyBorder="1" applyAlignment="1">
      <alignment horizontal="center" vertical="center"/>
    </xf>
    <xf numFmtId="0" fontId="5" fillId="7" borderId="10" xfId="0" applyFont="1" applyFill="1" applyBorder="1" applyAlignment="1">
      <alignment horizontal="center" vertical="center"/>
    </xf>
    <xf numFmtId="0" fontId="5" fillId="7" borderId="14" xfId="0" applyFont="1" applyFill="1" applyBorder="1" applyAlignment="1">
      <alignment horizontal="center" vertical="center"/>
    </xf>
    <xf numFmtId="0" fontId="5" fillId="7" borderId="1" xfId="0" applyFont="1" applyFill="1" applyBorder="1" applyAlignment="1">
      <alignment horizontal="center" vertical="center" wrapText="1"/>
    </xf>
    <xf numFmtId="0" fontId="5" fillId="7" borderId="1" xfId="0" applyFont="1" applyFill="1" applyBorder="1" applyAlignment="1">
      <alignment horizontal="center"/>
    </xf>
    <xf numFmtId="0" fontId="5" fillId="20" borderId="1" xfId="0" applyFont="1" applyFill="1" applyBorder="1" applyAlignment="1">
      <alignment horizontal="center" vertical="center" wrapText="1"/>
    </xf>
    <xf numFmtId="0" fontId="5" fillId="20" borderId="1" xfId="0" applyFont="1" applyFill="1" applyBorder="1" applyAlignment="1">
      <alignment horizontal="center" vertical="center"/>
    </xf>
    <xf numFmtId="0" fontId="5" fillId="6" borderId="1" xfId="0" applyFont="1" applyFill="1" applyBorder="1" applyAlignment="1">
      <alignment horizontal="center" vertical="center"/>
    </xf>
    <xf numFmtId="0" fontId="0" fillId="2" borderId="1" xfId="0" applyFill="1" applyBorder="1" applyAlignment="1">
      <alignment horizontal="center" vertical="center"/>
    </xf>
    <xf numFmtId="0" fontId="0" fillId="2" borderId="4" xfId="0" applyFill="1" applyBorder="1" applyAlignment="1">
      <alignment horizontal="center" vertical="center"/>
    </xf>
    <xf numFmtId="0" fontId="0" fillId="2" borderId="2" xfId="0" applyFill="1" applyBorder="1" applyAlignment="1">
      <alignment horizontal="center" vertical="center"/>
    </xf>
    <xf numFmtId="0" fontId="0" fillId="2" borderId="5" xfId="0" applyFill="1" applyBorder="1" applyAlignment="1">
      <alignment horizontal="center" vertical="center" shrinkToFit="1"/>
    </xf>
    <xf numFmtId="0" fontId="0" fillId="2" borderId="3" xfId="0" applyFill="1" applyBorder="1" applyAlignment="1">
      <alignment horizontal="center" vertical="center" shrinkToFit="1"/>
    </xf>
    <xf numFmtId="0" fontId="0" fillId="2" borderId="8" xfId="0" applyFill="1" applyBorder="1" applyAlignment="1">
      <alignment horizontal="center" vertical="center" wrapText="1"/>
    </xf>
    <xf numFmtId="0" fontId="0" fillId="2" borderId="13" xfId="0" applyFill="1" applyBorder="1" applyAlignment="1">
      <alignment horizontal="center" vertical="center"/>
    </xf>
    <xf numFmtId="0" fontId="0" fillId="2" borderId="11"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5" xfId="0" applyFill="1" applyBorder="1" applyAlignment="1">
      <alignment horizontal="center" vertical="center"/>
    </xf>
    <xf numFmtId="0" fontId="0" fillId="2" borderId="10" xfId="0" applyFill="1" applyBorder="1" applyAlignment="1">
      <alignment horizontal="center" vertical="center"/>
    </xf>
    <xf numFmtId="0" fontId="0" fillId="2" borderId="14"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wrapText="1"/>
    </xf>
    <xf numFmtId="0" fontId="5" fillId="6" borderId="0" xfId="0" applyFont="1" applyFill="1" applyBorder="1" applyAlignment="1">
      <alignment horizontal="center"/>
    </xf>
    <xf numFmtId="0" fontId="5" fillId="11" borderId="0" xfId="0" applyFont="1" applyFill="1" applyBorder="1" applyAlignment="1">
      <alignment horizontal="center"/>
    </xf>
    <xf numFmtId="0" fontId="0" fillId="2" borderId="1" xfId="0" applyFill="1" applyBorder="1" applyAlignment="1">
      <alignment horizontal="center"/>
    </xf>
    <xf numFmtId="0" fontId="0" fillId="2" borderId="7" xfId="0" applyFill="1" applyBorder="1" applyAlignment="1">
      <alignment horizontal="center" vertical="center"/>
    </xf>
    <xf numFmtId="0" fontId="5" fillId="22" borderId="1" xfId="0" applyFont="1" applyFill="1" applyBorder="1" applyAlignment="1">
      <alignment horizontal="center" vertical="center" wrapText="1"/>
    </xf>
    <xf numFmtId="0" fontId="5" fillId="22" borderId="1" xfId="0" applyFont="1" applyFill="1" applyBorder="1" applyAlignment="1">
      <alignment horizontal="center" vertical="center"/>
    </xf>
    <xf numFmtId="0" fontId="0" fillId="2" borderId="1" xfId="0" applyFill="1" applyBorder="1" applyAlignment="1">
      <alignment vertical="center"/>
    </xf>
    <xf numFmtId="0" fontId="0" fillId="2" borderId="1" xfId="0" applyFill="1" applyBorder="1" applyAlignment="1">
      <alignment horizontal="right" vertical="center"/>
    </xf>
    <xf numFmtId="0" fontId="0" fillId="2" borderId="5" xfId="0" applyFill="1" applyBorder="1" applyAlignment="1">
      <alignment horizontal="left" vertical="center"/>
    </xf>
    <xf numFmtId="0" fontId="0" fillId="2" borderId="3" xfId="0" applyFill="1" applyBorder="1" applyAlignment="1">
      <alignment horizontal="left" vertical="center"/>
    </xf>
    <xf numFmtId="0" fontId="5" fillId="22" borderId="4" xfId="0" applyFont="1" applyFill="1" applyBorder="1" applyAlignment="1">
      <alignment horizontal="center" vertical="center"/>
    </xf>
    <xf numFmtId="0" fontId="5" fillId="22" borderId="7" xfId="0" applyFont="1" applyFill="1" applyBorder="1" applyAlignment="1">
      <alignment horizontal="center" vertical="center"/>
    </xf>
    <xf numFmtId="0" fontId="5" fillId="22" borderId="2" xfId="0" applyFont="1" applyFill="1" applyBorder="1" applyAlignment="1">
      <alignment horizontal="center" vertical="center"/>
    </xf>
    <xf numFmtId="0" fontId="0" fillId="15" borderId="5" xfId="0" applyFill="1" applyBorder="1" applyAlignment="1">
      <alignment horizontal="center"/>
    </xf>
    <xf numFmtId="0" fontId="0" fillId="15" borderId="6" xfId="0" applyFill="1" applyBorder="1" applyAlignment="1">
      <alignment horizontal="center"/>
    </xf>
    <xf numFmtId="0" fontId="0" fillId="15" borderId="3" xfId="0" applyFill="1" applyBorder="1" applyAlignment="1">
      <alignment horizontal="center"/>
    </xf>
    <xf numFmtId="0" fontId="0" fillId="0" borderId="1" xfId="0" applyBorder="1" applyAlignment="1">
      <alignment horizontal="center" vertical="center" shrinkToFit="1"/>
    </xf>
    <xf numFmtId="0" fontId="0" fillId="2" borderId="1" xfId="0" applyFill="1" applyBorder="1" applyAlignment="1">
      <alignment horizontal="center" vertical="center" shrinkToFit="1"/>
    </xf>
    <xf numFmtId="0" fontId="0" fillId="2" borderId="1" xfId="0" applyFill="1" applyBorder="1" applyAlignment="1">
      <alignment horizontal="center" shrinkToFit="1"/>
    </xf>
    <xf numFmtId="0" fontId="0" fillId="0" borderId="1" xfId="0" applyBorder="1" applyAlignment="1">
      <alignment horizontal="center" shrinkToFit="1"/>
    </xf>
    <xf numFmtId="0" fontId="0" fillId="0" borderId="4" xfId="0" applyBorder="1" applyAlignment="1">
      <alignment horizontal="center" vertical="center" wrapText="1" shrinkToFit="1"/>
    </xf>
    <xf numFmtId="0" fontId="0" fillId="0" borderId="7" xfId="0" applyBorder="1" applyAlignment="1">
      <alignment horizontal="center" vertical="center" wrapText="1" shrinkToFit="1"/>
    </xf>
    <xf numFmtId="0" fontId="0" fillId="0" borderId="7" xfId="0" applyBorder="1" applyAlignment="1">
      <alignment horizontal="center" vertical="center" shrinkToFit="1"/>
    </xf>
    <xf numFmtId="0" fontId="0" fillId="0" borderId="2" xfId="0" applyBorder="1" applyAlignment="1">
      <alignment horizontal="center" vertical="center" shrinkToFit="1"/>
    </xf>
    <xf numFmtId="0" fontId="0" fillId="0" borderId="8" xfId="0" applyBorder="1" applyAlignment="1">
      <alignment horizontal="center" vertical="center" shrinkToFit="1"/>
    </xf>
    <xf numFmtId="0" fontId="0" fillId="0" borderId="9" xfId="0" applyBorder="1" applyAlignment="1">
      <alignment horizontal="center" vertical="center" shrinkToFit="1"/>
    </xf>
    <xf numFmtId="0" fontId="0" fillId="0" borderId="10" xfId="0" applyBorder="1" applyAlignment="1">
      <alignment horizontal="center" vertical="center" shrinkToFit="1"/>
    </xf>
    <xf numFmtId="38" fontId="0" fillId="0" borderId="1" xfId="2" applyFont="1" applyBorder="1" applyAlignment="1">
      <alignment horizontal="right" shrinkToFit="1"/>
    </xf>
    <xf numFmtId="0" fontId="0" fillId="4" borderId="1" xfId="0" applyFill="1" applyBorder="1" applyAlignment="1">
      <alignment horizontal="center" shrinkToFit="1"/>
    </xf>
    <xf numFmtId="38" fontId="3" fillId="0" borderId="1" xfId="2" applyFont="1" applyFill="1" applyBorder="1" applyAlignment="1">
      <alignment horizontal="right" shrinkToFit="1"/>
    </xf>
    <xf numFmtId="0" fontId="0" fillId="0" borderId="1" xfId="0" applyBorder="1" applyAlignment="1">
      <alignment horizontal="center" vertical="center" wrapText="1" shrinkToFit="1"/>
    </xf>
    <xf numFmtId="0" fontId="4" fillId="2" borderId="1" xfId="0" applyFont="1" applyFill="1" applyBorder="1" applyAlignment="1">
      <alignment horizontal="center"/>
    </xf>
    <xf numFmtId="0" fontId="4" fillId="2" borderId="4" xfId="0" applyFont="1" applyFill="1" applyBorder="1" applyAlignment="1">
      <alignment horizontal="center"/>
    </xf>
    <xf numFmtId="0" fontId="4" fillId="2" borderId="2" xfId="0" applyFont="1" applyFill="1" applyBorder="1" applyAlignment="1">
      <alignment horizontal="center"/>
    </xf>
    <xf numFmtId="0" fontId="4" fillId="2" borderId="4" xfId="0" applyFont="1" applyFill="1" applyBorder="1" applyAlignment="1">
      <alignment horizontal="center" wrapText="1"/>
    </xf>
  </cellXfs>
  <cellStyles count="3">
    <cellStyle name="パーセント" xfId="1" builtinId="5"/>
    <cellStyle name="桁区切り" xfId="2" builtinId="6"/>
    <cellStyle name="標準" xfId="0" builtinId="0"/>
  </cellStyles>
  <dxfs count="832">
    <dxf>
      <fill>
        <patternFill>
          <bgColor theme="0" tint="-0.34998626667073579"/>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【参考】被害関数グラフ!$C$415</c:f>
              <c:strCache>
                <c:ptCount val="1"/>
                <c:pt idx="0">
                  <c:v>建物</c:v>
                </c:pt>
              </c:strCache>
            </c:strRef>
          </c:tx>
          <c:spPr>
            <a:ln>
              <a:prstDash val="sysDash"/>
            </a:ln>
          </c:spPr>
          <c:marker>
            <c:symbol val="none"/>
          </c:marker>
          <c:xVal>
            <c:numRef>
              <c:f>【参考】被害関数グラフ!$D$414:$AL$414</c:f>
              <c:numCache>
                <c:formatCode>0"cm"</c:formatCode>
                <c:ptCount val="35"/>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pt idx="21">
                  <c:v>350</c:v>
                </c:pt>
                <c:pt idx="22">
                  <c:v>400</c:v>
                </c:pt>
                <c:pt idx="23">
                  <c:v>450</c:v>
                </c:pt>
                <c:pt idx="24">
                  <c:v>500</c:v>
                </c:pt>
                <c:pt idx="25">
                  <c:v>600</c:v>
                </c:pt>
                <c:pt idx="26">
                  <c:v>700</c:v>
                </c:pt>
                <c:pt idx="27">
                  <c:v>800</c:v>
                </c:pt>
                <c:pt idx="28">
                  <c:v>900</c:v>
                </c:pt>
                <c:pt idx="29">
                  <c:v>1000</c:v>
                </c:pt>
                <c:pt idx="30">
                  <c:v>1200</c:v>
                </c:pt>
                <c:pt idx="31">
                  <c:v>1400</c:v>
                </c:pt>
                <c:pt idx="32">
                  <c:v>1600</c:v>
                </c:pt>
                <c:pt idx="33">
                  <c:v>1800</c:v>
                </c:pt>
                <c:pt idx="34">
                  <c:v>2000</c:v>
                </c:pt>
              </c:numCache>
            </c:numRef>
          </c:xVal>
          <c:yVal>
            <c:numRef>
              <c:f>【参考】被害関数グラフ!$D$415:$AL$415</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0"/>
          <c:extLst>
            <c:ext xmlns:c16="http://schemas.microsoft.com/office/drawing/2014/chart" uri="{C3380CC4-5D6E-409C-BE32-E72D297353CC}">
              <c16:uniqueId val="{00000000-5166-4570-8530-9CAD993D87E3}"/>
            </c:ext>
          </c:extLst>
        </c:ser>
        <c:ser>
          <c:idx val="1"/>
          <c:order val="1"/>
          <c:tx>
            <c:strRef>
              <c:f>【参考】被害関数グラフ!$C$416</c:f>
              <c:strCache>
                <c:ptCount val="1"/>
                <c:pt idx="0">
                  <c:v>設備・什器</c:v>
                </c:pt>
              </c:strCache>
            </c:strRef>
          </c:tx>
          <c:spPr>
            <a:ln>
              <a:prstDash val="sysDash"/>
            </a:ln>
          </c:spPr>
          <c:marker>
            <c:symbol val="none"/>
          </c:marker>
          <c:xVal>
            <c:numRef>
              <c:f>【参考】被害関数グラフ!$D$414:$AL$414</c:f>
              <c:numCache>
                <c:formatCode>0"cm"</c:formatCode>
                <c:ptCount val="35"/>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pt idx="21">
                  <c:v>350</c:v>
                </c:pt>
                <c:pt idx="22">
                  <c:v>400</c:v>
                </c:pt>
                <c:pt idx="23">
                  <c:v>450</c:v>
                </c:pt>
                <c:pt idx="24">
                  <c:v>500</c:v>
                </c:pt>
                <c:pt idx="25">
                  <c:v>600</c:v>
                </c:pt>
                <c:pt idx="26">
                  <c:v>700</c:v>
                </c:pt>
                <c:pt idx="27">
                  <c:v>800</c:v>
                </c:pt>
                <c:pt idx="28">
                  <c:v>900</c:v>
                </c:pt>
                <c:pt idx="29">
                  <c:v>1000</c:v>
                </c:pt>
                <c:pt idx="30">
                  <c:v>1200</c:v>
                </c:pt>
                <c:pt idx="31">
                  <c:v>1400</c:v>
                </c:pt>
                <c:pt idx="32">
                  <c:v>1600</c:v>
                </c:pt>
                <c:pt idx="33">
                  <c:v>1800</c:v>
                </c:pt>
                <c:pt idx="34">
                  <c:v>2000</c:v>
                </c:pt>
              </c:numCache>
            </c:numRef>
          </c:xVal>
          <c:yVal>
            <c:numRef>
              <c:f>【参考】被害関数グラフ!$D$416:$AL$416</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0"/>
          <c:extLst>
            <c:ext xmlns:c16="http://schemas.microsoft.com/office/drawing/2014/chart" uri="{C3380CC4-5D6E-409C-BE32-E72D297353CC}">
              <c16:uniqueId val="{00000001-5166-4570-8530-9CAD993D87E3}"/>
            </c:ext>
          </c:extLst>
        </c:ser>
        <c:ser>
          <c:idx val="2"/>
          <c:order val="2"/>
          <c:tx>
            <c:strRef>
              <c:f>【参考】被害関数グラフ!$C$417</c:f>
              <c:strCache>
                <c:ptCount val="1"/>
                <c:pt idx="0">
                  <c:v>商品・材料</c:v>
                </c:pt>
              </c:strCache>
            </c:strRef>
          </c:tx>
          <c:spPr>
            <a:ln>
              <a:prstDash val="sysDash"/>
            </a:ln>
          </c:spPr>
          <c:marker>
            <c:symbol val="none"/>
          </c:marker>
          <c:xVal>
            <c:numRef>
              <c:f>【参考】被害関数グラフ!$D$414:$AL$414</c:f>
              <c:numCache>
                <c:formatCode>0"cm"</c:formatCode>
                <c:ptCount val="35"/>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pt idx="21">
                  <c:v>350</c:v>
                </c:pt>
                <c:pt idx="22">
                  <c:v>400</c:v>
                </c:pt>
                <c:pt idx="23">
                  <c:v>450</c:v>
                </c:pt>
                <c:pt idx="24">
                  <c:v>500</c:v>
                </c:pt>
                <c:pt idx="25">
                  <c:v>600</c:v>
                </c:pt>
                <c:pt idx="26">
                  <c:v>700</c:v>
                </c:pt>
                <c:pt idx="27">
                  <c:v>800</c:v>
                </c:pt>
                <c:pt idx="28">
                  <c:v>900</c:v>
                </c:pt>
                <c:pt idx="29">
                  <c:v>1000</c:v>
                </c:pt>
                <c:pt idx="30">
                  <c:v>1200</c:v>
                </c:pt>
                <c:pt idx="31">
                  <c:v>1400</c:v>
                </c:pt>
                <c:pt idx="32">
                  <c:v>1600</c:v>
                </c:pt>
                <c:pt idx="33">
                  <c:v>1800</c:v>
                </c:pt>
                <c:pt idx="34">
                  <c:v>2000</c:v>
                </c:pt>
              </c:numCache>
            </c:numRef>
          </c:xVal>
          <c:yVal>
            <c:numRef>
              <c:f>【参考】被害関数グラフ!$D$417:$AL$417</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0"/>
          <c:extLst>
            <c:ext xmlns:c16="http://schemas.microsoft.com/office/drawing/2014/chart" uri="{C3380CC4-5D6E-409C-BE32-E72D297353CC}">
              <c16:uniqueId val="{00000002-5166-4570-8530-9CAD993D87E3}"/>
            </c:ext>
          </c:extLst>
        </c:ser>
        <c:ser>
          <c:idx val="3"/>
          <c:order val="3"/>
          <c:tx>
            <c:strRef>
              <c:f>【参考】被害関数グラフ!$C$418</c:f>
              <c:strCache>
                <c:ptCount val="1"/>
                <c:pt idx="0">
                  <c:v>屋外設備</c:v>
                </c:pt>
              </c:strCache>
            </c:strRef>
          </c:tx>
          <c:spPr>
            <a:ln>
              <a:prstDash val="sysDash"/>
            </a:ln>
          </c:spPr>
          <c:marker>
            <c:symbol val="none"/>
          </c:marker>
          <c:xVal>
            <c:numRef>
              <c:f>【参考】被害関数グラフ!$D$414:$AL$414</c:f>
              <c:numCache>
                <c:formatCode>0"cm"</c:formatCode>
                <c:ptCount val="35"/>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pt idx="21">
                  <c:v>350</c:v>
                </c:pt>
                <c:pt idx="22">
                  <c:v>400</c:v>
                </c:pt>
                <c:pt idx="23">
                  <c:v>450</c:v>
                </c:pt>
                <c:pt idx="24">
                  <c:v>500</c:v>
                </c:pt>
                <c:pt idx="25">
                  <c:v>600</c:v>
                </c:pt>
                <c:pt idx="26">
                  <c:v>700</c:v>
                </c:pt>
                <c:pt idx="27">
                  <c:v>800</c:v>
                </c:pt>
                <c:pt idx="28">
                  <c:v>900</c:v>
                </c:pt>
                <c:pt idx="29">
                  <c:v>1000</c:v>
                </c:pt>
                <c:pt idx="30">
                  <c:v>1200</c:v>
                </c:pt>
                <c:pt idx="31">
                  <c:v>1400</c:v>
                </c:pt>
                <c:pt idx="32">
                  <c:v>1600</c:v>
                </c:pt>
                <c:pt idx="33">
                  <c:v>1800</c:v>
                </c:pt>
                <c:pt idx="34">
                  <c:v>2000</c:v>
                </c:pt>
              </c:numCache>
            </c:numRef>
          </c:xVal>
          <c:yVal>
            <c:numRef>
              <c:f>【参考】被害関数グラフ!$D$418:$AL$418</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0"/>
          <c:extLst>
            <c:ext xmlns:c16="http://schemas.microsoft.com/office/drawing/2014/chart" uri="{C3380CC4-5D6E-409C-BE32-E72D297353CC}">
              <c16:uniqueId val="{00000003-5166-4570-8530-9CAD993D87E3}"/>
            </c:ext>
          </c:extLst>
        </c:ser>
        <c:ser>
          <c:idx val="4"/>
          <c:order val="4"/>
          <c:tx>
            <c:strRef>
              <c:f>【参考】被害関数グラフ!$C$419</c:f>
              <c:strCache>
                <c:ptCount val="1"/>
                <c:pt idx="0">
                  <c:v>総計</c:v>
                </c:pt>
              </c:strCache>
            </c:strRef>
          </c:tx>
          <c:spPr>
            <a:ln>
              <a:solidFill>
                <a:srgbClr val="FF0000"/>
              </a:solidFill>
            </a:ln>
          </c:spPr>
          <c:marker>
            <c:symbol val="none"/>
          </c:marker>
          <c:xVal>
            <c:numRef>
              <c:f>【参考】被害関数グラフ!$D$414:$AL$414</c:f>
              <c:numCache>
                <c:formatCode>0"cm"</c:formatCode>
                <c:ptCount val="35"/>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pt idx="21">
                  <c:v>350</c:v>
                </c:pt>
                <c:pt idx="22">
                  <c:v>400</c:v>
                </c:pt>
                <c:pt idx="23">
                  <c:v>450</c:v>
                </c:pt>
                <c:pt idx="24">
                  <c:v>500</c:v>
                </c:pt>
                <c:pt idx="25">
                  <c:v>600</c:v>
                </c:pt>
                <c:pt idx="26">
                  <c:v>700</c:v>
                </c:pt>
                <c:pt idx="27">
                  <c:v>800</c:v>
                </c:pt>
                <c:pt idx="28">
                  <c:v>900</c:v>
                </c:pt>
                <c:pt idx="29">
                  <c:v>1000</c:v>
                </c:pt>
                <c:pt idx="30">
                  <c:v>1200</c:v>
                </c:pt>
                <c:pt idx="31">
                  <c:v>1400</c:v>
                </c:pt>
                <c:pt idx="32">
                  <c:v>1600</c:v>
                </c:pt>
                <c:pt idx="33">
                  <c:v>1800</c:v>
                </c:pt>
                <c:pt idx="34">
                  <c:v>2000</c:v>
                </c:pt>
              </c:numCache>
            </c:numRef>
          </c:xVal>
          <c:yVal>
            <c:numRef>
              <c:f>【参考】被害関数グラフ!$D$419:$AL$419</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0"/>
          <c:extLst>
            <c:ext xmlns:c16="http://schemas.microsoft.com/office/drawing/2014/chart" uri="{C3380CC4-5D6E-409C-BE32-E72D297353CC}">
              <c16:uniqueId val="{00000004-5166-4570-8530-9CAD993D87E3}"/>
            </c:ext>
          </c:extLst>
        </c:ser>
        <c:dLbls>
          <c:showLegendKey val="0"/>
          <c:showVal val="0"/>
          <c:showCatName val="0"/>
          <c:showSerName val="0"/>
          <c:showPercent val="0"/>
          <c:showBubbleSize val="0"/>
        </c:dLbls>
        <c:axId val="158963968"/>
        <c:axId val="158986624"/>
      </c:scatterChart>
      <c:valAx>
        <c:axId val="158963968"/>
        <c:scaling>
          <c:orientation val="minMax"/>
          <c:max val="1000"/>
        </c:scaling>
        <c:delete val="0"/>
        <c:axPos val="b"/>
        <c:majorGridlines/>
        <c:title>
          <c:tx>
            <c:rich>
              <a:bodyPr/>
              <a:lstStyle/>
              <a:p>
                <a:pPr>
                  <a:defRPr/>
                </a:pPr>
                <a:r>
                  <a:rPr lang="ja-JP" altLang="en-US"/>
                  <a:t>浸水深（</a:t>
                </a:r>
                <a:r>
                  <a:rPr lang="en-US" altLang="ja-JP"/>
                  <a:t>cm</a:t>
                </a:r>
                <a:r>
                  <a:rPr lang="ja-JP" altLang="en-US"/>
                  <a:t>）</a:t>
                </a:r>
              </a:p>
            </c:rich>
          </c:tx>
          <c:overlay val="0"/>
        </c:title>
        <c:numFmt formatCode="0&quot;cm&quot;" sourceLinked="1"/>
        <c:majorTickMark val="out"/>
        <c:minorTickMark val="none"/>
        <c:tickLblPos val="nextTo"/>
        <c:crossAx val="158986624"/>
        <c:crosses val="autoZero"/>
        <c:crossBetween val="midCat"/>
        <c:majorUnit val="200"/>
      </c:valAx>
      <c:valAx>
        <c:axId val="158986624"/>
        <c:scaling>
          <c:orientation val="minMax"/>
          <c:max val="1"/>
        </c:scaling>
        <c:delete val="0"/>
        <c:axPos val="l"/>
        <c:majorGridlines/>
        <c:title>
          <c:tx>
            <c:rich>
              <a:bodyPr rot="-5400000" vert="horz"/>
              <a:lstStyle/>
              <a:p>
                <a:pPr>
                  <a:defRPr/>
                </a:pPr>
                <a:r>
                  <a:rPr lang="ja-JP" altLang="en-US"/>
                  <a:t>被害率（</a:t>
                </a:r>
                <a:r>
                  <a:rPr lang="en-US" altLang="ja-JP"/>
                  <a:t>%</a:t>
                </a:r>
                <a:r>
                  <a:rPr lang="ja-JP" altLang="en-US"/>
                  <a:t>）</a:t>
                </a:r>
              </a:p>
            </c:rich>
          </c:tx>
          <c:overlay val="0"/>
        </c:title>
        <c:numFmt formatCode="0%" sourceLinked="0"/>
        <c:majorTickMark val="out"/>
        <c:minorTickMark val="none"/>
        <c:tickLblPos val="nextTo"/>
        <c:crossAx val="158963968"/>
        <c:crosses val="autoZero"/>
        <c:crossBetween val="midCat"/>
        <c:majorUnit val="0.2"/>
      </c:valAx>
    </c:plotArea>
    <c:legend>
      <c:legendPos val="l"/>
      <c:layout>
        <c:manualLayout>
          <c:xMode val="edge"/>
          <c:yMode val="edge"/>
          <c:x val="0.19692568243258846"/>
          <c:y val="5.3128040315503847E-2"/>
          <c:w val="0.2184288064597924"/>
          <c:h val="0.21048240528448114"/>
        </c:manualLayout>
      </c:layout>
      <c:overlay val="1"/>
      <c:spPr>
        <a:solidFill>
          <a:schemeClr val="bg1"/>
        </a:solidFill>
      </c:spPr>
    </c:legend>
    <c:plotVisOnly val="1"/>
    <c:dispBlanksAs val="gap"/>
    <c:showDLblsOverMax val="0"/>
  </c:chart>
  <c:spPr>
    <a:ln>
      <a:noFill/>
    </a:ln>
  </c:spPr>
  <c:txPr>
    <a:bodyPr/>
    <a:lstStyle/>
    <a:p>
      <a:pPr>
        <a:defRPr>
          <a:latin typeface="HG丸ｺﾞｼｯｸM-PRO" panose="020F0600000000000000" pitchFamily="50" charset="-128"/>
          <a:ea typeface="HG丸ｺﾞｼｯｸM-PRO" panose="020F0600000000000000"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建物被害関数!$L$4</c:f>
              <c:strCache>
                <c:ptCount val="1"/>
                <c:pt idx="0">
                  <c:v>建物</c:v>
                </c:pt>
              </c:strCache>
            </c:strRef>
          </c:tx>
          <c:spPr>
            <a:ln>
              <a:prstDash val="sysDash"/>
            </a:ln>
          </c:spPr>
          <c:marker>
            <c:symbol val="none"/>
          </c:marker>
          <c:xVal>
            <c:numRef>
              <c:f>建物被害関数!$Q$3:$AY$3</c:f>
              <c:numCache>
                <c:formatCode>0"cm"</c:formatCode>
                <c:ptCount val="35"/>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pt idx="21">
                  <c:v>350</c:v>
                </c:pt>
                <c:pt idx="22">
                  <c:v>400</c:v>
                </c:pt>
                <c:pt idx="23">
                  <c:v>450</c:v>
                </c:pt>
                <c:pt idx="24">
                  <c:v>500</c:v>
                </c:pt>
                <c:pt idx="25">
                  <c:v>600</c:v>
                </c:pt>
                <c:pt idx="26">
                  <c:v>700</c:v>
                </c:pt>
                <c:pt idx="27">
                  <c:v>800</c:v>
                </c:pt>
                <c:pt idx="28">
                  <c:v>900</c:v>
                </c:pt>
                <c:pt idx="29">
                  <c:v>1000</c:v>
                </c:pt>
                <c:pt idx="30">
                  <c:v>1200</c:v>
                </c:pt>
                <c:pt idx="31">
                  <c:v>1400</c:v>
                </c:pt>
                <c:pt idx="32">
                  <c:v>1600</c:v>
                </c:pt>
                <c:pt idx="33">
                  <c:v>1800</c:v>
                </c:pt>
                <c:pt idx="34">
                  <c:v>2000</c:v>
                </c:pt>
              </c:numCache>
            </c:numRef>
          </c:xVal>
          <c:yVal>
            <c:numRef>
              <c:f>建物被害関数!$Q$4:$AY$4</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0"/>
          <c:extLst>
            <c:ext xmlns:c16="http://schemas.microsoft.com/office/drawing/2014/chart" uri="{C3380CC4-5D6E-409C-BE32-E72D297353CC}">
              <c16:uniqueId val="{00000000-E050-40A5-A88A-B0C1DDA2A190}"/>
            </c:ext>
          </c:extLst>
        </c:ser>
        <c:ser>
          <c:idx val="1"/>
          <c:order val="1"/>
          <c:tx>
            <c:strRef>
              <c:f>建物被害関数!$L$5</c:f>
              <c:strCache>
                <c:ptCount val="1"/>
                <c:pt idx="0">
                  <c:v>設備・什器</c:v>
                </c:pt>
              </c:strCache>
            </c:strRef>
          </c:tx>
          <c:spPr>
            <a:ln>
              <a:prstDash val="sysDash"/>
            </a:ln>
          </c:spPr>
          <c:marker>
            <c:symbol val="none"/>
          </c:marker>
          <c:xVal>
            <c:numRef>
              <c:f>建物被害関数!$Q$3:$AY$3</c:f>
              <c:numCache>
                <c:formatCode>0"cm"</c:formatCode>
                <c:ptCount val="35"/>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pt idx="21">
                  <c:v>350</c:v>
                </c:pt>
                <c:pt idx="22">
                  <c:v>400</c:v>
                </c:pt>
                <c:pt idx="23">
                  <c:v>450</c:v>
                </c:pt>
                <c:pt idx="24">
                  <c:v>500</c:v>
                </c:pt>
                <c:pt idx="25">
                  <c:v>600</c:v>
                </c:pt>
                <c:pt idx="26">
                  <c:v>700</c:v>
                </c:pt>
                <c:pt idx="27">
                  <c:v>800</c:v>
                </c:pt>
                <c:pt idx="28">
                  <c:v>900</c:v>
                </c:pt>
                <c:pt idx="29">
                  <c:v>1000</c:v>
                </c:pt>
                <c:pt idx="30">
                  <c:v>1200</c:v>
                </c:pt>
                <c:pt idx="31">
                  <c:v>1400</c:v>
                </c:pt>
                <c:pt idx="32">
                  <c:v>1600</c:v>
                </c:pt>
                <c:pt idx="33">
                  <c:v>1800</c:v>
                </c:pt>
                <c:pt idx="34">
                  <c:v>2000</c:v>
                </c:pt>
              </c:numCache>
            </c:numRef>
          </c:xVal>
          <c:yVal>
            <c:numRef>
              <c:f>建物被害関数!$Q$5:$AY$5</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0"/>
          <c:extLst>
            <c:ext xmlns:c16="http://schemas.microsoft.com/office/drawing/2014/chart" uri="{C3380CC4-5D6E-409C-BE32-E72D297353CC}">
              <c16:uniqueId val="{00000001-E050-40A5-A88A-B0C1DDA2A190}"/>
            </c:ext>
          </c:extLst>
        </c:ser>
        <c:ser>
          <c:idx val="2"/>
          <c:order val="2"/>
          <c:tx>
            <c:strRef>
              <c:f>建物被害関数!$L$6</c:f>
              <c:strCache>
                <c:ptCount val="1"/>
                <c:pt idx="0">
                  <c:v>商品・材料</c:v>
                </c:pt>
              </c:strCache>
            </c:strRef>
          </c:tx>
          <c:spPr>
            <a:ln>
              <a:prstDash val="sysDash"/>
            </a:ln>
          </c:spPr>
          <c:marker>
            <c:symbol val="none"/>
          </c:marker>
          <c:xVal>
            <c:numRef>
              <c:f>建物被害関数!$Q$3:$AY$3</c:f>
              <c:numCache>
                <c:formatCode>0"cm"</c:formatCode>
                <c:ptCount val="35"/>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pt idx="21">
                  <c:v>350</c:v>
                </c:pt>
                <c:pt idx="22">
                  <c:v>400</c:v>
                </c:pt>
                <c:pt idx="23">
                  <c:v>450</c:v>
                </c:pt>
                <c:pt idx="24">
                  <c:v>500</c:v>
                </c:pt>
                <c:pt idx="25">
                  <c:v>600</c:v>
                </c:pt>
                <c:pt idx="26">
                  <c:v>700</c:v>
                </c:pt>
                <c:pt idx="27">
                  <c:v>800</c:v>
                </c:pt>
                <c:pt idx="28">
                  <c:v>900</c:v>
                </c:pt>
                <c:pt idx="29">
                  <c:v>1000</c:v>
                </c:pt>
                <c:pt idx="30">
                  <c:v>1200</c:v>
                </c:pt>
                <c:pt idx="31">
                  <c:v>1400</c:v>
                </c:pt>
                <c:pt idx="32">
                  <c:v>1600</c:v>
                </c:pt>
                <c:pt idx="33">
                  <c:v>1800</c:v>
                </c:pt>
                <c:pt idx="34">
                  <c:v>2000</c:v>
                </c:pt>
              </c:numCache>
            </c:numRef>
          </c:xVal>
          <c:yVal>
            <c:numRef>
              <c:f>建物被害関数!$Q$6:$AY$6</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0"/>
          <c:extLst>
            <c:ext xmlns:c16="http://schemas.microsoft.com/office/drawing/2014/chart" uri="{C3380CC4-5D6E-409C-BE32-E72D297353CC}">
              <c16:uniqueId val="{00000002-E050-40A5-A88A-B0C1DDA2A190}"/>
            </c:ext>
          </c:extLst>
        </c:ser>
        <c:ser>
          <c:idx val="3"/>
          <c:order val="3"/>
          <c:tx>
            <c:strRef>
              <c:f>建物被害関数!$L$7</c:f>
              <c:strCache>
                <c:ptCount val="1"/>
                <c:pt idx="0">
                  <c:v>合計</c:v>
                </c:pt>
              </c:strCache>
            </c:strRef>
          </c:tx>
          <c:marker>
            <c:symbol val="none"/>
          </c:marker>
          <c:xVal>
            <c:numRef>
              <c:f>建物被害関数!$Q$3:$AY$3</c:f>
              <c:numCache>
                <c:formatCode>0"cm"</c:formatCode>
                <c:ptCount val="35"/>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pt idx="21">
                  <c:v>350</c:v>
                </c:pt>
                <c:pt idx="22">
                  <c:v>400</c:v>
                </c:pt>
                <c:pt idx="23">
                  <c:v>450</c:v>
                </c:pt>
                <c:pt idx="24">
                  <c:v>500</c:v>
                </c:pt>
                <c:pt idx="25">
                  <c:v>600</c:v>
                </c:pt>
                <c:pt idx="26">
                  <c:v>700</c:v>
                </c:pt>
                <c:pt idx="27">
                  <c:v>800</c:v>
                </c:pt>
                <c:pt idx="28">
                  <c:v>900</c:v>
                </c:pt>
                <c:pt idx="29">
                  <c:v>1000</c:v>
                </c:pt>
                <c:pt idx="30">
                  <c:v>1200</c:v>
                </c:pt>
                <c:pt idx="31">
                  <c:v>1400</c:v>
                </c:pt>
                <c:pt idx="32">
                  <c:v>1600</c:v>
                </c:pt>
                <c:pt idx="33">
                  <c:v>1800</c:v>
                </c:pt>
                <c:pt idx="34">
                  <c:v>2000</c:v>
                </c:pt>
              </c:numCache>
            </c:numRef>
          </c:xVal>
          <c:yVal>
            <c:numRef>
              <c:f>建物被害関数!$Q$7:$AY$7</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0"/>
          <c:extLst>
            <c:ext xmlns:c16="http://schemas.microsoft.com/office/drawing/2014/chart" uri="{C3380CC4-5D6E-409C-BE32-E72D297353CC}">
              <c16:uniqueId val="{00000003-E050-40A5-A88A-B0C1DDA2A190}"/>
            </c:ext>
          </c:extLst>
        </c:ser>
        <c:dLbls>
          <c:showLegendKey val="0"/>
          <c:showVal val="0"/>
          <c:showCatName val="0"/>
          <c:showSerName val="0"/>
          <c:showPercent val="0"/>
          <c:showBubbleSize val="0"/>
        </c:dLbls>
        <c:axId val="159223168"/>
        <c:axId val="159233152"/>
      </c:scatterChart>
      <c:valAx>
        <c:axId val="159223168"/>
        <c:scaling>
          <c:orientation val="minMax"/>
          <c:max val="1000"/>
        </c:scaling>
        <c:delete val="0"/>
        <c:axPos val="b"/>
        <c:majorGridlines/>
        <c:numFmt formatCode="0&quot;cm&quot;" sourceLinked="1"/>
        <c:majorTickMark val="out"/>
        <c:minorTickMark val="none"/>
        <c:tickLblPos val="nextTo"/>
        <c:txPr>
          <a:bodyPr rot="0" vert="horz"/>
          <a:lstStyle/>
          <a:p>
            <a:pPr>
              <a:defRPr sz="1000" b="0" i="0" u="none" strike="noStrike" baseline="0">
                <a:solidFill>
                  <a:srgbClr val="000000"/>
                </a:solidFill>
                <a:latin typeface="ＭＳ Ｐゴシック"/>
                <a:ea typeface="ＭＳ Ｐゴシック"/>
                <a:cs typeface="ＭＳ Ｐゴシック"/>
              </a:defRPr>
            </a:pPr>
            <a:endParaRPr lang="ja-JP"/>
          </a:p>
        </c:txPr>
        <c:crossAx val="159233152"/>
        <c:crosses val="autoZero"/>
        <c:crossBetween val="midCat"/>
      </c:valAx>
      <c:valAx>
        <c:axId val="159233152"/>
        <c:scaling>
          <c:orientation val="minMax"/>
          <c:max val="1"/>
        </c:scaling>
        <c:delete val="0"/>
        <c:axPos val="l"/>
        <c:majorGridlines/>
        <c:numFmt formatCode="0.0%" sourceLinked="1"/>
        <c:majorTickMark val="out"/>
        <c:minorTickMark val="none"/>
        <c:tickLblPos val="nextTo"/>
        <c:crossAx val="159223168"/>
        <c:crosses val="autoZero"/>
        <c:crossBetween val="midCat"/>
        <c:majorUnit val="0.2"/>
      </c:valAx>
    </c:plotArea>
    <c:legend>
      <c:legendPos val="l"/>
      <c:layout>
        <c:manualLayout>
          <c:xMode val="edge"/>
          <c:yMode val="edge"/>
          <c:x val="0.12018496010146383"/>
          <c:y val="5.5452927934569976E-2"/>
          <c:w val="0.18485388151984355"/>
          <c:h val="0.17508272140139786"/>
        </c:manualLayout>
      </c:layout>
      <c:overlay val="1"/>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屋外設備被害関数!$J$4</c:f>
              <c:strCache>
                <c:ptCount val="1"/>
                <c:pt idx="0">
                  <c:v>屋外設備</c:v>
                </c:pt>
              </c:strCache>
            </c:strRef>
          </c:tx>
          <c:spPr>
            <a:ln>
              <a:prstDash val="solid"/>
            </a:ln>
          </c:spPr>
          <c:marker>
            <c:symbol val="none"/>
          </c:marker>
          <c:xVal>
            <c:numRef>
              <c:f>屋外設備被害関数!$O$3:$AW$3</c:f>
              <c:numCache>
                <c:formatCode>0"cm"</c:formatCode>
                <c:ptCount val="35"/>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pt idx="21">
                  <c:v>350</c:v>
                </c:pt>
                <c:pt idx="22">
                  <c:v>400</c:v>
                </c:pt>
                <c:pt idx="23">
                  <c:v>450</c:v>
                </c:pt>
                <c:pt idx="24">
                  <c:v>500</c:v>
                </c:pt>
                <c:pt idx="25">
                  <c:v>600</c:v>
                </c:pt>
                <c:pt idx="26">
                  <c:v>700</c:v>
                </c:pt>
                <c:pt idx="27">
                  <c:v>800</c:v>
                </c:pt>
                <c:pt idx="28">
                  <c:v>900</c:v>
                </c:pt>
                <c:pt idx="29">
                  <c:v>1000</c:v>
                </c:pt>
                <c:pt idx="30">
                  <c:v>1200</c:v>
                </c:pt>
                <c:pt idx="31">
                  <c:v>1400</c:v>
                </c:pt>
                <c:pt idx="32">
                  <c:v>1600</c:v>
                </c:pt>
                <c:pt idx="33">
                  <c:v>1800</c:v>
                </c:pt>
                <c:pt idx="34">
                  <c:v>2000</c:v>
                </c:pt>
              </c:numCache>
            </c:numRef>
          </c:xVal>
          <c:yVal>
            <c:numRef>
              <c:f>屋外設備被害関数!$O$4:$AW$4</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0"/>
          <c:extLst>
            <c:ext xmlns:c16="http://schemas.microsoft.com/office/drawing/2014/chart" uri="{C3380CC4-5D6E-409C-BE32-E72D297353CC}">
              <c16:uniqueId val="{00000000-6B28-42D0-A893-2EE1AD9739E9}"/>
            </c:ext>
          </c:extLst>
        </c:ser>
        <c:dLbls>
          <c:showLegendKey val="0"/>
          <c:showVal val="0"/>
          <c:showCatName val="0"/>
          <c:showSerName val="0"/>
          <c:showPercent val="0"/>
          <c:showBubbleSize val="0"/>
        </c:dLbls>
        <c:axId val="159360512"/>
        <c:axId val="159362048"/>
      </c:scatterChart>
      <c:valAx>
        <c:axId val="159360512"/>
        <c:scaling>
          <c:orientation val="minMax"/>
          <c:max val="1000"/>
        </c:scaling>
        <c:delete val="0"/>
        <c:axPos val="b"/>
        <c:majorGridlines/>
        <c:numFmt formatCode="0&quot;cm&quot;" sourceLinked="1"/>
        <c:majorTickMark val="out"/>
        <c:minorTickMark val="none"/>
        <c:tickLblPos val="nextTo"/>
        <c:txPr>
          <a:bodyPr rot="0" vert="horz"/>
          <a:lstStyle/>
          <a:p>
            <a:pPr>
              <a:defRPr sz="1000" b="0" i="0" u="none" strike="noStrike" baseline="0">
                <a:solidFill>
                  <a:srgbClr val="000000"/>
                </a:solidFill>
                <a:latin typeface="ＭＳ Ｐゴシック"/>
                <a:ea typeface="ＭＳ Ｐゴシック"/>
                <a:cs typeface="ＭＳ Ｐゴシック"/>
              </a:defRPr>
            </a:pPr>
            <a:endParaRPr lang="ja-JP"/>
          </a:p>
        </c:txPr>
        <c:crossAx val="159362048"/>
        <c:crosses val="autoZero"/>
        <c:crossBetween val="midCat"/>
      </c:valAx>
      <c:valAx>
        <c:axId val="159362048"/>
        <c:scaling>
          <c:orientation val="minMax"/>
          <c:max val="1"/>
        </c:scaling>
        <c:delete val="0"/>
        <c:axPos val="l"/>
        <c:majorGridlines/>
        <c:numFmt formatCode="0.0%" sourceLinked="1"/>
        <c:majorTickMark val="out"/>
        <c:minorTickMark val="none"/>
        <c:tickLblPos val="nextTo"/>
        <c:crossAx val="159360512"/>
        <c:crosses val="autoZero"/>
        <c:crossBetween val="midCat"/>
        <c:majorUnit val="0.2"/>
      </c:valAx>
    </c:plotArea>
    <c:legend>
      <c:legendPos val="l"/>
      <c:layout>
        <c:manualLayout>
          <c:xMode val="edge"/>
          <c:yMode val="edge"/>
          <c:x val="0.12018496010146383"/>
          <c:y val="5.5452890818554222E-2"/>
          <c:w val="0.18485388151984355"/>
          <c:h val="0.17508278754875267"/>
        </c:manualLayout>
      </c:layout>
      <c:overlay val="1"/>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457200</xdr:colOff>
          <xdr:row>8</xdr:row>
          <xdr:rowOff>95250</xdr:rowOff>
        </xdr:from>
        <xdr:to>
          <xdr:col>33</xdr:col>
          <xdr:colOff>666750</xdr:colOff>
          <xdr:row>11</xdr:row>
          <xdr:rowOff>95250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被害関数データ</a:t>
              </a:r>
            </a:p>
            <a:p>
              <a:pPr algn="ctr" rtl="0">
                <a:defRPr sz="1000"/>
              </a:pPr>
              <a:r>
                <a:rPr lang="ja-JP" altLang="en-US" sz="1100" b="0" i="0" u="none" strike="noStrike" baseline="0">
                  <a:solidFill>
                    <a:srgbClr val="000000"/>
                  </a:solidFill>
                  <a:latin typeface="ＭＳ Ｐゴシック"/>
                  <a:ea typeface="ＭＳ Ｐ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276225</xdr:colOff>
          <xdr:row>5</xdr:row>
          <xdr:rowOff>95250</xdr:rowOff>
        </xdr:from>
        <xdr:to>
          <xdr:col>33</xdr:col>
          <xdr:colOff>657225</xdr:colOff>
          <xdr:row>8</xdr:row>
          <xdr:rowOff>66675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被害想定計算実行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238125</xdr:colOff>
          <xdr:row>8</xdr:row>
          <xdr:rowOff>95250</xdr:rowOff>
        </xdr:from>
        <xdr:to>
          <xdr:col>31</xdr:col>
          <xdr:colOff>457200</xdr:colOff>
          <xdr:row>11</xdr:row>
          <xdr:rowOff>95250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入力データ</a:t>
              </a:r>
            </a:p>
            <a:p>
              <a:pPr algn="ctr" rtl="0">
                <a:defRPr sz="1000"/>
              </a:pPr>
              <a:r>
                <a:rPr lang="ja-JP" altLang="en-US" sz="1100" b="0" i="0" u="none" strike="noStrike" baseline="0">
                  <a:solidFill>
                    <a:srgbClr val="000000"/>
                  </a:solidFill>
                  <a:latin typeface="ＭＳ Ｐゴシック"/>
                  <a:ea typeface="ＭＳ Ｐゴシック"/>
                </a:rPr>
                <a:t>リセット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0</xdr:colOff>
      <xdr:row>114</xdr:row>
      <xdr:rowOff>167367</xdr:rowOff>
    </xdr:from>
    <xdr:to>
      <xdr:col>19</xdr:col>
      <xdr:colOff>324970</xdr:colOff>
      <xdr:row>142</xdr:row>
      <xdr:rowOff>11205</xdr:rowOff>
    </xdr:to>
    <xdr:graphicFrame macro="">
      <xdr:nvGraphicFramePr>
        <xdr:cNvPr id="3" name="グラフ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66675</xdr:colOff>
      <xdr:row>41</xdr:row>
      <xdr:rowOff>85725</xdr:rowOff>
    </xdr:from>
    <xdr:to>
      <xdr:col>7</xdr:col>
      <xdr:colOff>609600</xdr:colOff>
      <xdr:row>71</xdr:row>
      <xdr:rowOff>19050</xdr:rowOff>
    </xdr:to>
    <xdr:graphicFrame macro="">
      <xdr:nvGraphicFramePr>
        <xdr:cNvPr id="1076" name="グラフ 1">
          <a:extLst>
            <a:ext uri="{FF2B5EF4-FFF2-40B4-BE49-F238E27FC236}">
              <a16:creationId xmlns:a16="http://schemas.microsoft.com/office/drawing/2014/main" id="{00000000-0008-0000-0500-000034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342900</xdr:colOff>
      <xdr:row>18</xdr:row>
      <xdr:rowOff>114300</xdr:rowOff>
    </xdr:from>
    <xdr:to>
      <xdr:col>8</xdr:col>
      <xdr:colOff>209550</xdr:colOff>
      <xdr:row>48</xdr:row>
      <xdr:rowOff>57150</xdr:rowOff>
    </xdr:to>
    <xdr:graphicFrame macro="">
      <xdr:nvGraphicFramePr>
        <xdr:cNvPr id="24606" name="グラフ 1">
          <a:extLst>
            <a:ext uri="{FF2B5EF4-FFF2-40B4-BE49-F238E27FC236}">
              <a16:creationId xmlns:a16="http://schemas.microsoft.com/office/drawing/2014/main" id="{00000000-0008-0000-0600-00001E6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sheetPr>
  <dimension ref="B2:AJ124"/>
  <sheetViews>
    <sheetView tabSelected="1" zoomScale="70" zoomScaleNormal="70" workbookViewId="0"/>
  </sheetViews>
  <sheetFormatPr defaultRowHeight="13.5" x14ac:dyDescent="0.15"/>
  <cols>
    <col min="1" max="1" width="7.625" bestFit="1" customWidth="1"/>
    <col min="4" max="4" width="15.375" customWidth="1"/>
    <col min="8" max="8" width="10.25" bestFit="1" customWidth="1"/>
    <col min="10" max="10" width="10.625" customWidth="1"/>
    <col min="11" max="11" width="12.625" bestFit="1" customWidth="1"/>
    <col min="12" max="12" width="15.125" bestFit="1" customWidth="1"/>
    <col min="15" max="15" width="11.375" customWidth="1"/>
    <col min="17" max="17" width="11.625" customWidth="1"/>
    <col min="20" max="23" width="12.625" bestFit="1" customWidth="1"/>
  </cols>
  <sheetData>
    <row r="2" spans="2:29" x14ac:dyDescent="0.15">
      <c r="B2" s="159" t="s">
        <v>216</v>
      </c>
      <c r="C2" s="151" t="s">
        <v>38</v>
      </c>
      <c r="D2" s="151" t="s">
        <v>112</v>
      </c>
      <c r="E2" s="151" t="s">
        <v>28</v>
      </c>
      <c r="F2" s="151"/>
      <c r="G2" s="151" t="s">
        <v>115</v>
      </c>
      <c r="H2" s="151" t="s">
        <v>119</v>
      </c>
      <c r="I2" s="151"/>
      <c r="J2" s="151"/>
      <c r="K2" s="151" t="s">
        <v>106</v>
      </c>
      <c r="L2" s="151"/>
      <c r="M2" s="151"/>
      <c r="N2" s="151"/>
      <c r="O2" s="151"/>
      <c r="P2" s="151"/>
      <c r="Q2" s="151"/>
      <c r="R2" s="151" t="s">
        <v>214</v>
      </c>
      <c r="S2" s="151" t="s">
        <v>215</v>
      </c>
      <c r="T2" s="163" t="s">
        <v>178</v>
      </c>
      <c r="U2" s="163"/>
      <c r="V2" s="163"/>
      <c r="W2" s="163"/>
      <c r="Y2" s="161" t="s">
        <v>222</v>
      </c>
      <c r="Z2" s="161" t="s">
        <v>226</v>
      </c>
      <c r="AA2" s="161" t="s">
        <v>229</v>
      </c>
      <c r="AB2" s="161" t="s">
        <v>224</v>
      </c>
      <c r="AC2" s="161" t="s">
        <v>227</v>
      </c>
    </row>
    <row r="3" spans="2:29" x14ac:dyDescent="0.15">
      <c r="B3" s="151"/>
      <c r="C3" s="151"/>
      <c r="D3" s="151"/>
      <c r="E3" s="151"/>
      <c r="F3" s="151"/>
      <c r="G3" s="151"/>
      <c r="H3" s="151"/>
      <c r="I3" s="151"/>
      <c r="J3" s="151"/>
      <c r="K3" s="151" t="s">
        <v>30</v>
      </c>
      <c r="L3" s="151"/>
      <c r="M3" s="151"/>
      <c r="N3" s="151" t="s">
        <v>33</v>
      </c>
      <c r="O3" s="151"/>
      <c r="P3" s="151" t="s">
        <v>118</v>
      </c>
      <c r="Q3" s="151"/>
      <c r="R3" s="151"/>
      <c r="S3" s="151"/>
      <c r="T3" s="163"/>
      <c r="U3" s="163"/>
      <c r="V3" s="163"/>
      <c r="W3" s="163"/>
      <c r="Y3" s="161"/>
      <c r="Z3" s="162"/>
      <c r="AA3" s="162"/>
      <c r="AB3" s="162"/>
      <c r="AC3" s="162"/>
    </row>
    <row r="4" spans="2:29" x14ac:dyDescent="0.15">
      <c r="B4" s="151"/>
      <c r="C4" s="151"/>
      <c r="D4" s="151"/>
      <c r="E4" s="53" t="s">
        <v>35</v>
      </c>
      <c r="F4" s="53" t="s">
        <v>34</v>
      </c>
      <c r="G4" s="53" t="s">
        <v>176</v>
      </c>
      <c r="H4" s="53" t="s">
        <v>30</v>
      </c>
      <c r="I4" s="53" t="s">
        <v>33</v>
      </c>
      <c r="J4" s="53" t="s">
        <v>118</v>
      </c>
      <c r="K4" s="53" t="s">
        <v>117</v>
      </c>
      <c r="L4" s="53" t="s">
        <v>2</v>
      </c>
      <c r="M4" s="53" t="s">
        <v>3</v>
      </c>
      <c r="N4" s="53" t="s">
        <v>117</v>
      </c>
      <c r="O4" s="53" t="s">
        <v>3</v>
      </c>
      <c r="P4" s="53" t="s">
        <v>117</v>
      </c>
      <c r="Q4" s="53" t="s">
        <v>3</v>
      </c>
      <c r="R4" s="53" t="s">
        <v>176</v>
      </c>
      <c r="S4" s="53" t="s">
        <v>176</v>
      </c>
      <c r="T4" s="54" t="s">
        <v>47</v>
      </c>
      <c r="U4" s="54" t="s">
        <v>52</v>
      </c>
      <c r="V4" s="54" t="s">
        <v>50</v>
      </c>
      <c r="W4" s="54" t="s">
        <v>51</v>
      </c>
      <c r="Y4" s="161"/>
      <c r="Z4" s="162"/>
      <c r="AA4" s="162"/>
      <c r="AB4" s="162"/>
      <c r="AC4" s="162"/>
    </row>
    <row r="5" spans="2:29" x14ac:dyDescent="0.15">
      <c r="B5" s="96"/>
      <c r="C5" s="33" t="s">
        <v>64</v>
      </c>
      <c r="D5" s="97"/>
      <c r="E5" s="98"/>
      <c r="F5" s="98"/>
      <c r="G5" s="99"/>
      <c r="H5" s="128"/>
      <c r="I5" s="128"/>
      <c r="J5" s="128"/>
      <c r="K5" s="100"/>
      <c r="L5" s="32">
        <f ca="1">OFFSET(【DB】被害率係数!$A$4,MATCH($K5,【DB】被害率係数!$A$4:$A$19,0)-1,2)</f>
        <v>0</v>
      </c>
      <c r="M5" s="32">
        <f ca="1">OFFSET(【DB】被害率係数!$A$4,MATCH($K5,【DB】被害率係数!$A$4:$A$19,0)-1,3)</f>
        <v>0</v>
      </c>
      <c r="N5" s="100"/>
      <c r="O5" s="32">
        <f ca="1">OFFSET(【DB】被害率係数!$A$43,MATCH($N5,【DB】被害率係数!$A$43:$A$58,0)-1,3)</f>
        <v>0</v>
      </c>
      <c r="P5" s="100"/>
      <c r="Q5" s="32">
        <f ca="1">OFFSET(【DB】被害率係数!$A$43,MATCH($P5,【DB】被害率係数!$A$43:$A$58,0)-1,3)</f>
        <v>0</v>
      </c>
      <c r="R5" s="99"/>
      <c r="S5" s="99"/>
      <c r="T5" s="101"/>
      <c r="U5" s="101"/>
      <c r="V5" s="101"/>
      <c r="W5" s="101"/>
      <c r="Y5" s="94" t="str">
        <f>IF(B5="●",COUNTIF($B$5:B5,"●"),"")</f>
        <v/>
      </c>
      <c r="Z5" s="94" t="str">
        <f>C5</f>
        <v>B1</v>
      </c>
      <c r="AA5" s="94">
        <v>3</v>
      </c>
      <c r="AB5" s="94" t="str">
        <f>IF(Y5&lt;&gt;"",4+(Y5-1)*4,"")</f>
        <v/>
      </c>
      <c r="AC5" s="94">
        <f>MAX(Y5:Y104)</f>
        <v>0</v>
      </c>
    </row>
    <row r="6" spans="2:29" x14ac:dyDescent="0.15">
      <c r="B6" s="96"/>
      <c r="C6" s="33" t="s">
        <v>65</v>
      </c>
      <c r="D6" s="97"/>
      <c r="E6" s="98"/>
      <c r="F6" s="98"/>
      <c r="G6" s="99"/>
      <c r="H6" s="128"/>
      <c r="I6" s="128"/>
      <c r="J6" s="128"/>
      <c r="K6" s="100"/>
      <c r="L6" s="32">
        <f ca="1">OFFSET(【DB】被害率係数!$A$4,MATCH($K6,【DB】被害率係数!$A$4:$A$19,0)-1,2)</f>
        <v>0</v>
      </c>
      <c r="M6" s="32">
        <f ca="1">OFFSET(【DB】被害率係数!$A$4,MATCH($K6,【DB】被害率係数!$A$4:$A$19,0)-1,3)</f>
        <v>0</v>
      </c>
      <c r="N6" s="100"/>
      <c r="O6" s="32">
        <f ca="1">OFFSET(【DB】被害率係数!$A$43,MATCH($N6,【DB】被害率係数!$A$43:$A$58,0)-1,3)</f>
        <v>0</v>
      </c>
      <c r="P6" s="100"/>
      <c r="Q6" s="32">
        <f ca="1">OFFSET(【DB】被害率係数!$A$43,MATCH($P6,【DB】被害率係数!$A$43:$A$58,0)-1,3)</f>
        <v>0</v>
      </c>
      <c r="R6" s="99"/>
      <c r="S6" s="99"/>
      <c r="T6" s="101"/>
      <c r="U6" s="101"/>
      <c r="V6" s="101"/>
      <c r="W6" s="101"/>
      <c r="Y6" s="94" t="str">
        <f>IF(B6="●",COUNTIF($B$5:B6,"●"),"")</f>
        <v/>
      </c>
      <c r="Z6" s="94" t="str">
        <f t="shared" ref="Z6:Z24" si="0">C6</f>
        <v>B2</v>
      </c>
      <c r="AA6" s="94">
        <f>AA5+4</f>
        <v>7</v>
      </c>
      <c r="AB6" s="94" t="str">
        <f t="shared" ref="AB6:AB24" si="1">IF(Y6&lt;&gt;"",4+(Y6-1)*4,"")</f>
        <v/>
      </c>
    </row>
    <row r="7" spans="2:29" x14ac:dyDescent="0.15">
      <c r="B7" s="96"/>
      <c r="C7" s="33" t="s">
        <v>66</v>
      </c>
      <c r="D7" s="97"/>
      <c r="E7" s="98"/>
      <c r="F7" s="98"/>
      <c r="G7" s="99"/>
      <c r="H7" s="128"/>
      <c r="I7" s="128"/>
      <c r="J7" s="128"/>
      <c r="K7" s="100"/>
      <c r="L7" s="32">
        <f ca="1">OFFSET(【DB】被害率係数!$A$4,MATCH($K7,【DB】被害率係数!$A$4:$A$19,0)-1,2)</f>
        <v>0</v>
      </c>
      <c r="M7" s="32">
        <f ca="1">OFFSET(【DB】被害率係数!$A$4,MATCH($K7,【DB】被害率係数!$A$4:$A$19,0)-1,3)</f>
        <v>0</v>
      </c>
      <c r="N7" s="100"/>
      <c r="O7" s="32">
        <f ca="1">OFFSET(【DB】被害率係数!$A$43,MATCH($N7,【DB】被害率係数!$A$43:$A$58,0)-1,3)</f>
        <v>0</v>
      </c>
      <c r="P7" s="100"/>
      <c r="Q7" s="32">
        <f ca="1">OFFSET(【DB】被害率係数!$A$43,MATCH($P7,【DB】被害率係数!$A$43:$A$58,0)-1,3)</f>
        <v>0</v>
      </c>
      <c r="R7" s="99"/>
      <c r="S7" s="99"/>
      <c r="T7" s="101"/>
      <c r="U7" s="101"/>
      <c r="V7" s="101"/>
      <c r="W7" s="101"/>
      <c r="Y7" s="94" t="str">
        <f>IF(B7="●",COUNTIF($B$5:B7,"●"),"")</f>
        <v/>
      </c>
      <c r="Z7" s="94" t="str">
        <f t="shared" si="0"/>
        <v>B3</v>
      </c>
      <c r="AA7" s="94">
        <f t="shared" ref="AA7:AA70" si="2">AA6+4</f>
        <v>11</v>
      </c>
      <c r="AB7" s="94" t="str">
        <f t="shared" si="1"/>
        <v/>
      </c>
    </row>
    <row r="8" spans="2:29" x14ac:dyDescent="0.15">
      <c r="B8" s="96"/>
      <c r="C8" s="33" t="s">
        <v>67</v>
      </c>
      <c r="D8" s="97"/>
      <c r="E8" s="98"/>
      <c r="F8" s="98"/>
      <c r="G8" s="99"/>
      <c r="H8" s="128"/>
      <c r="I8" s="128"/>
      <c r="J8" s="128"/>
      <c r="K8" s="100"/>
      <c r="L8" s="32">
        <f ca="1">OFFSET(【DB】被害率係数!$A$4,MATCH($K8,【DB】被害率係数!$A$4:$A$19,0)-1,2)</f>
        <v>0</v>
      </c>
      <c r="M8" s="32">
        <f ca="1">OFFSET(【DB】被害率係数!$A$4,MATCH($K8,【DB】被害率係数!$A$4:$A$19,0)-1,3)</f>
        <v>0</v>
      </c>
      <c r="N8" s="100"/>
      <c r="O8" s="32">
        <f ca="1">OFFSET(【DB】被害率係数!$A$43,MATCH($N8,【DB】被害率係数!$A$43:$A$58,0)-1,3)</f>
        <v>0</v>
      </c>
      <c r="P8" s="100"/>
      <c r="Q8" s="32">
        <f ca="1">OFFSET(【DB】被害率係数!$A$43,MATCH($P8,【DB】被害率係数!$A$43:$A$58,0)-1,3)</f>
        <v>0</v>
      </c>
      <c r="R8" s="99"/>
      <c r="S8" s="99"/>
      <c r="T8" s="101"/>
      <c r="U8" s="101"/>
      <c r="V8" s="101"/>
      <c r="W8" s="101"/>
      <c r="Y8" s="94" t="str">
        <f>IF(B8="●",COUNTIF($B$5:B8,"●"),"")</f>
        <v/>
      </c>
      <c r="Z8" s="94" t="str">
        <f t="shared" si="0"/>
        <v>B4</v>
      </c>
      <c r="AA8" s="94">
        <f t="shared" si="2"/>
        <v>15</v>
      </c>
      <c r="AB8" s="94" t="str">
        <f t="shared" si="1"/>
        <v/>
      </c>
    </row>
    <row r="9" spans="2:29" x14ac:dyDescent="0.15">
      <c r="B9" s="96"/>
      <c r="C9" s="33" t="s">
        <v>142</v>
      </c>
      <c r="D9" s="97"/>
      <c r="E9" s="98"/>
      <c r="F9" s="98"/>
      <c r="G9" s="99"/>
      <c r="H9" s="128"/>
      <c r="I9" s="128"/>
      <c r="J9" s="128"/>
      <c r="K9" s="100"/>
      <c r="L9" s="32">
        <f ca="1">OFFSET(【DB】被害率係数!$A$4,MATCH($K9,【DB】被害率係数!$A$4:$A$19,0)-1,2)</f>
        <v>0</v>
      </c>
      <c r="M9" s="32">
        <f ca="1">OFFSET(【DB】被害率係数!$A$4,MATCH($K9,【DB】被害率係数!$A$4:$A$19,0)-1,3)</f>
        <v>0</v>
      </c>
      <c r="N9" s="100"/>
      <c r="O9" s="32">
        <f ca="1">OFFSET(【DB】被害率係数!$A$43,MATCH($N9,【DB】被害率係数!$A$43:$A$58,0)-1,3)</f>
        <v>0</v>
      </c>
      <c r="P9" s="100"/>
      <c r="Q9" s="32">
        <f ca="1">OFFSET(【DB】被害率係数!$A$43,MATCH($P9,【DB】被害率係数!$A$43:$A$58,0)-1,3)</f>
        <v>0</v>
      </c>
      <c r="R9" s="99"/>
      <c r="S9" s="99"/>
      <c r="T9" s="101"/>
      <c r="U9" s="101"/>
      <c r="V9" s="101"/>
      <c r="W9" s="101"/>
      <c r="Y9" s="94" t="str">
        <f>IF(B9="●",COUNTIF($B$5:B9,"●"),"")</f>
        <v/>
      </c>
      <c r="Z9" s="94" t="str">
        <f t="shared" si="0"/>
        <v>B5</v>
      </c>
      <c r="AA9" s="94">
        <f t="shared" si="2"/>
        <v>19</v>
      </c>
      <c r="AB9" s="94" t="str">
        <f t="shared" si="1"/>
        <v/>
      </c>
    </row>
    <row r="10" spans="2:29" x14ac:dyDescent="0.15">
      <c r="B10" s="96"/>
      <c r="C10" s="33" t="s">
        <v>143</v>
      </c>
      <c r="D10" s="97"/>
      <c r="E10" s="98"/>
      <c r="F10" s="98"/>
      <c r="G10" s="99"/>
      <c r="H10" s="128"/>
      <c r="I10" s="128"/>
      <c r="J10" s="128"/>
      <c r="K10" s="100"/>
      <c r="L10" s="32">
        <f ca="1">OFFSET(【DB】被害率係数!$A$4,MATCH($K10,【DB】被害率係数!$A$4:$A$19,0)-1,2)</f>
        <v>0</v>
      </c>
      <c r="M10" s="32">
        <f ca="1">OFFSET(【DB】被害率係数!$A$4,MATCH($K10,【DB】被害率係数!$A$4:$A$19,0)-1,3)</f>
        <v>0</v>
      </c>
      <c r="N10" s="100"/>
      <c r="O10" s="32">
        <f ca="1">OFFSET(【DB】被害率係数!$A$43,MATCH($N10,【DB】被害率係数!$A$43:$A$58,0)-1,3)</f>
        <v>0</v>
      </c>
      <c r="P10" s="100"/>
      <c r="Q10" s="32">
        <f ca="1">OFFSET(【DB】被害率係数!$A$43,MATCH($P10,【DB】被害率係数!$A$43:$A$58,0)-1,3)</f>
        <v>0</v>
      </c>
      <c r="R10" s="99"/>
      <c r="S10" s="99"/>
      <c r="T10" s="101"/>
      <c r="U10" s="101"/>
      <c r="V10" s="101"/>
      <c r="W10" s="101"/>
      <c r="Y10" s="94" t="str">
        <f>IF(B10="●",COUNTIF($B$5:B10,"●"),"")</f>
        <v/>
      </c>
      <c r="Z10" s="94" t="str">
        <f t="shared" si="0"/>
        <v>B6</v>
      </c>
      <c r="AA10" s="94">
        <f t="shared" si="2"/>
        <v>23</v>
      </c>
      <c r="AB10" s="94" t="str">
        <f t="shared" si="1"/>
        <v/>
      </c>
    </row>
    <row r="11" spans="2:29" x14ac:dyDescent="0.15">
      <c r="B11" s="96"/>
      <c r="C11" s="33" t="s">
        <v>144</v>
      </c>
      <c r="D11" s="97"/>
      <c r="E11" s="98"/>
      <c r="F11" s="98"/>
      <c r="G11" s="99"/>
      <c r="H11" s="128"/>
      <c r="I11" s="128"/>
      <c r="J11" s="128"/>
      <c r="K11" s="100"/>
      <c r="L11" s="32">
        <f ca="1">OFFSET(【DB】被害率係数!$A$4,MATCH($K11,【DB】被害率係数!$A$4:$A$19,0)-1,2)</f>
        <v>0</v>
      </c>
      <c r="M11" s="32">
        <f ca="1">OFFSET(【DB】被害率係数!$A$4,MATCH($K11,【DB】被害率係数!$A$4:$A$19,0)-1,3)</f>
        <v>0</v>
      </c>
      <c r="N11" s="100"/>
      <c r="O11" s="32">
        <f ca="1">OFFSET(【DB】被害率係数!$A$43,MATCH($N11,【DB】被害率係数!$A$43:$A$58,0)-1,3)</f>
        <v>0</v>
      </c>
      <c r="P11" s="100"/>
      <c r="Q11" s="32">
        <f ca="1">OFFSET(【DB】被害率係数!$A$43,MATCH($P11,【DB】被害率係数!$A$43:$A$58,0)-1,3)</f>
        <v>0</v>
      </c>
      <c r="R11" s="99"/>
      <c r="S11" s="99"/>
      <c r="T11" s="101"/>
      <c r="U11" s="101"/>
      <c r="V11" s="101"/>
      <c r="W11" s="101"/>
      <c r="Y11" s="94" t="str">
        <f>IF(B11="●",COUNTIF($B$5:B11,"●"),"")</f>
        <v/>
      </c>
      <c r="Z11" s="94" t="str">
        <f t="shared" si="0"/>
        <v>B7</v>
      </c>
      <c r="AA11" s="94">
        <f t="shared" si="2"/>
        <v>27</v>
      </c>
      <c r="AB11" s="94" t="str">
        <f t="shared" si="1"/>
        <v/>
      </c>
    </row>
    <row r="12" spans="2:29" x14ac:dyDescent="0.15">
      <c r="B12" s="96"/>
      <c r="C12" s="33" t="s">
        <v>145</v>
      </c>
      <c r="D12" s="97"/>
      <c r="E12" s="98"/>
      <c r="F12" s="98"/>
      <c r="G12" s="99"/>
      <c r="H12" s="128"/>
      <c r="I12" s="128"/>
      <c r="J12" s="128"/>
      <c r="K12" s="100"/>
      <c r="L12" s="32">
        <f ca="1">OFFSET(【DB】被害率係数!$A$4,MATCH($K12,【DB】被害率係数!$A$4:$A$19,0)-1,2)</f>
        <v>0</v>
      </c>
      <c r="M12" s="32">
        <f ca="1">OFFSET(【DB】被害率係数!$A$4,MATCH($K12,【DB】被害率係数!$A$4:$A$19,0)-1,3)</f>
        <v>0</v>
      </c>
      <c r="N12" s="100"/>
      <c r="O12" s="32">
        <f ca="1">OFFSET(【DB】被害率係数!$A$43,MATCH($N12,【DB】被害率係数!$A$43:$A$58,0)-1,3)</f>
        <v>0</v>
      </c>
      <c r="P12" s="100"/>
      <c r="Q12" s="32">
        <f ca="1">OFFSET(【DB】被害率係数!$A$43,MATCH($P12,【DB】被害率係数!$A$43:$A$58,0)-1,3)</f>
        <v>0</v>
      </c>
      <c r="R12" s="99"/>
      <c r="S12" s="99"/>
      <c r="T12" s="101"/>
      <c r="U12" s="101"/>
      <c r="V12" s="101"/>
      <c r="W12" s="101"/>
      <c r="Y12" s="94" t="str">
        <f>IF(B12="●",COUNTIF($B$5:B12,"●"),"")</f>
        <v/>
      </c>
      <c r="Z12" s="94" t="str">
        <f t="shared" si="0"/>
        <v>B8</v>
      </c>
      <c r="AA12" s="94">
        <f t="shared" si="2"/>
        <v>31</v>
      </c>
      <c r="AB12" s="94" t="str">
        <f t="shared" si="1"/>
        <v/>
      </c>
    </row>
    <row r="13" spans="2:29" x14ac:dyDescent="0.15">
      <c r="B13" s="96"/>
      <c r="C13" s="33" t="s">
        <v>146</v>
      </c>
      <c r="D13" s="97"/>
      <c r="E13" s="98"/>
      <c r="F13" s="98"/>
      <c r="G13" s="99"/>
      <c r="H13" s="128"/>
      <c r="I13" s="128"/>
      <c r="J13" s="128"/>
      <c r="K13" s="100"/>
      <c r="L13" s="32">
        <f ca="1">OFFSET(【DB】被害率係数!$A$4,MATCH($K13,【DB】被害率係数!$A$4:$A$19,0)-1,2)</f>
        <v>0</v>
      </c>
      <c r="M13" s="32">
        <f ca="1">OFFSET(【DB】被害率係数!$A$4,MATCH($K13,【DB】被害率係数!$A$4:$A$19,0)-1,3)</f>
        <v>0</v>
      </c>
      <c r="N13" s="100"/>
      <c r="O13" s="32">
        <f ca="1">OFFSET(【DB】被害率係数!$A$43,MATCH($N13,【DB】被害率係数!$A$43:$A$58,0)-1,3)</f>
        <v>0</v>
      </c>
      <c r="P13" s="100"/>
      <c r="Q13" s="32">
        <f ca="1">OFFSET(【DB】被害率係数!$A$43,MATCH($P13,【DB】被害率係数!$A$43:$A$58,0)-1,3)</f>
        <v>0</v>
      </c>
      <c r="R13" s="99"/>
      <c r="S13" s="99"/>
      <c r="T13" s="101"/>
      <c r="U13" s="101"/>
      <c r="V13" s="101"/>
      <c r="W13" s="101"/>
      <c r="Y13" s="94" t="str">
        <f>IF(B13="●",COUNTIF($B$5:B13,"●"),"")</f>
        <v/>
      </c>
      <c r="Z13" s="94" t="str">
        <f t="shared" si="0"/>
        <v>B9</v>
      </c>
      <c r="AA13" s="94">
        <f t="shared" si="2"/>
        <v>35</v>
      </c>
      <c r="AB13" s="94" t="str">
        <f t="shared" si="1"/>
        <v/>
      </c>
    </row>
    <row r="14" spans="2:29" x14ac:dyDescent="0.15">
      <c r="B14" s="96"/>
      <c r="C14" s="33" t="s">
        <v>147</v>
      </c>
      <c r="D14" s="97"/>
      <c r="E14" s="98"/>
      <c r="F14" s="98"/>
      <c r="G14" s="99"/>
      <c r="H14" s="128"/>
      <c r="I14" s="128"/>
      <c r="J14" s="128"/>
      <c r="K14" s="100"/>
      <c r="L14" s="32">
        <f ca="1">OFFSET(【DB】被害率係数!$A$4,MATCH($K14,【DB】被害率係数!$A$4:$A$19,0)-1,2)</f>
        <v>0</v>
      </c>
      <c r="M14" s="32">
        <f ca="1">OFFSET(【DB】被害率係数!$A$4,MATCH($K14,【DB】被害率係数!$A$4:$A$19,0)-1,3)</f>
        <v>0</v>
      </c>
      <c r="N14" s="100"/>
      <c r="O14" s="32">
        <f ca="1">OFFSET(【DB】被害率係数!$A$43,MATCH($N14,【DB】被害率係数!$A$43:$A$58,0)-1,3)</f>
        <v>0</v>
      </c>
      <c r="P14" s="100"/>
      <c r="Q14" s="32">
        <f ca="1">OFFSET(【DB】被害率係数!$A$43,MATCH($P14,【DB】被害率係数!$A$43:$A$58,0)-1,3)</f>
        <v>0</v>
      </c>
      <c r="R14" s="99"/>
      <c r="S14" s="99"/>
      <c r="T14" s="101"/>
      <c r="U14" s="101"/>
      <c r="V14" s="101"/>
      <c r="W14" s="101"/>
      <c r="Y14" s="94" t="str">
        <f>IF(B14="●",COUNTIF($B$5:B14,"●"),"")</f>
        <v/>
      </c>
      <c r="Z14" s="94" t="str">
        <f t="shared" si="0"/>
        <v>B10</v>
      </c>
      <c r="AA14" s="94">
        <f t="shared" si="2"/>
        <v>39</v>
      </c>
      <c r="AB14" s="94" t="str">
        <f t="shared" si="1"/>
        <v/>
      </c>
    </row>
    <row r="15" spans="2:29" x14ac:dyDescent="0.15">
      <c r="B15" s="96"/>
      <c r="C15" s="33" t="s">
        <v>148</v>
      </c>
      <c r="D15" s="97"/>
      <c r="E15" s="98"/>
      <c r="F15" s="98"/>
      <c r="G15" s="99"/>
      <c r="H15" s="128"/>
      <c r="I15" s="128"/>
      <c r="J15" s="128"/>
      <c r="K15" s="100"/>
      <c r="L15" s="32">
        <f ca="1">OFFSET(【DB】被害率係数!$A$4,MATCH($K15,【DB】被害率係数!$A$4:$A$19,0)-1,2)</f>
        <v>0</v>
      </c>
      <c r="M15" s="32">
        <f ca="1">OFFSET(【DB】被害率係数!$A$4,MATCH($K15,【DB】被害率係数!$A$4:$A$19,0)-1,3)</f>
        <v>0</v>
      </c>
      <c r="N15" s="100"/>
      <c r="O15" s="32">
        <f ca="1">OFFSET(【DB】被害率係数!$A$43,MATCH($N15,【DB】被害率係数!$A$43:$A$58,0)-1,3)</f>
        <v>0</v>
      </c>
      <c r="P15" s="100"/>
      <c r="Q15" s="32">
        <f ca="1">OFFSET(【DB】被害率係数!$A$43,MATCH($P15,【DB】被害率係数!$A$43:$A$58,0)-1,3)</f>
        <v>0</v>
      </c>
      <c r="R15" s="99"/>
      <c r="S15" s="99"/>
      <c r="T15" s="101"/>
      <c r="U15" s="101"/>
      <c r="V15" s="101"/>
      <c r="W15" s="101"/>
      <c r="Y15" s="94" t="str">
        <f>IF(B15="●",COUNTIF($B$5:B15,"●"),"")</f>
        <v/>
      </c>
      <c r="Z15" s="94" t="str">
        <f t="shared" si="0"/>
        <v>B11</v>
      </c>
      <c r="AA15" s="94">
        <f t="shared" si="2"/>
        <v>43</v>
      </c>
      <c r="AB15" s="94" t="str">
        <f t="shared" si="1"/>
        <v/>
      </c>
    </row>
    <row r="16" spans="2:29" x14ac:dyDescent="0.15">
      <c r="B16" s="96"/>
      <c r="C16" s="33" t="s">
        <v>149</v>
      </c>
      <c r="D16" s="97"/>
      <c r="E16" s="98"/>
      <c r="F16" s="98"/>
      <c r="G16" s="99"/>
      <c r="H16" s="128"/>
      <c r="I16" s="128"/>
      <c r="J16" s="128"/>
      <c r="K16" s="100"/>
      <c r="L16" s="32">
        <f ca="1">OFFSET(【DB】被害率係数!$A$4,MATCH($K16,【DB】被害率係数!$A$4:$A$19,0)-1,2)</f>
        <v>0</v>
      </c>
      <c r="M16" s="32">
        <f ca="1">OFFSET(【DB】被害率係数!$A$4,MATCH($K16,【DB】被害率係数!$A$4:$A$19,0)-1,3)</f>
        <v>0</v>
      </c>
      <c r="N16" s="100"/>
      <c r="O16" s="32">
        <f ca="1">OFFSET(【DB】被害率係数!$A$43,MATCH($N16,【DB】被害率係数!$A$43:$A$58,0)-1,3)</f>
        <v>0</v>
      </c>
      <c r="P16" s="100"/>
      <c r="Q16" s="32">
        <f ca="1">OFFSET(【DB】被害率係数!$A$43,MATCH($P16,【DB】被害率係数!$A$43:$A$58,0)-1,3)</f>
        <v>0</v>
      </c>
      <c r="R16" s="99"/>
      <c r="S16" s="99"/>
      <c r="T16" s="101"/>
      <c r="U16" s="101"/>
      <c r="V16" s="101"/>
      <c r="W16" s="101"/>
      <c r="Y16" s="94" t="str">
        <f>IF(B16="●",COUNTIF($B$5:B16,"●"),"")</f>
        <v/>
      </c>
      <c r="Z16" s="94" t="str">
        <f t="shared" si="0"/>
        <v>B12</v>
      </c>
      <c r="AA16" s="94">
        <f t="shared" si="2"/>
        <v>47</v>
      </c>
      <c r="AB16" s="94" t="str">
        <f>IF(Y16&lt;&gt;"",4+(Y16-1)*4,"")</f>
        <v/>
      </c>
    </row>
    <row r="17" spans="2:28" x14ac:dyDescent="0.15">
      <c r="B17" s="96"/>
      <c r="C17" s="33" t="s">
        <v>150</v>
      </c>
      <c r="D17" s="97"/>
      <c r="E17" s="98"/>
      <c r="F17" s="98"/>
      <c r="G17" s="99"/>
      <c r="H17" s="128"/>
      <c r="I17" s="128"/>
      <c r="J17" s="128"/>
      <c r="K17" s="100"/>
      <c r="L17" s="32">
        <f ca="1">OFFSET(【DB】被害率係数!$A$4,MATCH($K17,【DB】被害率係数!$A$4:$A$19,0)-1,2)</f>
        <v>0</v>
      </c>
      <c r="M17" s="32">
        <f ca="1">OFFSET(【DB】被害率係数!$A$4,MATCH($K17,【DB】被害率係数!$A$4:$A$19,0)-1,3)</f>
        <v>0</v>
      </c>
      <c r="N17" s="100"/>
      <c r="O17" s="32">
        <f ca="1">OFFSET(【DB】被害率係数!$A$43,MATCH($N17,【DB】被害率係数!$A$43:$A$58,0)-1,3)</f>
        <v>0</v>
      </c>
      <c r="P17" s="100"/>
      <c r="Q17" s="32">
        <f ca="1">OFFSET(【DB】被害率係数!$A$43,MATCH($P17,【DB】被害率係数!$A$43:$A$58,0)-1,3)</f>
        <v>0</v>
      </c>
      <c r="R17" s="99"/>
      <c r="S17" s="99"/>
      <c r="T17" s="101"/>
      <c r="U17" s="101"/>
      <c r="V17" s="101"/>
      <c r="W17" s="101"/>
      <c r="Y17" s="94" t="str">
        <f>IF(B17="●",COUNTIF($B$5:B17,"●"),"")</f>
        <v/>
      </c>
      <c r="Z17" s="94" t="str">
        <f t="shared" si="0"/>
        <v>B13</v>
      </c>
      <c r="AA17" s="94">
        <f t="shared" si="2"/>
        <v>51</v>
      </c>
      <c r="AB17" s="94" t="str">
        <f t="shared" si="1"/>
        <v/>
      </c>
    </row>
    <row r="18" spans="2:28" x14ac:dyDescent="0.15">
      <c r="B18" s="96"/>
      <c r="C18" s="33" t="s">
        <v>151</v>
      </c>
      <c r="D18" s="97"/>
      <c r="E18" s="98"/>
      <c r="F18" s="98"/>
      <c r="G18" s="99"/>
      <c r="H18" s="128"/>
      <c r="I18" s="128"/>
      <c r="J18" s="128"/>
      <c r="K18" s="100"/>
      <c r="L18" s="32">
        <f ca="1">OFFSET(【DB】被害率係数!$A$4,MATCH($K18,【DB】被害率係数!$A$4:$A$19,0)-1,2)</f>
        <v>0</v>
      </c>
      <c r="M18" s="32">
        <f ca="1">OFFSET(【DB】被害率係数!$A$4,MATCH($K18,【DB】被害率係数!$A$4:$A$19,0)-1,3)</f>
        <v>0</v>
      </c>
      <c r="N18" s="100"/>
      <c r="O18" s="32">
        <f ca="1">OFFSET(【DB】被害率係数!$A$43,MATCH($N18,【DB】被害率係数!$A$43:$A$58,0)-1,3)</f>
        <v>0</v>
      </c>
      <c r="P18" s="100"/>
      <c r="Q18" s="32">
        <f ca="1">OFFSET(【DB】被害率係数!$A$43,MATCH($P18,【DB】被害率係数!$A$43:$A$58,0)-1,3)</f>
        <v>0</v>
      </c>
      <c r="R18" s="99"/>
      <c r="S18" s="99"/>
      <c r="T18" s="101"/>
      <c r="U18" s="101"/>
      <c r="V18" s="101"/>
      <c r="W18" s="101"/>
      <c r="Y18" s="94" t="str">
        <f>IF(B18="●",COUNTIF($B$5:B18,"●"),"")</f>
        <v/>
      </c>
      <c r="Z18" s="94" t="str">
        <f t="shared" si="0"/>
        <v>B14</v>
      </c>
      <c r="AA18" s="94">
        <f t="shared" si="2"/>
        <v>55</v>
      </c>
      <c r="AB18" s="94" t="str">
        <f t="shared" si="1"/>
        <v/>
      </c>
    </row>
    <row r="19" spans="2:28" x14ac:dyDescent="0.15">
      <c r="B19" s="96"/>
      <c r="C19" s="33" t="s">
        <v>110</v>
      </c>
      <c r="D19" s="97"/>
      <c r="E19" s="98"/>
      <c r="F19" s="98"/>
      <c r="G19" s="99"/>
      <c r="H19" s="128"/>
      <c r="I19" s="128"/>
      <c r="J19" s="128"/>
      <c r="K19" s="100"/>
      <c r="L19" s="32">
        <f ca="1">OFFSET(【DB】被害率係数!$A$4,MATCH($K19,【DB】被害率係数!$A$4:$A$19,0)-1,2)</f>
        <v>0</v>
      </c>
      <c r="M19" s="32">
        <f ca="1">OFFSET(【DB】被害率係数!$A$4,MATCH($K19,【DB】被害率係数!$A$4:$A$19,0)-1,3)</f>
        <v>0</v>
      </c>
      <c r="N19" s="100"/>
      <c r="O19" s="32">
        <f ca="1">OFFSET(【DB】被害率係数!$A$43,MATCH($N19,【DB】被害率係数!$A$43:$A$58,0)-1,3)</f>
        <v>0</v>
      </c>
      <c r="P19" s="100"/>
      <c r="Q19" s="32">
        <f ca="1">OFFSET(【DB】被害率係数!$A$43,MATCH($P19,【DB】被害率係数!$A$43:$A$58,0)-1,3)</f>
        <v>0</v>
      </c>
      <c r="R19" s="99"/>
      <c r="S19" s="99"/>
      <c r="T19" s="101"/>
      <c r="U19" s="101"/>
      <c r="V19" s="101"/>
      <c r="W19" s="101"/>
      <c r="Y19" s="94" t="str">
        <f>IF(B19="●",COUNTIF($B$5:B19,"●"),"")</f>
        <v/>
      </c>
      <c r="Z19" s="94" t="str">
        <f t="shared" si="0"/>
        <v>B15</v>
      </c>
      <c r="AA19" s="94">
        <f t="shared" si="2"/>
        <v>59</v>
      </c>
      <c r="AB19" s="94" t="str">
        <f t="shared" si="1"/>
        <v/>
      </c>
    </row>
    <row r="20" spans="2:28" x14ac:dyDescent="0.15">
      <c r="B20" s="96"/>
      <c r="C20" s="33" t="s">
        <v>152</v>
      </c>
      <c r="D20" s="97"/>
      <c r="E20" s="98"/>
      <c r="F20" s="98"/>
      <c r="G20" s="99"/>
      <c r="H20" s="128"/>
      <c r="I20" s="128"/>
      <c r="J20" s="128"/>
      <c r="K20" s="100"/>
      <c r="L20" s="32">
        <f ca="1">OFFSET(【DB】被害率係数!$A$4,MATCH($K20,【DB】被害率係数!$A$4:$A$19,0)-1,2)</f>
        <v>0</v>
      </c>
      <c r="M20" s="32">
        <f ca="1">OFFSET(【DB】被害率係数!$A$4,MATCH($K20,【DB】被害率係数!$A$4:$A$19,0)-1,3)</f>
        <v>0</v>
      </c>
      <c r="N20" s="100"/>
      <c r="O20" s="32">
        <f ca="1">OFFSET(【DB】被害率係数!$A$43,MATCH($N20,【DB】被害率係数!$A$43:$A$58,0)-1,3)</f>
        <v>0</v>
      </c>
      <c r="P20" s="100"/>
      <c r="Q20" s="32">
        <f ca="1">OFFSET(【DB】被害率係数!$A$43,MATCH($P20,【DB】被害率係数!$A$43:$A$58,0)-1,3)</f>
        <v>0</v>
      </c>
      <c r="R20" s="99"/>
      <c r="S20" s="99"/>
      <c r="T20" s="101"/>
      <c r="U20" s="101"/>
      <c r="V20" s="101"/>
      <c r="W20" s="101"/>
      <c r="Y20" s="94" t="str">
        <f>IF(B20="●",COUNTIF($B$5:B20,"●"),"")</f>
        <v/>
      </c>
      <c r="Z20" s="94" t="str">
        <f t="shared" si="0"/>
        <v>B16</v>
      </c>
      <c r="AA20" s="94">
        <f t="shared" si="2"/>
        <v>63</v>
      </c>
      <c r="AB20" s="94" t="str">
        <f t="shared" si="1"/>
        <v/>
      </c>
    </row>
    <row r="21" spans="2:28" x14ac:dyDescent="0.15">
      <c r="B21" s="96"/>
      <c r="C21" s="33" t="s">
        <v>153</v>
      </c>
      <c r="D21" s="97"/>
      <c r="E21" s="98"/>
      <c r="F21" s="98"/>
      <c r="G21" s="99"/>
      <c r="H21" s="128"/>
      <c r="I21" s="128"/>
      <c r="J21" s="128"/>
      <c r="K21" s="100"/>
      <c r="L21" s="32">
        <f ca="1">OFFSET(【DB】被害率係数!$A$4,MATCH($K21,【DB】被害率係数!$A$4:$A$19,0)-1,2)</f>
        <v>0</v>
      </c>
      <c r="M21" s="32">
        <f ca="1">OFFSET(【DB】被害率係数!$A$4,MATCH($K21,【DB】被害率係数!$A$4:$A$19,0)-1,3)</f>
        <v>0</v>
      </c>
      <c r="N21" s="100"/>
      <c r="O21" s="32">
        <f ca="1">OFFSET(【DB】被害率係数!$A$43,MATCH($N21,【DB】被害率係数!$A$43:$A$58,0)-1,3)</f>
        <v>0</v>
      </c>
      <c r="P21" s="100"/>
      <c r="Q21" s="32">
        <f ca="1">OFFSET(【DB】被害率係数!$A$43,MATCH($P21,【DB】被害率係数!$A$43:$A$58,0)-1,3)</f>
        <v>0</v>
      </c>
      <c r="R21" s="99"/>
      <c r="S21" s="99"/>
      <c r="T21" s="101"/>
      <c r="U21" s="101"/>
      <c r="V21" s="101"/>
      <c r="W21" s="101"/>
      <c r="Y21" s="94" t="str">
        <f>IF(B21="●",COUNTIF($B$5:B21,"●"),"")</f>
        <v/>
      </c>
      <c r="Z21" s="94" t="str">
        <f t="shared" si="0"/>
        <v>B17</v>
      </c>
      <c r="AA21" s="94">
        <f t="shared" si="2"/>
        <v>67</v>
      </c>
      <c r="AB21" s="94" t="str">
        <f t="shared" si="1"/>
        <v/>
      </c>
    </row>
    <row r="22" spans="2:28" x14ac:dyDescent="0.15">
      <c r="B22" s="96"/>
      <c r="C22" s="33" t="s">
        <v>154</v>
      </c>
      <c r="D22" s="97"/>
      <c r="E22" s="98"/>
      <c r="F22" s="98"/>
      <c r="G22" s="99"/>
      <c r="H22" s="128"/>
      <c r="I22" s="128"/>
      <c r="J22" s="128"/>
      <c r="K22" s="100"/>
      <c r="L22" s="32">
        <f ca="1">OFFSET(【DB】被害率係数!$A$4,MATCH($K22,【DB】被害率係数!$A$4:$A$19,0)-1,2)</f>
        <v>0</v>
      </c>
      <c r="M22" s="32">
        <f ca="1">OFFSET(【DB】被害率係数!$A$4,MATCH($K22,【DB】被害率係数!$A$4:$A$19,0)-1,3)</f>
        <v>0</v>
      </c>
      <c r="N22" s="100"/>
      <c r="O22" s="32">
        <f ca="1">OFFSET(【DB】被害率係数!$A$43,MATCH($N22,【DB】被害率係数!$A$43:$A$58,0)-1,3)</f>
        <v>0</v>
      </c>
      <c r="P22" s="100"/>
      <c r="Q22" s="32">
        <f ca="1">OFFSET(【DB】被害率係数!$A$43,MATCH($P22,【DB】被害率係数!$A$43:$A$58,0)-1,3)</f>
        <v>0</v>
      </c>
      <c r="R22" s="99"/>
      <c r="S22" s="99"/>
      <c r="T22" s="101"/>
      <c r="U22" s="101"/>
      <c r="V22" s="101"/>
      <c r="W22" s="101"/>
      <c r="Y22" s="94" t="str">
        <f>IF(B22="●",COUNTIF($B$5:B22,"●"),"")</f>
        <v/>
      </c>
      <c r="Z22" s="94" t="str">
        <f t="shared" si="0"/>
        <v>B18</v>
      </c>
      <c r="AA22" s="94">
        <f t="shared" si="2"/>
        <v>71</v>
      </c>
      <c r="AB22" s="94" t="str">
        <f t="shared" si="1"/>
        <v/>
      </c>
    </row>
    <row r="23" spans="2:28" x14ac:dyDescent="0.15">
      <c r="B23" s="96"/>
      <c r="C23" s="33" t="s">
        <v>155</v>
      </c>
      <c r="D23" s="97"/>
      <c r="E23" s="98"/>
      <c r="F23" s="98"/>
      <c r="G23" s="99"/>
      <c r="H23" s="128"/>
      <c r="I23" s="128"/>
      <c r="J23" s="128"/>
      <c r="K23" s="100"/>
      <c r="L23" s="32">
        <f ca="1">OFFSET(【DB】被害率係数!$A$4,MATCH($K23,【DB】被害率係数!$A$4:$A$19,0)-1,2)</f>
        <v>0</v>
      </c>
      <c r="M23" s="32">
        <f ca="1">OFFSET(【DB】被害率係数!$A$4,MATCH($K23,【DB】被害率係数!$A$4:$A$19,0)-1,3)</f>
        <v>0</v>
      </c>
      <c r="N23" s="100"/>
      <c r="O23" s="32">
        <f ca="1">OFFSET(【DB】被害率係数!$A$43,MATCH($N23,【DB】被害率係数!$A$43:$A$58,0)-1,3)</f>
        <v>0</v>
      </c>
      <c r="P23" s="100"/>
      <c r="Q23" s="32">
        <f ca="1">OFFSET(【DB】被害率係数!$A$43,MATCH($P23,【DB】被害率係数!$A$43:$A$58,0)-1,3)</f>
        <v>0</v>
      </c>
      <c r="R23" s="99"/>
      <c r="S23" s="99"/>
      <c r="T23" s="101"/>
      <c r="U23" s="101"/>
      <c r="V23" s="101"/>
      <c r="W23" s="101"/>
      <c r="Y23" s="94" t="str">
        <f>IF(B23="●",COUNTIF($B$5:B23,"●"),"")</f>
        <v/>
      </c>
      <c r="Z23" s="94" t="str">
        <f t="shared" si="0"/>
        <v>B19</v>
      </c>
      <c r="AA23" s="94">
        <f t="shared" si="2"/>
        <v>75</v>
      </c>
      <c r="AB23" s="94" t="str">
        <f t="shared" si="1"/>
        <v/>
      </c>
    </row>
    <row r="24" spans="2:28" x14ac:dyDescent="0.15">
      <c r="B24" s="96"/>
      <c r="C24" s="33" t="s">
        <v>239</v>
      </c>
      <c r="D24" s="97"/>
      <c r="E24" s="98"/>
      <c r="F24" s="98"/>
      <c r="G24" s="99"/>
      <c r="H24" s="128"/>
      <c r="I24" s="128"/>
      <c r="J24" s="128"/>
      <c r="K24" s="100"/>
      <c r="L24" s="32">
        <f ca="1">OFFSET(【DB】被害率係数!$A$4,MATCH($K24,【DB】被害率係数!$A$4:$A$19,0)-1,2)</f>
        <v>0</v>
      </c>
      <c r="M24" s="32">
        <f ca="1">OFFSET(【DB】被害率係数!$A$4,MATCH($K24,【DB】被害率係数!$A$4:$A$19,0)-1,3)</f>
        <v>0</v>
      </c>
      <c r="N24" s="100"/>
      <c r="O24" s="32">
        <f ca="1">OFFSET(【DB】被害率係数!$A$43,MATCH($N24,【DB】被害率係数!$A$43:$A$58,0)-1,3)</f>
        <v>0</v>
      </c>
      <c r="P24" s="100"/>
      <c r="Q24" s="32">
        <f ca="1">OFFSET(【DB】被害率係数!$A$43,MATCH($P24,【DB】被害率係数!$A$43:$A$58,0)-1,3)</f>
        <v>0</v>
      </c>
      <c r="R24" s="99"/>
      <c r="S24" s="99"/>
      <c r="T24" s="101"/>
      <c r="U24" s="101"/>
      <c r="V24" s="101"/>
      <c r="W24" s="101"/>
      <c r="Y24" s="94" t="str">
        <f>IF(B24="●",COUNTIF($B$5:B24,"●"),"")</f>
        <v/>
      </c>
      <c r="Z24" s="94" t="str">
        <f t="shared" si="0"/>
        <v>B20</v>
      </c>
      <c r="AA24" s="94">
        <f t="shared" si="2"/>
        <v>79</v>
      </c>
      <c r="AB24" s="94" t="str">
        <f t="shared" si="1"/>
        <v/>
      </c>
    </row>
    <row r="25" spans="2:28" x14ac:dyDescent="0.15">
      <c r="B25" s="96"/>
      <c r="C25" s="33" t="s">
        <v>256</v>
      </c>
      <c r="D25" s="97"/>
      <c r="E25" s="98"/>
      <c r="F25" s="98"/>
      <c r="G25" s="99"/>
      <c r="H25" s="128"/>
      <c r="I25" s="128"/>
      <c r="J25" s="128"/>
      <c r="K25" s="100"/>
      <c r="L25" s="32">
        <f ca="1">OFFSET(【DB】被害率係数!$A$4,MATCH($K25,【DB】被害率係数!$A$4:$A$19,0)-1,2)</f>
        <v>0</v>
      </c>
      <c r="M25" s="32">
        <f ca="1">OFFSET(【DB】被害率係数!$A$4,MATCH($K25,【DB】被害率係数!$A$4:$A$19,0)-1,3)</f>
        <v>0</v>
      </c>
      <c r="N25" s="100"/>
      <c r="O25" s="32">
        <f ca="1">OFFSET(【DB】被害率係数!$A$43,MATCH($N25,【DB】被害率係数!$A$43:$A$58,0)-1,3)</f>
        <v>0</v>
      </c>
      <c r="P25" s="100"/>
      <c r="Q25" s="32">
        <f ca="1">OFFSET(【DB】被害率係数!$A$43,MATCH($P25,【DB】被害率係数!$A$43:$A$58,0)-1,3)</f>
        <v>0</v>
      </c>
      <c r="R25" s="99"/>
      <c r="S25" s="99"/>
      <c r="T25" s="101"/>
      <c r="U25" s="101"/>
      <c r="V25" s="101"/>
      <c r="W25" s="101"/>
      <c r="Y25" s="94" t="str">
        <f>IF(B25="●",COUNTIF($B$5:B25,"●"),"")</f>
        <v/>
      </c>
      <c r="Z25" s="94" t="str">
        <f t="shared" ref="Z25:Z88" si="3">C25</f>
        <v>B21</v>
      </c>
      <c r="AA25" s="94">
        <f t="shared" si="2"/>
        <v>83</v>
      </c>
      <c r="AB25" s="94" t="str">
        <f t="shared" ref="AB25:AB88" si="4">IF(Y25&lt;&gt;"",4+(Y25-1)*4,"")</f>
        <v/>
      </c>
    </row>
    <row r="26" spans="2:28" x14ac:dyDescent="0.15">
      <c r="B26" s="96"/>
      <c r="C26" s="33" t="s">
        <v>257</v>
      </c>
      <c r="D26" s="97"/>
      <c r="E26" s="98"/>
      <c r="F26" s="98"/>
      <c r="G26" s="99"/>
      <c r="H26" s="128"/>
      <c r="I26" s="128"/>
      <c r="J26" s="128"/>
      <c r="K26" s="100"/>
      <c r="L26" s="32">
        <f ca="1">OFFSET(【DB】被害率係数!$A$4,MATCH($K26,【DB】被害率係数!$A$4:$A$19,0)-1,2)</f>
        <v>0</v>
      </c>
      <c r="M26" s="32">
        <f ca="1">OFFSET(【DB】被害率係数!$A$4,MATCH($K26,【DB】被害率係数!$A$4:$A$19,0)-1,3)</f>
        <v>0</v>
      </c>
      <c r="N26" s="100"/>
      <c r="O26" s="32">
        <f ca="1">OFFSET(【DB】被害率係数!$A$43,MATCH($N26,【DB】被害率係数!$A$43:$A$58,0)-1,3)</f>
        <v>0</v>
      </c>
      <c r="P26" s="100"/>
      <c r="Q26" s="32">
        <f ca="1">OFFSET(【DB】被害率係数!$A$43,MATCH($P26,【DB】被害率係数!$A$43:$A$58,0)-1,3)</f>
        <v>0</v>
      </c>
      <c r="R26" s="99"/>
      <c r="S26" s="99"/>
      <c r="T26" s="101"/>
      <c r="U26" s="101"/>
      <c r="V26" s="101"/>
      <c r="W26" s="101"/>
      <c r="Y26" s="94" t="str">
        <f>IF(B26="●",COUNTIF($B$5:B26,"●"),"")</f>
        <v/>
      </c>
      <c r="Z26" s="94" t="str">
        <f t="shared" si="3"/>
        <v>B22</v>
      </c>
      <c r="AA26" s="94">
        <f t="shared" si="2"/>
        <v>87</v>
      </c>
      <c r="AB26" s="94" t="str">
        <f t="shared" si="4"/>
        <v/>
      </c>
    </row>
    <row r="27" spans="2:28" x14ac:dyDescent="0.15">
      <c r="B27" s="96"/>
      <c r="C27" s="33" t="s">
        <v>258</v>
      </c>
      <c r="D27" s="97"/>
      <c r="E27" s="98"/>
      <c r="F27" s="98"/>
      <c r="G27" s="99"/>
      <c r="H27" s="128"/>
      <c r="I27" s="128"/>
      <c r="J27" s="128"/>
      <c r="K27" s="100"/>
      <c r="L27" s="32">
        <f ca="1">OFFSET(【DB】被害率係数!$A$4,MATCH($K27,【DB】被害率係数!$A$4:$A$19,0)-1,2)</f>
        <v>0</v>
      </c>
      <c r="M27" s="32">
        <f ca="1">OFFSET(【DB】被害率係数!$A$4,MATCH($K27,【DB】被害率係数!$A$4:$A$19,0)-1,3)</f>
        <v>0</v>
      </c>
      <c r="N27" s="100"/>
      <c r="O27" s="32">
        <f ca="1">OFFSET(【DB】被害率係数!$A$43,MATCH($N27,【DB】被害率係数!$A$43:$A$58,0)-1,3)</f>
        <v>0</v>
      </c>
      <c r="P27" s="100"/>
      <c r="Q27" s="32">
        <f ca="1">OFFSET(【DB】被害率係数!$A$43,MATCH($P27,【DB】被害率係数!$A$43:$A$58,0)-1,3)</f>
        <v>0</v>
      </c>
      <c r="R27" s="99"/>
      <c r="S27" s="99"/>
      <c r="T27" s="101"/>
      <c r="U27" s="101"/>
      <c r="V27" s="101"/>
      <c r="W27" s="101"/>
      <c r="Y27" s="94" t="str">
        <f>IF(B27="●",COUNTIF($B$5:B27,"●"),"")</f>
        <v/>
      </c>
      <c r="Z27" s="94" t="str">
        <f t="shared" si="3"/>
        <v>B23</v>
      </c>
      <c r="AA27" s="94">
        <f t="shared" si="2"/>
        <v>91</v>
      </c>
      <c r="AB27" s="94" t="str">
        <f t="shared" si="4"/>
        <v/>
      </c>
    </row>
    <row r="28" spans="2:28" x14ac:dyDescent="0.15">
      <c r="B28" s="96"/>
      <c r="C28" s="33" t="s">
        <v>259</v>
      </c>
      <c r="D28" s="97"/>
      <c r="E28" s="98"/>
      <c r="F28" s="98"/>
      <c r="G28" s="99"/>
      <c r="H28" s="128"/>
      <c r="I28" s="128"/>
      <c r="J28" s="128"/>
      <c r="K28" s="100"/>
      <c r="L28" s="32">
        <f ca="1">OFFSET(【DB】被害率係数!$A$4,MATCH($K28,【DB】被害率係数!$A$4:$A$19,0)-1,2)</f>
        <v>0</v>
      </c>
      <c r="M28" s="32">
        <f ca="1">OFFSET(【DB】被害率係数!$A$4,MATCH($K28,【DB】被害率係数!$A$4:$A$19,0)-1,3)</f>
        <v>0</v>
      </c>
      <c r="N28" s="100"/>
      <c r="O28" s="32">
        <f ca="1">OFFSET(【DB】被害率係数!$A$43,MATCH($N28,【DB】被害率係数!$A$43:$A$58,0)-1,3)</f>
        <v>0</v>
      </c>
      <c r="P28" s="100"/>
      <c r="Q28" s="32">
        <f ca="1">OFFSET(【DB】被害率係数!$A$43,MATCH($P28,【DB】被害率係数!$A$43:$A$58,0)-1,3)</f>
        <v>0</v>
      </c>
      <c r="R28" s="99"/>
      <c r="S28" s="99"/>
      <c r="T28" s="101"/>
      <c r="U28" s="101"/>
      <c r="V28" s="101"/>
      <c r="W28" s="101"/>
      <c r="Y28" s="94" t="str">
        <f>IF(B28="●",COUNTIF($B$5:B28,"●"),"")</f>
        <v/>
      </c>
      <c r="Z28" s="94" t="str">
        <f t="shared" si="3"/>
        <v>B24</v>
      </c>
      <c r="AA28" s="94">
        <f t="shared" si="2"/>
        <v>95</v>
      </c>
      <c r="AB28" s="94" t="str">
        <f t="shared" si="4"/>
        <v/>
      </c>
    </row>
    <row r="29" spans="2:28" x14ac:dyDescent="0.15">
      <c r="B29" s="96"/>
      <c r="C29" s="33" t="s">
        <v>260</v>
      </c>
      <c r="D29" s="97"/>
      <c r="E29" s="98"/>
      <c r="F29" s="98"/>
      <c r="G29" s="99"/>
      <c r="H29" s="128"/>
      <c r="I29" s="128"/>
      <c r="J29" s="128"/>
      <c r="K29" s="100"/>
      <c r="L29" s="32">
        <f ca="1">OFFSET(【DB】被害率係数!$A$4,MATCH($K29,【DB】被害率係数!$A$4:$A$19,0)-1,2)</f>
        <v>0</v>
      </c>
      <c r="M29" s="32">
        <f ca="1">OFFSET(【DB】被害率係数!$A$4,MATCH($K29,【DB】被害率係数!$A$4:$A$19,0)-1,3)</f>
        <v>0</v>
      </c>
      <c r="N29" s="100"/>
      <c r="O29" s="32">
        <f ca="1">OFFSET(【DB】被害率係数!$A$43,MATCH($N29,【DB】被害率係数!$A$43:$A$58,0)-1,3)</f>
        <v>0</v>
      </c>
      <c r="P29" s="100"/>
      <c r="Q29" s="32">
        <f ca="1">OFFSET(【DB】被害率係数!$A$43,MATCH($P29,【DB】被害率係数!$A$43:$A$58,0)-1,3)</f>
        <v>0</v>
      </c>
      <c r="R29" s="99"/>
      <c r="S29" s="99"/>
      <c r="T29" s="101"/>
      <c r="U29" s="101"/>
      <c r="V29" s="101"/>
      <c r="W29" s="101"/>
      <c r="Y29" s="94" t="str">
        <f>IF(B29="●",COUNTIF($B$5:B29,"●"),"")</f>
        <v/>
      </c>
      <c r="Z29" s="94" t="str">
        <f t="shared" si="3"/>
        <v>B25</v>
      </c>
      <c r="AA29" s="94">
        <f t="shared" si="2"/>
        <v>99</v>
      </c>
      <c r="AB29" s="94" t="str">
        <f t="shared" si="4"/>
        <v/>
      </c>
    </row>
    <row r="30" spans="2:28" x14ac:dyDescent="0.15">
      <c r="B30" s="96"/>
      <c r="C30" s="33" t="s">
        <v>261</v>
      </c>
      <c r="D30" s="97"/>
      <c r="E30" s="98"/>
      <c r="F30" s="98"/>
      <c r="G30" s="99"/>
      <c r="H30" s="128"/>
      <c r="I30" s="128"/>
      <c r="J30" s="128"/>
      <c r="K30" s="100"/>
      <c r="L30" s="32">
        <f ca="1">OFFSET(【DB】被害率係数!$A$4,MATCH($K30,【DB】被害率係数!$A$4:$A$19,0)-1,2)</f>
        <v>0</v>
      </c>
      <c r="M30" s="32">
        <f ca="1">OFFSET(【DB】被害率係数!$A$4,MATCH($K30,【DB】被害率係数!$A$4:$A$19,0)-1,3)</f>
        <v>0</v>
      </c>
      <c r="N30" s="100"/>
      <c r="O30" s="32">
        <f ca="1">OFFSET(【DB】被害率係数!$A$43,MATCH($N30,【DB】被害率係数!$A$43:$A$58,0)-1,3)</f>
        <v>0</v>
      </c>
      <c r="P30" s="100"/>
      <c r="Q30" s="32">
        <f ca="1">OFFSET(【DB】被害率係数!$A$43,MATCH($P30,【DB】被害率係数!$A$43:$A$58,0)-1,3)</f>
        <v>0</v>
      </c>
      <c r="R30" s="99"/>
      <c r="S30" s="99"/>
      <c r="T30" s="101"/>
      <c r="U30" s="101"/>
      <c r="V30" s="101"/>
      <c r="W30" s="101"/>
      <c r="Y30" s="94" t="str">
        <f>IF(B30="●",COUNTIF($B$5:B30,"●"),"")</f>
        <v/>
      </c>
      <c r="Z30" s="94" t="str">
        <f t="shared" si="3"/>
        <v>B26</v>
      </c>
      <c r="AA30" s="94">
        <f t="shared" si="2"/>
        <v>103</v>
      </c>
      <c r="AB30" s="94" t="str">
        <f t="shared" si="4"/>
        <v/>
      </c>
    </row>
    <row r="31" spans="2:28" x14ac:dyDescent="0.15">
      <c r="B31" s="96"/>
      <c r="C31" s="33" t="s">
        <v>262</v>
      </c>
      <c r="D31" s="97"/>
      <c r="E31" s="98"/>
      <c r="F31" s="98"/>
      <c r="G31" s="99"/>
      <c r="H31" s="128"/>
      <c r="I31" s="128"/>
      <c r="J31" s="128"/>
      <c r="K31" s="100"/>
      <c r="L31" s="32">
        <f ca="1">OFFSET(【DB】被害率係数!$A$4,MATCH($K31,【DB】被害率係数!$A$4:$A$19,0)-1,2)</f>
        <v>0</v>
      </c>
      <c r="M31" s="32">
        <f ca="1">OFFSET(【DB】被害率係数!$A$4,MATCH($K31,【DB】被害率係数!$A$4:$A$19,0)-1,3)</f>
        <v>0</v>
      </c>
      <c r="N31" s="100"/>
      <c r="O31" s="32">
        <f ca="1">OFFSET(【DB】被害率係数!$A$43,MATCH($N31,【DB】被害率係数!$A$43:$A$58,0)-1,3)</f>
        <v>0</v>
      </c>
      <c r="P31" s="100"/>
      <c r="Q31" s="32">
        <f ca="1">OFFSET(【DB】被害率係数!$A$43,MATCH($P31,【DB】被害率係数!$A$43:$A$58,0)-1,3)</f>
        <v>0</v>
      </c>
      <c r="R31" s="99"/>
      <c r="S31" s="99"/>
      <c r="T31" s="101"/>
      <c r="U31" s="101"/>
      <c r="V31" s="101"/>
      <c r="W31" s="101"/>
      <c r="Y31" s="94" t="str">
        <f>IF(B31="●",COUNTIF($B$5:B31,"●"),"")</f>
        <v/>
      </c>
      <c r="Z31" s="94" t="str">
        <f t="shared" si="3"/>
        <v>B27</v>
      </c>
      <c r="AA31" s="94">
        <f t="shared" si="2"/>
        <v>107</v>
      </c>
      <c r="AB31" s="94" t="str">
        <f t="shared" si="4"/>
        <v/>
      </c>
    </row>
    <row r="32" spans="2:28" x14ac:dyDescent="0.15">
      <c r="B32" s="96"/>
      <c r="C32" s="33" t="s">
        <v>263</v>
      </c>
      <c r="D32" s="97"/>
      <c r="E32" s="98"/>
      <c r="F32" s="98"/>
      <c r="G32" s="99"/>
      <c r="H32" s="128"/>
      <c r="I32" s="128"/>
      <c r="J32" s="128"/>
      <c r="K32" s="100"/>
      <c r="L32" s="32">
        <f ca="1">OFFSET(【DB】被害率係数!$A$4,MATCH($K32,【DB】被害率係数!$A$4:$A$19,0)-1,2)</f>
        <v>0</v>
      </c>
      <c r="M32" s="32">
        <f ca="1">OFFSET(【DB】被害率係数!$A$4,MATCH($K32,【DB】被害率係数!$A$4:$A$19,0)-1,3)</f>
        <v>0</v>
      </c>
      <c r="N32" s="100"/>
      <c r="O32" s="32">
        <f ca="1">OFFSET(【DB】被害率係数!$A$43,MATCH($N32,【DB】被害率係数!$A$43:$A$58,0)-1,3)</f>
        <v>0</v>
      </c>
      <c r="P32" s="100"/>
      <c r="Q32" s="32">
        <f ca="1">OFFSET(【DB】被害率係数!$A$43,MATCH($P32,【DB】被害率係数!$A$43:$A$58,0)-1,3)</f>
        <v>0</v>
      </c>
      <c r="R32" s="99"/>
      <c r="S32" s="99"/>
      <c r="T32" s="101"/>
      <c r="U32" s="101"/>
      <c r="V32" s="101"/>
      <c r="W32" s="101"/>
      <c r="Y32" s="94" t="str">
        <f>IF(B32="●",COUNTIF($B$5:B32,"●"),"")</f>
        <v/>
      </c>
      <c r="Z32" s="94" t="str">
        <f t="shared" si="3"/>
        <v>B28</v>
      </c>
      <c r="AA32" s="94">
        <f t="shared" si="2"/>
        <v>111</v>
      </c>
      <c r="AB32" s="94" t="str">
        <f t="shared" si="4"/>
        <v/>
      </c>
    </row>
    <row r="33" spans="2:28" x14ac:dyDescent="0.15">
      <c r="B33" s="96"/>
      <c r="C33" s="33" t="s">
        <v>264</v>
      </c>
      <c r="D33" s="97"/>
      <c r="E33" s="98"/>
      <c r="F33" s="98"/>
      <c r="G33" s="99"/>
      <c r="H33" s="128"/>
      <c r="I33" s="128"/>
      <c r="J33" s="128"/>
      <c r="K33" s="100"/>
      <c r="L33" s="32">
        <f ca="1">OFFSET(【DB】被害率係数!$A$4,MATCH($K33,【DB】被害率係数!$A$4:$A$19,0)-1,2)</f>
        <v>0</v>
      </c>
      <c r="M33" s="32">
        <f ca="1">OFFSET(【DB】被害率係数!$A$4,MATCH($K33,【DB】被害率係数!$A$4:$A$19,0)-1,3)</f>
        <v>0</v>
      </c>
      <c r="N33" s="100"/>
      <c r="O33" s="32">
        <f ca="1">OFFSET(【DB】被害率係数!$A$43,MATCH($N33,【DB】被害率係数!$A$43:$A$58,0)-1,3)</f>
        <v>0</v>
      </c>
      <c r="P33" s="100"/>
      <c r="Q33" s="32">
        <f ca="1">OFFSET(【DB】被害率係数!$A$43,MATCH($P33,【DB】被害率係数!$A$43:$A$58,0)-1,3)</f>
        <v>0</v>
      </c>
      <c r="R33" s="99"/>
      <c r="S33" s="99"/>
      <c r="T33" s="101"/>
      <c r="U33" s="101"/>
      <c r="V33" s="101"/>
      <c r="W33" s="101"/>
      <c r="Y33" s="94" t="str">
        <f>IF(B33="●",COUNTIF($B$5:B33,"●"),"")</f>
        <v/>
      </c>
      <c r="Z33" s="94" t="str">
        <f t="shared" si="3"/>
        <v>B29</v>
      </c>
      <c r="AA33" s="94">
        <f t="shared" si="2"/>
        <v>115</v>
      </c>
      <c r="AB33" s="94" t="str">
        <f t="shared" si="4"/>
        <v/>
      </c>
    </row>
    <row r="34" spans="2:28" x14ac:dyDescent="0.15">
      <c r="B34" s="96"/>
      <c r="C34" s="33" t="s">
        <v>265</v>
      </c>
      <c r="D34" s="97"/>
      <c r="E34" s="98"/>
      <c r="F34" s="98"/>
      <c r="G34" s="99"/>
      <c r="H34" s="128"/>
      <c r="I34" s="128"/>
      <c r="J34" s="128"/>
      <c r="K34" s="100"/>
      <c r="L34" s="32">
        <f ca="1">OFFSET(【DB】被害率係数!$A$4,MATCH($K34,【DB】被害率係数!$A$4:$A$19,0)-1,2)</f>
        <v>0</v>
      </c>
      <c r="M34" s="32">
        <f ca="1">OFFSET(【DB】被害率係数!$A$4,MATCH($K34,【DB】被害率係数!$A$4:$A$19,0)-1,3)</f>
        <v>0</v>
      </c>
      <c r="N34" s="100"/>
      <c r="O34" s="32">
        <f ca="1">OFFSET(【DB】被害率係数!$A$43,MATCH($N34,【DB】被害率係数!$A$43:$A$58,0)-1,3)</f>
        <v>0</v>
      </c>
      <c r="P34" s="100"/>
      <c r="Q34" s="32">
        <f ca="1">OFFSET(【DB】被害率係数!$A$43,MATCH($P34,【DB】被害率係数!$A$43:$A$58,0)-1,3)</f>
        <v>0</v>
      </c>
      <c r="R34" s="99"/>
      <c r="S34" s="99"/>
      <c r="T34" s="101"/>
      <c r="U34" s="101"/>
      <c r="V34" s="101"/>
      <c r="W34" s="101"/>
      <c r="Y34" s="94" t="str">
        <f>IF(B34="●",COUNTIF($B$5:B34,"●"),"")</f>
        <v/>
      </c>
      <c r="Z34" s="94" t="str">
        <f t="shared" si="3"/>
        <v>B30</v>
      </c>
      <c r="AA34" s="94">
        <f t="shared" si="2"/>
        <v>119</v>
      </c>
      <c r="AB34" s="94" t="str">
        <f t="shared" si="4"/>
        <v/>
      </c>
    </row>
    <row r="35" spans="2:28" x14ac:dyDescent="0.15">
      <c r="B35" s="96"/>
      <c r="C35" s="33" t="s">
        <v>266</v>
      </c>
      <c r="D35" s="97"/>
      <c r="E35" s="98"/>
      <c r="F35" s="98"/>
      <c r="G35" s="99"/>
      <c r="H35" s="128"/>
      <c r="I35" s="128"/>
      <c r="J35" s="128"/>
      <c r="K35" s="100"/>
      <c r="L35" s="32">
        <f ca="1">OFFSET(【DB】被害率係数!$A$4,MATCH($K35,【DB】被害率係数!$A$4:$A$19,0)-1,2)</f>
        <v>0</v>
      </c>
      <c r="M35" s="32">
        <f ca="1">OFFSET(【DB】被害率係数!$A$4,MATCH($K35,【DB】被害率係数!$A$4:$A$19,0)-1,3)</f>
        <v>0</v>
      </c>
      <c r="N35" s="100"/>
      <c r="O35" s="32">
        <f ca="1">OFFSET(【DB】被害率係数!$A$43,MATCH($N35,【DB】被害率係数!$A$43:$A$58,0)-1,3)</f>
        <v>0</v>
      </c>
      <c r="P35" s="100"/>
      <c r="Q35" s="32">
        <f ca="1">OFFSET(【DB】被害率係数!$A$43,MATCH($P35,【DB】被害率係数!$A$43:$A$58,0)-1,3)</f>
        <v>0</v>
      </c>
      <c r="R35" s="99"/>
      <c r="S35" s="99"/>
      <c r="T35" s="101"/>
      <c r="U35" s="101"/>
      <c r="V35" s="101"/>
      <c r="W35" s="101"/>
      <c r="Y35" s="94" t="str">
        <f>IF(B35="●",COUNTIF($B$5:B35,"●"),"")</f>
        <v/>
      </c>
      <c r="Z35" s="94" t="str">
        <f t="shared" si="3"/>
        <v>B31</v>
      </c>
      <c r="AA35" s="94">
        <f t="shared" si="2"/>
        <v>123</v>
      </c>
      <c r="AB35" s="94" t="str">
        <f t="shared" si="4"/>
        <v/>
      </c>
    </row>
    <row r="36" spans="2:28" x14ac:dyDescent="0.15">
      <c r="B36" s="96"/>
      <c r="C36" s="33" t="s">
        <v>267</v>
      </c>
      <c r="D36" s="97"/>
      <c r="E36" s="98"/>
      <c r="F36" s="98"/>
      <c r="G36" s="99"/>
      <c r="H36" s="128"/>
      <c r="I36" s="128"/>
      <c r="J36" s="128"/>
      <c r="K36" s="100"/>
      <c r="L36" s="32">
        <f ca="1">OFFSET(【DB】被害率係数!$A$4,MATCH($K36,【DB】被害率係数!$A$4:$A$19,0)-1,2)</f>
        <v>0</v>
      </c>
      <c r="M36" s="32">
        <f ca="1">OFFSET(【DB】被害率係数!$A$4,MATCH($K36,【DB】被害率係数!$A$4:$A$19,0)-1,3)</f>
        <v>0</v>
      </c>
      <c r="N36" s="100"/>
      <c r="O36" s="32">
        <f ca="1">OFFSET(【DB】被害率係数!$A$43,MATCH($N36,【DB】被害率係数!$A$43:$A$58,0)-1,3)</f>
        <v>0</v>
      </c>
      <c r="P36" s="100"/>
      <c r="Q36" s="32">
        <f ca="1">OFFSET(【DB】被害率係数!$A$43,MATCH($P36,【DB】被害率係数!$A$43:$A$58,0)-1,3)</f>
        <v>0</v>
      </c>
      <c r="R36" s="99"/>
      <c r="S36" s="99"/>
      <c r="T36" s="101"/>
      <c r="U36" s="101"/>
      <c r="V36" s="101"/>
      <c r="W36" s="101"/>
      <c r="Y36" s="94" t="str">
        <f>IF(B36="●",COUNTIF($B$5:B36,"●"),"")</f>
        <v/>
      </c>
      <c r="Z36" s="94" t="str">
        <f t="shared" si="3"/>
        <v>B32</v>
      </c>
      <c r="AA36" s="94">
        <f t="shared" si="2"/>
        <v>127</v>
      </c>
      <c r="AB36" s="94" t="str">
        <f t="shared" si="4"/>
        <v/>
      </c>
    </row>
    <row r="37" spans="2:28" x14ac:dyDescent="0.15">
      <c r="B37" s="96"/>
      <c r="C37" s="33" t="s">
        <v>268</v>
      </c>
      <c r="D37" s="97"/>
      <c r="E37" s="98"/>
      <c r="F37" s="98"/>
      <c r="G37" s="99"/>
      <c r="H37" s="128"/>
      <c r="I37" s="128"/>
      <c r="J37" s="128"/>
      <c r="K37" s="100"/>
      <c r="L37" s="32">
        <f ca="1">OFFSET(【DB】被害率係数!$A$4,MATCH($K37,【DB】被害率係数!$A$4:$A$19,0)-1,2)</f>
        <v>0</v>
      </c>
      <c r="M37" s="32">
        <f ca="1">OFFSET(【DB】被害率係数!$A$4,MATCH($K37,【DB】被害率係数!$A$4:$A$19,0)-1,3)</f>
        <v>0</v>
      </c>
      <c r="N37" s="100"/>
      <c r="O37" s="32">
        <f ca="1">OFFSET(【DB】被害率係数!$A$43,MATCH($N37,【DB】被害率係数!$A$43:$A$58,0)-1,3)</f>
        <v>0</v>
      </c>
      <c r="P37" s="100"/>
      <c r="Q37" s="32">
        <f ca="1">OFFSET(【DB】被害率係数!$A$43,MATCH($P37,【DB】被害率係数!$A$43:$A$58,0)-1,3)</f>
        <v>0</v>
      </c>
      <c r="R37" s="99"/>
      <c r="S37" s="99"/>
      <c r="T37" s="101"/>
      <c r="U37" s="101"/>
      <c r="V37" s="101"/>
      <c r="W37" s="101"/>
      <c r="Y37" s="94" t="str">
        <f>IF(B37="●",COUNTIF($B$5:B37,"●"),"")</f>
        <v/>
      </c>
      <c r="Z37" s="94" t="str">
        <f t="shared" si="3"/>
        <v>B33</v>
      </c>
      <c r="AA37" s="94">
        <f t="shared" si="2"/>
        <v>131</v>
      </c>
      <c r="AB37" s="94" t="str">
        <f t="shared" si="4"/>
        <v/>
      </c>
    </row>
    <row r="38" spans="2:28" x14ac:dyDescent="0.15">
      <c r="B38" s="96"/>
      <c r="C38" s="33" t="s">
        <v>269</v>
      </c>
      <c r="D38" s="97"/>
      <c r="E38" s="98"/>
      <c r="F38" s="98"/>
      <c r="G38" s="99"/>
      <c r="H38" s="128"/>
      <c r="I38" s="128"/>
      <c r="J38" s="128"/>
      <c r="K38" s="100"/>
      <c r="L38" s="32">
        <f ca="1">OFFSET(【DB】被害率係数!$A$4,MATCH($K38,【DB】被害率係数!$A$4:$A$19,0)-1,2)</f>
        <v>0</v>
      </c>
      <c r="M38" s="32">
        <f ca="1">OFFSET(【DB】被害率係数!$A$4,MATCH($K38,【DB】被害率係数!$A$4:$A$19,0)-1,3)</f>
        <v>0</v>
      </c>
      <c r="N38" s="100"/>
      <c r="O38" s="32">
        <f ca="1">OFFSET(【DB】被害率係数!$A$43,MATCH($N38,【DB】被害率係数!$A$43:$A$58,0)-1,3)</f>
        <v>0</v>
      </c>
      <c r="P38" s="100"/>
      <c r="Q38" s="32">
        <f ca="1">OFFSET(【DB】被害率係数!$A$43,MATCH($P38,【DB】被害率係数!$A$43:$A$58,0)-1,3)</f>
        <v>0</v>
      </c>
      <c r="R38" s="99"/>
      <c r="S38" s="99"/>
      <c r="T38" s="101"/>
      <c r="U38" s="101"/>
      <c r="V38" s="101"/>
      <c r="W38" s="101"/>
      <c r="Y38" s="94" t="str">
        <f>IF(B38="●",COUNTIF($B$5:B38,"●"),"")</f>
        <v/>
      </c>
      <c r="Z38" s="94" t="str">
        <f t="shared" si="3"/>
        <v>B34</v>
      </c>
      <c r="AA38" s="94">
        <f t="shared" si="2"/>
        <v>135</v>
      </c>
      <c r="AB38" s="94" t="str">
        <f t="shared" si="4"/>
        <v/>
      </c>
    </row>
    <row r="39" spans="2:28" x14ac:dyDescent="0.15">
      <c r="B39" s="96"/>
      <c r="C39" s="33" t="s">
        <v>270</v>
      </c>
      <c r="D39" s="97"/>
      <c r="E39" s="98"/>
      <c r="F39" s="98"/>
      <c r="G39" s="99"/>
      <c r="H39" s="128"/>
      <c r="I39" s="128"/>
      <c r="J39" s="128"/>
      <c r="K39" s="100"/>
      <c r="L39" s="32">
        <f ca="1">OFFSET(【DB】被害率係数!$A$4,MATCH($K39,【DB】被害率係数!$A$4:$A$19,0)-1,2)</f>
        <v>0</v>
      </c>
      <c r="M39" s="32">
        <f ca="1">OFFSET(【DB】被害率係数!$A$4,MATCH($K39,【DB】被害率係数!$A$4:$A$19,0)-1,3)</f>
        <v>0</v>
      </c>
      <c r="N39" s="100"/>
      <c r="O39" s="32">
        <f ca="1">OFFSET(【DB】被害率係数!$A$43,MATCH($N39,【DB】被害率係数!$A$43:$A$58,0)-1,3)</f>
        <v>0</v>
      </c>
      <c r="P39" s="100"/>
      <c r="Q39" s="32">
        <f ca="1">OFFSET(【DB】被害率係数!$A$43,MATCH($P39,【DB】被害率係数!$A$43:$A$58,0)-1,3)</f>
        <v>0</v>
      </c>
      <c r="R39" s="99"/>
      <c r="S39" s="99"/>
      <c r="T39" s="101"/>
      <c r="U39" s="101"/>
      <c r="V39" s="101"/>
      <c r="W39" s="101"/>
      <c r="Y39" s="94" t="str">
        <f>IF(B39="●",COUNTIF($B$5:B39,"●"),"")</f>
        <v/>
      </c>
      <c r="Z39" s="94" t="str">
        <f t="shared" si="3"/>
        <v>B35</v>
      </c>
      <c r="AA39" s="94">
        <f t="shared" si="2"/>
        <v>139</v>
      </c>
      <c r="AB39" s="94" t="str">
        <f t="shared" si="4"/>
        <v/>
      </c>
    </row>
    <row r="40" spans="2:28" x14ac:dyDescent="0.15">
      <c r="B40" s="96"/>
      <c r="C40" s="33" t="s">
        <v>271</v>
      </c>
      <c r="D40" s="97"/>
      <c r="E40" s="98"/>
      <c r="F40" s="98"/>
      <c r="G40" s="99"/>
      <c r="H40" s="128"/>
      <c r="I40" s="128"/>
      <c r="J40" s="128"/>
      <c r="K40" s="100"/>
      <c r="L40" s="32">
        <f ca="1">OFFSET(【DB】被害率係数!$A$4,MATCH($K40,【DB】被害率係数!$A$4:$A$19,0)-1,2)</f>
        <v>0</v>
      </c>
      <c r="M40" s="32">
        <f ca="1">OFFSET(【DB】被害率係数!$A$4,MATCH($K40,【DB】被害率係数!$A$4:$A$19,0)-1,3)</f>
        <v>0</v>
      </c>
      <c r="N40" s="100"/>
      <c r="O40" s="32">
        <f ca="1">OFFSET(【DB】被害率係数!$A$43,MATCH($N40,【DB】被害率係数!$A$43:$A$58,0)-1,3)</f>
        <v>0</v>
      </c>
      <c r="P40" s="100"/>
      <c r="Q40" s="32">
        <f ca="1">OFFSET(【DB】被害率係数!$A$43,MATCH($P40,【DB】被害率係数!$A$43:$A$58,0)-1,3)</f>
        <v>0</v>
      </c>
      <c r="R40" s="99"/>
      <c r="S40" s="99"/>
      <c r="T40" s="101"/>
      <c r="U40" s="101"/>
      <c r="V40" s="101"/>
      <c r="W40" s="101"/>
      <c r="Y40" s="94" t="str">
        <f>IF(B40="●",COUNTIF($B$5:B40,"●"),"")</f>
        <v/>
      </c>
      <c r="Z40" s="94" t="str">
        <f t="shared" si="3"/>
        <v>B36</v>
      </c>
      <c r="AA40" s="94">
        <f t="shared" si="2"/>
        <v>143</v>
      </c>
      <c r="AB40" s="94" t="str">
        <f t="shared" si="4"/>
        <v/>
      </c>
    </row>
    <row r="41" spans="2:28" x14ac:dyDescent="0.15">
      <c r="B41" s="96"/>
      <c r="C41" s="33" t="s">
        <v>272</v>
      </c>
      <c r="D41" s="97"/>
      <c r="E41" s="98"/>
      <c r="F41" s="98"/>
      <c r="G41" s="99"/>
      <c r="H41" s="128"/>
      <c r="I41" s="128"/>
      <c r="J41" s="128"/>
      <c r="K41" s="100"/>
      <c r="L41" s="32">
        <f ca="1">OFFSET(【DB】被害率係数!$A$4,MATCH($K41,【DB】被害率係数!$A$4:$A$19,0)-1,2)</f>
        <v>0</v>
      </c>
      <c r="M41" s="32">
        <f ca="1">OFFSET(【DB】被害率係数!$A$4,MATCH($K41,【DB】被害率係数!$A$4:$A$19,0)-1,3)</f>
        <v>0</v>
      </c>
      <c r="N41" s="100"/>
      <c r="O41" s="32">
        <f ca="1">OFFSET(【DB】被害率係数!$A$43,MATCH($N41,【DB】被害率係数!$A$43:$A$58,0)-1,3)</f>
        <v>0</v>
      </c>
      <c r="P41" s="100"/>
      <c r="Q41" s="32">
        <f ca="1">OFFSET(【DB】被害率係数!$A$43,MATCH($P41,【DB】被害率係数!$A$43:$A$58,0)-1,3)</f>
        <v>0</v>
      </c>
      <c r="R41" s="99"/>
      <c r="S41" s="99"/>
      <c r="T41" s="101"/>
      <c r="U41" s="101"/>
      <c r="V41" s="101"/>
      <c r="W41" s="101"/>
      <c r="Y41" s="94" t="str">
        <f>IF(B41="●",COUNTIF($B$5:B41,"●"),"")</f>
        <v/>
      </c>
      <c r="Z41" s="94" t="str">
        <f t="shared" si="3"/>
        <v>B37</v>
      </c>
      <c r="AA41" s="94">
        <f t="shared" si="2"/>
        <v>147</v>
      </c>
      <c r="AB41" s="94" t="str">
        <f t="shared" si="4"/>
        <v/>
      </c>
    </row>
    <row r="42" spans="2:28" x14ac:dyDescent="0.15">
      <c r="B42" s="96"/>
      <c r="C42" s="33" t="s">
        <v>273</v>
      </c>
      <c r="D42" s="97"/>
      <c r="E42" s="98"/>
      <c r="F42" s="98"/>
      <c r="G42" s="99"/>
      <c r="H42" s="128"/>
      <c r="I42" s="128"/>
      <c r="J42" s="128"/>
      <c r="K42" s="100"/>
      <c r="L42" s="32">
        <f ca="1">OFFSET(【DB】被害率係数!$A$4,MATCH($K42,【DB】被害率係数!$A$4:$A$19,0)-1,2)</f>
        <v>0</v>
      </c>
      <c r="M42" s="32">
        <f ca="1">OFFSET(【DB】被害率係数!$A$4,MATCH($K42,【DB】被害率係数!$A$4:$A$19,0)-1,3)</f>
        <v>0</v>
      </c>
      <c r="N42" s="100"/>
      <c r="O42" s="32">
        <f ca="1">OFFSET(【DB】被害率係数!$A$43,MATCH($N42,【DB】被害率係数!$A$43:$A$58,0)-1,3)</f>
        <v>0</v>
      </c>
      <c r="P42" s="100"/>
      <c r="Q42" s="32">
        <f ca="1">OFFSET(【DB】被害率係数!$A$43,MATCH($P42,【DB】被害率係数!$A$43:$A$58,0)-1,3)</f>
        <v>0</v>
      </c>
      <c r="R42" s="99"/>
      <c r="S42" s="99"/>
      <c r="T42" s="101"/>
      <c r="U42" s="101"/>
      <c r="V42" s="101"/>
      <c r="W42" s="101"/>
      <c r="Y42" s="94" t="str">
        <f>IF(B42="●",COUNTIF($B$5:B42,"●"),"")</f>
        <v/>
      </c>
      <c r="Z42" s="94" t="str">
        <f t="shared" si="3"/>
        <v>B38</v>
      </c>
      <c r="AA42" s="94">
        <f t="shared" si="2"/>
        <v>151</v>
      </c>
      <c r="AB42" s="94" t="str">
        <f t="shared" si="4"/>
        <v/>
      </c>
    </row>
    <row r="43" spans="2:28" x14ac:dyDescent="0.15">
      <c r="B43" s="96"/>
      <c r="C43" s="33" t="s">
        <v>274</v>
      </c>
      <c r="D43" s="97"/>
      <c r="E43" s="98"/>
      <c r="F43" s="98"/>
      <c r="G43" s="99"/>
      <c r="H43" s="128"/>
      <c r="I43" s="128"/>
      <c r="J43" s="128"/>
      <c r="K43" s="100"/>
      <c r="L43" s="32">
        <f ca="1">OFFSET(【DB】被害率係数!$A$4,MATCH($K43,【DB】被害率係数!$A$4:$A$19,0)-1,2)</f>
        <v>0</v>
      </c>
      <c r="M43" s="32">
        <f ca="1">OFFSET(【DB】被害率係数!$A$4,MATCH($K43,【DB】被害率係数!$A$4:$A$19,0)-1,3)</f>
        <v>0</v>
      </c>
      <c r="N43" s="100"/>
      <c r="O43" s="32">
        <f ca="1">OFFSET(【DB】被害率係数!$A$43,MATCH($N43,【DB】被害率係数!$A$43:$A$58,0)-1,3)</f>
        <v>0</v>
      </c>
      <c r="P43" s="100"/>
      <c r="Q43" s="32">
        <f ca="1">OFFSET(【DB】被害率係数!$A$43,MATCH($P43,【DB】被害率係数!$A$43:$A$58,0)-1,3)</f>
        <v>0</v>
      </c>
      <c r="R43" s="99"/>
      <c r="S43" s="99"/>
      <c r="T43" s="101"/>
      <c r="U43" s="101"/>
      <c r="V43" s="101"/>
      <c r="W43" s="101"/>
      <c r="Y43" s="94" t="str">
        <f>IF(B43="●",COUNTIF($B$5:B43,"●"),"")</f>
        <v/>
      </c>
      <c r="Z43" s="94" t="str">
        <f t="shared" si="3"/>
        <v>B39</v>
      </c>
      <c r="AA43" s="94">
        <f t="shared" si="2"/>
        <v>155</v>
      </c>
      <c r="AB43" s="94" t="str">
        <f t="shared" si="4"/>
        <v/>
      </c>
    </row>
    <row r="44" spans="2:28" x14ac:dyDescent="0.15">
      <c r="B44" s="96"/>
      <c r="C44" s="33" t="s">
        <v>275</v>
      </c>
      <c r="D44" s="97"/>
      <c r="E44" s="98"/>
      <c r="F44" s="98"/>
      <c r="G44" s="99"/>
      <c r="H44" s="128"/>
      <c r="I44" s="128"/>
      <c r="J44" s="128"/>
      <c r="K44" s="100"/>
      <c r="L44" s="32">
        <f ca="1">OFFSET(【DB】被害率係数!$A$4,MATCH($K44,【DB】被害率係数!$A$4:$A$19,0)-1,2)</f>
        <v>0</v>
      </c>
      <c r="M44" s="32">
        <f ca="1">OFFSET(【DB】被害率係数!$A$4,MATCH($K44,【DB】被害率係数!$A$4:$A$19,0)-1,3)</f>
        <v>0</v>
      </c>
      <c r="N44" s="100"/>
      <c r="O44" s="32">
        <f ca="1">OFFSET(【DB】被害率係数!$A$43,MATCH($N44,【DB】被害率係数!$A$43:$A$58,0)-1,3)</f>
        <v>0</v>
      </c>
      <c r="P44" s="100"/>
      <c r="Q44" s="32">
        <f ca="1">OFFSET(【DB】被害率係数!$A$43,MATCH($P44,【DB】被害率係数!$A$43:$A$58,0)-1,3)</f>
        <v>0</v>
      </c>
      <c r="R44" s="99"/>
      <c r="S44" s="99"/>
      <c r="T44" s="101"/>
      <c r="U44" s="101"/>
      <c r="V44" s="101"/>
      <c r="W44" s="101"/>
      <c r="Y44" s="94" t="str">
        <f>IF(B44="●",COUNTIF($B$5:B44,"●"),"")</f>
        <v/>
      </c>
      <c r="Z44" s="94" t="str">
        <f t="shared" si="3"/>
        <v>B40</v>
      </c>
      <c r="AA44" s="94">
        <f t="shared" si="2"/>
        <v>159</v>
      </c>
      <c r="AB44" s="94" t="str">
        <f t="shared" si="4"/>
        <v/>
      </c>
    </row>
    <row r="45" spans="2:28" x14ac:dyDescent="0.15">
      <c r="B45" s="96"/>
      <c r="C45" s="33" t="s">
        <v>276</v>
      </c>
      <c r="D45" s="97"/>
      <c r="E45" s="98"/>
      <c r="F45" s="98"/>
      <c r="G45" s="99"/>
      <c r="H45" s="128"/>
      <c r="I45" s="128"/>
      <c r="J45" s="128"/>
      <c r="K45" s="100"/>
      <c r="L45" s="32">
        <f ca="1">OFFSET(【DB】被害率係数!$A$4,MATCH($K45,【DB】被害率係数!$A$4:$A$19,0)-1,2)</f>
        <v>0</v>
      </c>
      <c r="M45" s="32">
        <f ca="1">OFFSET(【DB】被害率係数!$A$4,MATCH($K45,【DB】被害率係数!$A$4:$A$19,0)-1,3)</f>
        <v>0</v>
      </c>
      <c r="N45" s="100"/>
      <c r="O45" s="32">
        <f ca="1">OFFSET(【DB】被害率係数!$A$43,MATCH($N45,【DB】被害率係数!$A$43:$A$58,0)-1,3)</f>
        <v>0</v>
      </c>
      <c r="P45" s="100"/>
      <c r="Q45" s="32">
        <f ca="1">OFFSET(【DB】被害率係数!$A$43,MATCH($P45,【DB】被害率係数!$A$43:$A$58,0)-1,3)</f>
        <v>0</v>
      </c>
      <c r="R45" s="99"/>
      <c r="S45" s="99"/>
      <c r="T45" s="101"/>
      <c r="U45" s="101"/>
      <c r="V45" s="101"/>
      <c r="W45" s="101"/>
      <c r="Y45" s="94" t="str">
        <f>IF(B45="●",COUNTIF($B$5:B45,"●"),"")</f>
        <v/>
      </c>
      <c r="Z45" s="94" t="str">
        <f t="shared" si="3"/>
        <v>B41</v>
      </c>
      <c r="AA45" s="94">
        <f t="shared" si="2"/>
        <v>163</v>
      </c>
      <c r="AB45" s="94" t="str">
        <f t="shared" si="4"/>
        <v/>
      </c>
    </row>
    <row r="46" spans="2:28" x14ac:dyDescent="0.15">
      <c r="B46" s="96"/>
      <c r="C46" s="33" t="s">
        <v>277</v>
      </c>
      <c r="D46" s="97"/>
      <c r="E46" s="98"/>
      <c r="F46" s="98"/>
      <c r="G46" s="99"/>
      <c r="H46" s="128"/>
      <c r="I46" s="128"/>
      <c r="J46" s="128"/>
      <c r="K46" s="100"/>
      <c r="L46" s="32">
        <f ca="1">OFFSET(【DB】被害率係数!$A$4,MATCH($K46,【DB】被害率係数!$A$4:$A$19,0)-1,2)</f>
        <v>0</v>
      </c>
      <c r="M46" s="32">
        <f ca="1">OFFSET(【DB】被害率係数!$A$4,MATCH($K46,【DB】被害率係数!$A$4:$A$19,0)-1,3)</f>
        <v>0</v>
      </c>
      <c r="N46" s="100"/>
      <c r="O46" s="32">
        <f ca="1">OFFSET(【DB】被害率係数!$A$43,MATCH($N46,【DB】被害率係数!$A$43:$A$58,0)-1,3)</f>
        <v>0</v>
      </c>
      <c r="P46" s="100"/>
      <c r="Q46" s="32">
        <f ca="1">OFFSET(【DB】被害率係数!$A$43,MATCH($P46,【DB】被害率係数!$A$43:$A$58,0)-1,3)</f>
        <v>0</v>
      </c>
      <c r="R46" s="99"/>
      <c r="S46" s="99"/>
      <c r="T46" s="101"/>
      <c r="U46" s="101"/>
      <c r="V46" s="101"/>
      <c r="W46" s="101"/>
      <c r="Y46" s="94" t="str">
        <f>IF(B46="●",COUNTIF($B$5:B46,"●"),"")</f>
        <v/>
      </c>
      <c r="Z46" s="94" t="str">
        <f t="shared" si="3"/>
        <v>B42</v>
      </c>
      <c r="AA46" s="94">
        <f t="shared" si="2"/>
        <v>167</v>
      </c>
      <c r="AB46" s="94" t="str">
        <f t="shared" si="4"/>
        <v/>
      </c>
    </row>
    <row r="47" spans="2:28" x14ac:dyDescent="0.15">
      <c r="B47" s="96"/>
      <c r="C47" s="33" t="s">
        <v>278</v>
      </c>
      <c r="D47" s="97"/>
      <c r="E47" s="98"/>
      <c r="F47" s="98"/>
      <c r="G47" s="99"/>
      <c r="H47" s="128"/>
      <c r="I47" s="128"/>
      <c r="J47" s="128"/>
      <c r="K47" s="100"/>
      <c r="L47" s="32">
        <f ca="1">OFFSET(【DB】被害率係数!$A$4,MATCH($K47,【DB】被害率係数!$A$4:$A$19,0)-1,2)</f>
        <v>0</v>
      </c>
      <c r="M47" s="32">
        <f ca="1">OFFSET(【DB】被害率係数!$A$4,MATCH($K47,【DB】被害率係数!$A$4:$A$19,0)-1,3)</f>
        <v>0</v>
      </c>
      <c r="N47" s="100"/>
      <c r="O47" s="32">
        <f ca="1">OFFSET(【DB】被害率係数!$A$43,MATCH($N47,【DB】被害率係数!$A$43:$A$58,0)-1,3)</f>
        <v>0</v>
      </c>
      <c r="P47" s="100"/>
      <c r="Q47" s="32">
        <f ca="1">OFFSET(【DB】被害率係数!$A$43,MATCH($P47,【DB】被害率係数!$A$43:$A$58,0)-1,3)</f>
        <v>0</v>
      </c>
      <c r="R47" s="99"/>
      <c r="S47" s="99"/>
      <c r="T47" s="101"/>
      <c r="U47" s="101"/>
      <c r="V47" s="101"/>
      <c r="W47" s="101"/>
      <c r="Y47" s="94" t="str">
        <f>IF(B47="●",COUNTIF($B$5:B47,"●"),"")</f>
        <v/>
      </c>
      <c r="Z47" s="94" t="str">
        <f t="shared" si="3"/>
        <v>B43</v>
      </c>
      <c r="AA47" s="94">
        <f t="shared" si="2"/>
        <v>171</v>
      </c>
      <c r="AB47" s="94" t="str">
        <f t="shared" si="4"/>
        <v/>
      </c>
    </row>
    <row r="48" spans="2:28" x14ac:dyDescent="0.15">
      <c r="B48" s="96"/>
      <c r="C48" s="33" t="s">
        <v>279</v>
      </c>
      <c r="D48" s="97"/>
      <c r="E48" s="98"/>
      <c r="F48" s="98"/>
      <c r="G48" s="99"/>
      <c r="H48" s="128"/>
      <c r="I48" s="128"/>
      <c r="J48" s="128"/>
      <c r="K48" s="100"/>
      <c r="L48" s="32">
        <f ca="1">OFFSET(【DB】被害率係数!$A$4,MATCH($K48,【DB】被害率係数!$A$4:$A$19,0)-1,2)</f>
        <v>0</v>
      </c>
      <c r="M48" s="32">
        <f ca="1">OFFSET(【DB】被害率係数!$A$4,MATCH($K48,【DB】被害率係数!$A$4:$A$19,0)-1,3)</f>
        <v>0</v>
      </c>
      <c r="N48" s="100"/>
      <c r="O48" s="32">
        <f ca="1">OFFSET(【DB】被害率係数!$A$43,MATCH($N48,【DB】被害率係数!$A$43:$A$58,0)-1,3)</f>
        <v>0</v>
      </c>
      <c r="P48" s="100"/>
      <c r="Q48" s="32">
        <f ca="1">OFFSET(【DB】被害率係数!$A$43,MATCH($P48,【DB】被害率係数!$A$43:$A$58,0)-1,3)</f>
        <v>0</v>
      </c>
      <c r="R48" s="99"/>
      <c r="S48" s="99"/>
      <c r="T48" s="101"/>
      <c r="U48" s="101"/>
      <c r="V48" s="101"/>
      <c r="W48" s="101"/>
      <c r="Y48" s="94" t="str">
        <f>IF(B48="●",COUNTIF($B$5:B48,"●"),"")</f>
        <v/>
      </c>
      <c r="Z48" s="94" t="str">
        <f t="shared" si="3"/>
        <v>B44</v>
      </c>
      <c r="AA48" s="94">
        <f t="shared" si="2"/>
        <v>175</v>
      </c>
      <c r="AB48" s="94" t="str">
        <f t="shared" si="4"/>
        <v/>
      </c>
    </row>
    <row r="49" spans="2:28" x14ac:dyDescent="0.15">
      <c r="B49" s="96"/>
      <c r="C49" s="33" t="s">
        <v>280</v>
      </c>
      <c r="D49" s="97"/>
      <c r="E49" s="98"/>
      <c r="F49" s="98"/>
      <c r="G49" s="99"/>
      <c r="H49" s="128"/>
      <c r="I49" s="128"/>
      <c r="J49" s="128"/>
      <c r="K49" s="100"/>
      <c r="L49" s="32">
        <f ca="1">OFFSET(【DB】被害率係数!$A$4,MATCH($K49,【DB】被害率係数!$A$4:$A$19,0)-1,2)</f>
        <v>0</v>
      </c>
      <c r="M49" s="32">
        <f ca="1">OFFSET(【DB】被害率係数!$A$4,MATCH($K49,【DB】被害率係数!$A$4:$A$19,0)-1,3)</f>
        <v>0</v>
      </c>
      <c r="N49" s="100"/>
      <c r="O49" s="32">
        <f ca="1">OFFSET(【DB】被害率係数!$A$43,MATCH($N49,【DB】被害率係数!$A$43:$A$58,0)-1,3)</f>
        <v>0</v>
      </c>
      <c r="P49" s="100"/>
      <c r="Q49" s="32">
        <f ca="1">OFFSET(【DB】被害率係数!$A$43,MATCH($P49,【DB】被害率係数!$A$43:$A$58,0)-1,3)</f>
        <v>0</v>
      </c>
      <c r="R49" s="99"/>
      <c r="S49" s="99"/>
      <c r="T49" s="101"/>
      <c r="U49" s="101"/>
      <c r="V49" s="101"/>
      <c r="W49" s="101"/>
      <c r="Y49" s="94" t="str">
        <f>IF(B49="●",COUNTIF($B$5:B49,"●"),"")</f>
        <v/>
      </c>
      <c r="Z49" s="94" t="str">
        <f t="shared" si="3"/>
        <v>B45</v>
      </c>
      <c r="AA49" s="94">
        <f t="shared" si="2"/>
        <v>179</v>
      </c>
      <c r="AB49" s="94" t="str">
        <f t="shared" si="4"/>
        <v/>
      </c>
    </row>
    <row r="50" spans="2:28" x14ac:dyDescent="0.15">
      <c r="B50" s="96"/>
      <c r="C50" s="33" t="s">
        <v>281</v>
      </c>
      <c r="D50" s="97"/>
      <c r="E50" s="98"/>
      <c r="F50" s="98"/>
      <c r="G50" s="99"/>
      <c r="H50" s="128"/>
      <c r="I50" s="128"/>
      <c r="J50" s="128"/>
      <c r="K50" s="100"/>
      <c r="L50" s="32">
        <f ca="1">OFFSET(【DB】被害率係数!$A$4,MATCH($K50,【DB】被害率係数!$A$4:$A$19,0)-1,2)</f>
        <v>0</v>
      </c>
      <c r="M50" s="32">
        <f ca="1">OFFSET(【DB】被害率係数!$A$4,MATCH($K50,【DB】被害率係数!$A$4:$A$19,0)-1,3)</f>
        <v>0</v>
      </c>
      <c r="N50" s="100"/>
      <c r="O50" s="32">
        <f ca="1">OFFSET(【DB】被害率係数!$A$43,MATCH($N50,【DB】被害率係数!$A$43:$A$58,0)-1,3)</f>
        <v>0</v>
      </c>
      <c r="P50" s="100"/>
      <c r="Q50" s="32">
        <f ca="1">OFFSET(【DB】被害率係数!$A$43,MATCH($P50,【DB】被害率係数!$A$43:$A$58,0)-1,3)</f>
        <v>0</v>
      </c>
      <c r="R50" s="99"/>
      <c r="S50" s="99"/>
      <c r="T50" s="101"/>
      <c r="U50" s="101"/>
      <c r="V50" s="101"/>
      <c r="W50" s="101"/>
      <c r="Y50" s="94" t="str">
        <f>IF(B50="●",COUNTIF($B$5:B50,"●"),"")</f>
        <v/>
      </c>
      <c r="Z50" s="94" t="str">
        <f t="shared" si="3"/>
        <v>B46</v>
      </c>
      <c r="AA50" s="94">
        <f t="shared" si="2"/>
        <v>183</v>
      </c>
      <c r="AB50" s="94" t="str">
        <f t="shared" si="4"/>
        <v/>
      </c>
    </row>
    <row r="51" spans="2:28" x14ac:dyDescent="0.15">
      <c r="B51" s="96"/>
      <c r="C51" s="33" t="s">
        <v>282</v>
      </c>
      <c r="D51" s="97"/>
      <c r="E51" s="98"/>
      <c r="F51" s="98"/>
      <c r="G51" s="99"/>
      <c r="H51" s="128"/>
      <c r="I51" s="128"/>
      <c r="J51" s="128"/>
      <c r="K51" s="100"/>
      <c r="L51" s="32">
        <f ca="1">OFFSET(【DB】被害率係数!$A$4,MATCH($K51,【DB】被害率係数!$A$4:$A$19,0)-1,2)</f>
        <v>0</v>
      </c>
      <c r="M51" s="32">
        <f ca="1">OFFSET(【DB】被害率係数!$A$4,MATCH($K51,【DB】被害率係数!$A$4:$A$19,0)-1,3)</f>
        <v>0</v>
      </c>
      <c r="N51" s="100"/>
      <c r="O51" s="32">
        <f ca="1">OFFSET(【DB】被害率係数!$A$43,MATCH($N51,【DB】被害率係数!$A$43:$A$58,0)-1,3)</f>
        <v>0</v>
      </c>
      <c r="P51" s="100"/>
      <c r="Q51" s="32">
        <f ca="1">OFFSET(【DB】被害率係数!$A$43,MATCH($P51,【DB】被害率係数!$A$43:$A$58,0)-1,3)</f>
        <v>0</v>
      </c>
      <c r="R51" s="99"/>
      <c r="S51" s="99"/>
      <c r="T51" s="101"/>
      <c r="U51" s="101"/>
      <c r="V51" s="101"/>
      <c r="W51" s="101"/>
      <c r="Y51" s="94" t="str">
        <f>IF(B51="●",COUNTIF($B$5:B51,"●"),"")</f>
        <v/>
      </c>
      <c r="Z51" s="94" t="str">
        <f t="shared" si="3"/>
        <v>B47</v>
      </c>
      <c r="AA51" s="94">
        <f t="shared" si="2"/>
        <v>187</v>
      </c>
      <c r="AB51" s="94" t="str">
        <f t="shared" si="4"/>
        <v/>
      </c>
    </row>
    <row r="52" spans="2:28" x14ac:dyDescent="0.15">
      <c r="B52" s="96"/>
      <c r="C52" s="33" t="s">
        <v>283</v>
      </c>
      <c r="D52" s="97"/>
      <c r="E52" s="98"/>
      <c r="F52" s="98"/>
      <c r="G52" s="99"/>
      <c r="H52" s="128"/>
      <c r="I52" s="128"/>
      <c r="J52" s="128"/>
      <c r="K52" s="100"/>
      <c r="L52" s="32">
        <f ca="1">OFFSET(【DB】被害率係数!$A$4,MATCH($K52,【DB】被害率係数!$A$4:$A$19,0)-1,2)</f>
        <v>0</v>
      </c>
      <c r="M52" s="32">
        <f ca="1">OFFSET(【DB】被害率係数!$A$4,MATCH($K52,【DB】被害率係数!$A$4:$A$19,0)-1,3)</f>
        <v>0</v>
      </c>
      <c r="N52" s="100"/>
      <c r="O52" s="32">
        <f ca="1">OFFSET(【DB】被害率係数!$A$43,MATCH($N52,【DB】被害率係数!$A$43:$A$58,0)-1,3)</f>
        <v>0</v>
      </c>
      <c r="P52" s="100"/>
      <c r="Q52" s="32">
        <f ca="1">OFFSET(【DB】被害率係数!$A$43,MATCH($P52,【DB】被害率係数!$A$43:$A$58,0)-1,3)</f>
        <v>0</v>
      </c>
      <c r="R52" s="99"/>
      <c r="S52" s="99"/>
      <c r="T52" s="101"/>
      <c r="U52" s="101"/>
      <c r="V52" s="101"/>
      <c r="W52" s="101"/>
      <c r="Y52" s="94" t="str">
        <f>IF(B52="●",COUNTIF($B$5:B52,"●"),"")</f>
        <v/>
      </c>
      <c r="Z52" s="94" t="str">
        <f t="shared" si="3"/>
        <v>B48</v>
      </c>
      <c r="AA52" s="94">
        <f t="shared" si="2"/>
        <v>191</v>
      </c>
      <c r="AB52" s="94" t="str">
        <f t="shared" si="4"/>
        <v/>
      </c>
    </row>
    <row r="53" spans="2:28" x14ac:dyDescent="0.15">
      <c r="B53" s="96"/>
      <c r="C53" s="33" t="s">
        <v>284</v>
      </c>
      <c r="D53" s="97"/>
      <c r="E53" s="98"/>
      <c r="F53" s="98"/>
      <c r="G53" s="99"/>
      <c r="H53" s="128"/>
      <c r="I53" s="128"/>
      <c r="J53" s="128"/>
      <c r="K53" s="100"/>
      <c r="L53" s="32">
        <f ca="1">OFFSET(【DB】被害率係数!$A$4,MATCH($K53,【DB】被害率係数!$A$4:$A$19,0)-1,2)</f>
        <v>0</v>
      </c>
      <c r="M53" s="32">
        <f ca="1">OFFSET(【DB】被害率係数!$A$4,MATCH($K53,【DB】被害率係数!$A$4:$A$19,0)-1,3)</f>
        <v>0</v>
      </c>
      <c r="N53" s="100"/>
      <c r="O53" s="32">
        <f ca="1">OFFSET(【DB】被害率係数!$A$43,MATCH($N53,【DB】被害率係数!$A$43:$A$58,0)-1,3)</f>
        <v>0</v>
      </c>
      <c r="P53" s="100"/>
      <c r="Q53" s="32">
        <f ca="1">OFFSET(【DB】被害率係数!$A$43,MATCH($P53,【DB】被害率係数!$A$43:$A$58,0)-1,3)</f>
        <v>0</v>
      </c>
      <c r="R53" s="99"/>
      <c r="S53" s="99"/>
      <c r="T53" s="101"/>
      <c r="U53" s="101"/>
      <c r="V53" s="101"/>
      <c r="W53" s="101"/>
      <c r="Y53" s="94" t="str">
        <f>IF(B53="●",COUNTIF($B$5:B53,"●"),"")</f>
        <v/>
      </c>
      <c r="Z53" s="94" t="str">
        <f t="shared" si="3"/>
        <v>B49</v>
      </c>
      <c r="AA53" s="94">
        <f t="shared" si="2"/>
        <v>195</v>
      </c>
      <c r="AB53" s="94" t="str">
        <f t="shared" si="4"/>
        <v/>
      </c>
    </row>
    <row r="54" spans="2:28" x14ac:dyDescent="0.15">
      <c r="B54" s="96"/>
      <c r="C54" s="33" t="s">
        <v>285</v>
      </c>
      <c r="D54" s="97"/>
      <c r="E54" s="98"/>
      <c r="F54" s="98"/>
      <c r="G54" s="99"/>
      <c r="H54" s="128"/>
      <c r="I54" s="128"/>
      <c r="J54" s="128"/>
      <c r="K54" s="100"/>
      <c r="L54" s="32">
        <f ca="1">OFFSET(【DB】被害率係数!$A$4,MATCH($K54,【DB】被害率係数!$A$4:$A$19,0)-1,2)</f>
        <v>0</v>
      </c>
      <c r="M54" s="32">
        <f ca="1">OFFSET(【DB】被害率係数!$A$4,MATCH($K54,【DB】被害率係数!$A$4:$A$19,0)-1,3)</f>
        <v>0</v>
      </c>
      <c r="N54" s="100"/>
      <c r="O54" s="32">
        <f ca="1">OFFSET(【DB】被害率係数!$A$43,MATCH($N54,【DB】被害率係数!$A$43:$A$58,0)-1,3)</f>
        <v>0</v>
      </c>
      <c r="P54" s="100"/>
      <c r="Q54" s="32">
        <f ca="1">OFFSET(【DB】被害率係数!$A$43,MATCH($P54,【DB】被害率係数!$A$43:$A$58,0)-1,3)</f>
        <v>0</v>
      </c>
      <c r="R54" s="99"/>
      <c r="S54" s="99"/>
      <c r="T54" s="101"/>
      <c r="U54" s="101"/>
      <c r="V54" s="101"/>
      <c r="W54" s="101"/>
      <c r="Y54" s="94" t="str">
        <f>IF(B54="●",COUNTIF($B$5:B54,"●"),"")</f>
        <v/>
      </c>
      <c r="Z54" s="94" t="str">
        <f t="shared" si="3"/>
        <v>B50</v>
      </c>
      <c r="AA54" s="94">
        <f t="shared" si="2"/>
        <v>199</v>
      </c>
      <c r="AB54" s="94" t="str">
        <f t="shared" si="4"/>
        <v/>
      </c>
    </row>
    <row r="55" spans="2:28" x14ac:dyDescent="0.15">
      <c r="B55" s="96"/>
      <c r="C55" s="33" t="s">
        <v>286</v>
      </c>
      <c r="D55" s="97"/>
      <c r="E55" s="98"/>
      <c r="F55" s="98"/>
      <c r="G55" s="99"/>
      <c r="H55" s="128"/>
      <c r="I55" s="128"/>
      <c r="J55" s="128"/>
      <c r="K55" s="100"/>
      <c r="L55" s="32">
        <f ca="1">OFFSET(【DB】被害率係数!$A$4,MATCH($K55,【DB】被害率係数!$A$4:$A$19,0)-1,2)</f>
        <v>0</v>
      </c>
      <c r="M55" s="32">
        <f ca="1">OFFSET(【DB】被害率係数!$A$4,MATCH($K55,【DB】被害率係数!$A$4:$A$19,0)-1,3)</f>
        <v>0</v>
      </c>
      <c r="N55" s="100"/>
      <c r="O55" s="32">
        <f ca="1">OFFSET(【DB】被害率係数!$A$43,MATCH($N55,【DB】被害率係数!$A$43:$A$58,0)-1,3)</f>
        <v>0</v>
      </c>
      <c r="P55" s="100"/>
      <c r="Q55" s="32">
        <f ca="1">OFFSET(【DB】被害率係数!$A$43,MATCH($P55,【DB】被害率係数!$A$43:$A$58,0)-1,3)</f>
        <v>0</v>
      </c>
      <c r="R55" s="99"/>
      <c r="S55" s="99"/>
      <c r="T55" s="101"/>
      <c r="U55" s="101"/>
      <c r="V55" s="101"/>
      <c r="W55" s="101"/>
      <c r="Y55" s="94" t="str">
        <f>IF(B55="●",COUNTIF($B$5:B55,"●"),"")</f>
        <v/>
      </c>
      <c r="Z55" s="94" t="str">
        <f t="shared" si="3"/>
        <v>B51</v>
      </c>
      <c r="AA55" s="94">
        <f t="shared" si="2"/>
        <v>203</v>
      </c>
      <c r="AB55" s="94" t="str">
        <f t="shared" si="4"/>
        <v/>
      </c>
    </row>
    <row r="56" spans="2:28" x14ac:dyDescent="0.15">
      <c r="B56" s="96"/>
      <c r="C56" s="33" t="s">
        <v>287</v>
      </c>
      <c r="D56" s="97"/>
      <c r="E56" s="98"/>
      <c r="F56" s="98"/>
      <c r="G56" s="99"/>
      <c r="H56" s="128"/>
      <c r="I56" s="128"/>
      <c r="J56" s="128"/>
      <c r="K56" s="100"/>
      <c r="L56" s="32">
        <f ca="1">OFFSET(【DB】被害率係数!$A$4,MATCH($K56,【DB】被害率係数!$A$4:$A$19,0)-1,2)</f>
        <v>0</v>
      </c>
      <c r="M56" s="32">
        <f ca="1">OFFSET(【DB】被害率係数!$A$4,MATCH($K56,【DB】被害率係数!$A$4:$A$19,0)-1,3)</f>
        <v>0</v>
      </c>
      <c r="N56" s="100"/>
      <c r="O56" s="32">
        <f ca="1">OFFSET(【DB】被害率係数!$A$43,MATCH($N56,【DB】被害率係数!$A$43:$A$58,0)-1,3)</f>
        <v>0</v>
      </c>
      <c r="P56" s="100"/>
      <c r="Q56" s="32">
        <f ca="1">OFFSET(【DB】被害率係数!$A$43,MATCH($P56,【DB】被害率係数!$A$43:$A$58,0)-1,3)</f>
        <v>0</v>
      </c>
      <c r="R56" s="99"/>
      <c r="S56" s="99"/>
      <c r="T56" s="101"/>
      <c r="U56" s="101"/>
      <c r="V56" s="101"/>
      <c r="W56" s="101"/>
      <c r="Y56" s="94" t="str">
        <f>IF(B56="●",COUNTIF($B$5:B56,"●"),"")</f>
        <v/>
      </c>
      <c r="Z56" s="94" t="str">
        <f t="shared" si="3"/>
        <v>B52</v>
      </c>
      <c r="AA56" s="94">
        <f t="shared" si="2"/>
        <v>207</v>
      </c>
      <c r="AB56" s="94" t="str">
        <f t="shared" si="4"/>
        <v/>
      </c>
    </row>
    <row r="57" spans="2:28" x14ac:dyDescent="0.15">
      <c r="B57" s="96"/>
      <c r="C57" s="33" t="s">
        <v>288</v>
      </c>
      <c r="D57" s="97"/>
      <c r="E57" s="98"/>
      <c r="F57" s="98"/>
      <c r="G57" s="99"/>
      <c r="H57" s="128"/>
      <c r="I57" s="128"/>
      <c r="J57" s="128"/>
      <c r="K57" s="100"/>
      <c r="L57" s="32">
        <f ca="1">OFFSET(【DB】被害率係数!$A$4,MATCH($K57,【DB】被害率係数!$A$4:$A$19,0)-1,2)</f>
        <v>0</v>
      </c>
      <c r="M57" s="32">
        <f ca="1">OFFSET(【DB】被害率係数!$A$4,MATCH($K57,【DB】被害率係数!$A$4:$A$19,0)-1,3)</f>
        <v>0</v>
      </c>
      <c r="N57" s="100"/>
      <c r="O57" s="32">
        <f ca="1">OFFSET(【DB】被害率係数!$A$43,MATCH($N57,【DB】被害率係数!$A$43:$A$58,0)-1,3)</f>
        <v>0</v>
      </c>
      <c r="P57" s="100"/>
      <c r="Q57" s="32">
        <f ca="1">OFFSET(【DB】被害率係数!$A$43,MATCH($P57,【DB】被害率係数!$A$43:$A$58,0)-1,3)</f>
        <v>0</v>
      </c>
      <c r="R57" s="99"/>
      <c r="S57" s="99"/>
      <c r="T57" s="101"/>
      <c r="U57" s="101"/>
      <c r="V57" s="101"/>
      <c r="W57" s="101"/>
      <c r="Y57" s="94" t="str">
        <f>IF(B57="●",COUNTIF($B$5:B57,"●"),"")</f>
        <v/>
      </c>
      <c r="Z57" s="94" t="str">
        <f t="shared" si="3"/>
        <v>B53</v>
      </c>
      <c r="AA57" s="94">
        <f t="shared" si="2"/>
        <v>211</v>
      </c>
      <c r="AB57" s="94" t="str">
        <f t="shared" si="4"/>
        <v/>
      </c>
    </row>
    <row r="58" spans="2:28" x14ac:dyDescent="0.15">
      <c r="B58" s="96"/>
      <c r="C58" s="33" t="s">
        <v>289</v>
      </c>
      <c r="D58" s="97"/>
      <c r="E58" s="98"/>
      <c r="F58" s="98"/>
      <c r="G58" s="99"/>
      <c r="H58" s="128"/>
      <c r="I58" s="128"/>
      <c r="J58" s="128"/>
      <c r="K58" s="100"/>
      <c r="L58" s="32">
        <f ca="1">OFFSET(【DB】被害率係数!$A$4,MATCH($K58,【DB】被害率係数!$A$4:$A$19,0)-1,2)</f>
        <v>0</v>
      </c>
      <c r="M58" s="32">
        <f ca="1">OFFSET(【DB】被害率係数!$A$4,MATCH($K58,【DB】被害率係数!$A$4:$A$19,0)-1,3)</f>
        <v>0</v>
      </c>
      <c r="N58" s="100"/>
      <c r="O58" s="32">
        <f ca="1">OFFSET(【DB】被害率係数!$A$43,MATCH($N58,【DB】被害率係数!$A$43:$A$58,0)-1,3)</f>
        <v>0</v>
      </c>
      <c r="P58" s="100"/>
      <c r="Q58" s="32">
        <f ca="1">OFFSET(【DB】被害率係数!$A$43,MATCH($P58,【DB】被害率係数!$A$43:$A$58,0)-1,3)</f>
        <v>0</v>
      </c>
      <c r="R58" s="99"/>
      <c r="S58" s="99"/>
      <c r="T58" s="101"/>
      <c r="U58" s="101"/>
      <c r="V58" s="101"/>
      <c r="W58" s="101"/>
      <c r="Y58" s="94" t="str">
        <f>IF(B58="●",COUNTIF($B$5:B58,"●"),"")</f>
        <v/>
      </c>
      <c r="Z58" s="94" t="str">
        <f t="shared" si="3"/>
        <v>B54</v>
      </c>
      <c r="AA58" s="94">
        <f t="shared" si="2"/>
        <v>215</v>
      </c>
      <c r="AB58" s="94" t="str">
        <f t="shared" si="4"/>
        <v/>
      </c>
    </row>
    <row r="59" spans="2:28" x14ac:dyDescent="0.15">
      <c r="B59" s="96"/>
      <c r="C59" s="33" t="s">
        <v>290</v>
      </c>
      <c r="D59" s="97"/>
      <c r="E59" s="98"/>
      <c r="F59" s="98"/>
      <c r="G59" s="99"/>
      <c r="H59" s="128"/>
      <c r="I59" s="128"/>
      <c r="J59" s="128"/>
      <c r="K59" s="100"/>
      <c r="L59" s="32">
        <f ca="1">OFFSET(【DB】被害率係数!$A$4,MATCH($K59,【DB】被害率係数!$A$4:$A$19,0)-1,2)</f>
        <v>0</v>
      </c>
      <c r="M59" s="32">
        <f ca="1">OFFSET(【DB】被害率係数!$A$4,MATCH($K59,【DB】被害率係数!$A$4:$A$19,0)-1,3)</f>
        <v>0</v>
      </c>
      <c r="N59" s="100"/>
      <c r="O59" s="32">
        <f ca="1">OFFSET(【DB】被害率係数!$A$43,MATCH($N59,【DB】被害率係数!$A$43:$A$58,0)-1,3)</f>
        <v>0</v>
      </c>
      <c r="P59" s="100"/>
      <c r="Q59" s="32">
        <f ca="1">OFFSET(【DB】被害率係数!$A$43,MATCH($P59,【DB】被害率係数!$A$43:$A$58,0)-1,3)</f>
        <v>0</v>
      </c>
      <c r="R59" s="99"/>
      <c r="S59" s="99"/>
      <c r="T59" s="101"/>
      <c r="U59" s="101"/>
      <c r="V59" s="101"/>
      <c r="W59" s="101"/>
      <c r="Y59" s="94" t="str">
        <f>IF(B59="●",COUNTIF($B$5:B59,"●"),"")</f>
        <v/>
      </c>
      <c r="Z59" s="94" t="str">
        <f t="shared" si="3"/>
        <v>B55</v>
      </c>
      <c r="AA59" s="94">
        <f t="shared" si="2"/>
        <v>219</v>
      </c>
      <c r="AB59" s="94" t="str">
        <f t="shared" si="4"/>
        <v/>
      </c>
    </row>
    <row r="60" spans="2:28" x14ac:dyDescent="0.15">
      <c r="B60" s="96"/>
      <c r="C60" s="33" t="s">
        <v>291</v>
      </c>
      <c r="D60" s="97"/>
      <c r="E60" s="98"/>
      <c r="F60" s="98"/>
      <c r="G60" s="99"/>
      <c r="H60" s="128"/>
      <c r="I60" s="128"/>
      <c r="J60" s="128"/>
      <c r="K60" s="100"/>
      <c r="L60" s="32">
        <f ca="1">OFFSET(【DB】被害率係数!$A$4,MATCH($K60,【DB】被害率係数!$A$4:$A$19,0)-1,2)</f>
        <v>0</v>
      </c>
      <c r="M60" s="32">
        <f ca="1">OFFSET(【DB】被害率係数!$A$4,MATCH($K60,【DB】被害率係数!$A$4:$A$19,0)-1,3)</f>
        <v>0</v>
      </c>
      <c r="N60" s="100"/>
      <c r="O60" s="32">
        <f ca="1">OFFSET(【DB】被害率係数!$A$43,MATCH($N60,【DB】被害率係数!$A$43:$A$58,0)-1,3)</f>
        <v>0</v>
      </c>
      <c r="P60" s="100"/>
      <c r="Q60" s="32">
        <f ca="1">OFFSET(【DB】被害率係数!$A$43,MATCH($P60,【DB】被害率係数!$A$43:$A$58,0)-1,3)</f>
        <v>0</v>
      </c>
      <c r="R60" s="99"/>
      <c r="S60" s="99"/>
      <c r="T60" s="101"/>
      <c r="U60" s="101"/>
      <c r="V60" s="101"/>
      <c r="W60" s="101"/>
      <c r="Y60" s="94" t="str">
        <f>IF(B60="●",COUNTIF($B$5:B60,"●"),"")</f>
        <v/>
      </c>
      <c r="Z60" s="94" t="str">
        <f t="shared" si="3"/>
        <v>B56</v>
      </c>
      <c r="AA60" s="94">
        <f t="shared" si="2"/>
        <v>223</v>
      </c>
      <c r="AB60" s="94" t="str">
        <f t="shared" si="4"/>
        <v/>
      </c>
    </row>
    <row r="61" spans="2:28" x14ac:dyDescent="0.15">
      <c r="B61" s="96"/>
      <c r="C61" s="33" t="s">
        <v>292</v>
      </c>
      <c r="D61" s="97"/>
      <c r="E61" s="98"/>
      <c r="F61" s="98"/>
      <c r="G61" s="99"/>
      <c r="H61" s="128"/>
      <c r="I61" s="128"/>
      <c r="J61" s="128"/>
      <c r="K61" s="100"/>
      <c r="L61" s="32">
        <f ca="1">OFFSET(【DB】被害率係数!$A$4,MATCH($K61,【DB】被害率係数!$A$4:$A$19,0)-1,2)</f>
        <v>0</v>
      </c>
      <c r="M61" s="32">
        <f ca="1">OFFSET(【DB】被害率係数!$A$4,MATCH($K61,【DB】被害率係数!$A$4:$A$19,0)-1,3)</f>
        <v>0</v>
      </c>
      <c r="N61" s="100"/>
      <c r="O61" s="32">
        <f ca="1">OFFSET(【DB】被害率係数!$A$43,MATCH($N61,【DB】被害率係数!$A$43:$A$58,0)-1,3)</f>
        <v>0</v>
      </c>
      <c r="P61" s="100"/>
      <c r="Q61" s="32">
        <f ca="1">OFFSET(【DB】被害率係数!$A$43,MATCH($P61,【DB】被害率係数!$A$43:$A$58,0)-1,3)</f>
        <v>0</v>
      </c>
      <c r="R61" s="99"/>
      <c r="S61" s="99"/>
      <c r="T61" s="101"/>
      <c r="U61" s="101"/>
      <c r="V61" s="101"/>
      <c r="W61" s="101"/>
      <c r="Y61" s="94" t="str">
        <f>IF(B61="●",COUNTIF($B$5:B61,"●"),"")</f>
        <v/>
      </c>
      <c r="Z61" s="94" t="str">
        <f t="shared" si="3"/>
        <v>B57</v>
      </c>
      <c r="AA61" s="94">
        <f t="shared" si="2"/>
        <v>227</v>
      </c>
      <c r="AB61" s="94" t="str">
        <f t="shared" si="4"/>
        <v/>
      </c>
    </row>
    <row r="62" spans="2:28" x14ac:dyDescent="0.15">
      <c r="B62" s="96"/>
      <c r="C62" s="33" t="s">
        <v>293</v>
      </c>
      <c r="D62" s="97"/>
      <c r="E62" s="98"/>
      <c r="F62" s="98"/>
      <c r="G62" s="99"/>
      <c r="H62" s="128"/>
      <c r="I62" s="128"/>
      <c r="J62" s="128"/>
      <c r="K62" s="100"/>
      <c r="L62" s="32">
        <f ca="1">OFFSET(【DB】被害率係数!$A$4,MATCH($K62,【DB】被害率係数!$A$4:$A$19,0)-1,2)</f>
        <v>0</v>
      </c>
      <c r="M62" s="32">
        <f ca="1">OFFSET(【DB】被害率係数!$A$4,MATCH($K62,【DB】被害率係数!$A$4:$A$19,0)-1,3)</f>
        <v>0</v>
      </c>
      <c r="N62" s="100"/>
      <c r="O62" s="32">
        <f ca="1">OFFSET(【DB】被害率係数!$A$43,MATCH($N62,【DB】被害率係数!$A$43:$A$58,0)-1,3)</f>
        <v>0</v>
      </c>
      <c r="P62" s="100"/>
      <c r="Q62" s="32">
        <f ca="1">OFFSET(【DB】被害率係数!$A$43,MATCH($P62,【DB】被害率係数!$A$43:$A$58,0)-1,3)</f>
        <v>0</v>
      </c>
      <c r="R62" s="99"/>
      <c r="S62" s="99"/>
      <c r="T62" s="101"/>
      <c r="U62" s="101"/>
      <c r="V62" s="101"/>
      <c r="W62" s="101"/>
      <c r="Y62" s="94" t="str">
        <f>IF(B62="●",COUNTIF($B$5:B62,"●"),"")</f>
        <v/>
      </c>
      <c r="Z62" s="94" t="str">
        <f t="shared" si="3"/>
        <v>B58</v>
      </c>
      <c r="AA62" s="94">
        <f t="shared" si="2"/>
        <v>231</v>
      </c>
      <c r="AB62" s="94" t="str">
        <f t="shared" si="4"/>
        <v/>
      </c>
    </row>
    <row r="63" spans="2:28" x14ac:dyDescent="0.15">
      <c r="B63" s="96"/>
      <c r="C63" s="33" t="s">
        <v>294</v>
      </c>
      <c r="D63" s="97"/>
      <c r="E63" s="98"/>
      <c r="F63" s="98"/>
      <c r="G63" s="99"/>
      <c r="H63" s="128"/>
      <c r="I63" s="128"/>
      <c r="J63" s="128"/>
      <c r="K63" s="100"/>
      <c r="L63" s="32">
        <f ca="1">OFFSET(【DB】被害率係数!$A$4,MATCH($K63,【DB】被害率係数!$A$4:$A$19,0)-1,2)</f>
        <v>0</v>
      </c>
      <c r="M63" s="32">
        <f ca="1">OFFSET(【DB】被害率係数!$A$4,MATCH($K63,【DB】被害率係数!$A$4:$A$19,0)-1,3)</f>
        <v>0</v>
      </c>
      <c r="N63" s="100"/>
      <c r="O63" s="32">
        <f ca="1">OFFSET(【DB】被害率係数!$A$43,MATCH($N63,【DB】被害率係数!$A$43:$A$58,0)-1,3)</f>
        <v>0</v>
      </c>
      <c r="P63" s="100"/>
      <c r="Q63" s="32">
        <f ca="1">OFFSET(【DB】被害率係数!$A$43,MATCH($P63,【DB】被害率係数!$A$43:$A$58,0)-1,3)</f>
        <v>0</v>
      </c>
      <c r="R63" s="99"/>
      <c r="S63" s="99"/>
      <c r="T63" s="101"/>
      <c r="U63" s="101"/>
      <c r="V63" s="101"/>
      <c r="W63" s="101"/>
      <c r="Y63" s="94" t="str">
        <f>IF(B63="●",COUNTIF($B$5:B63,"●"),"")</f>
        <v/>
      </c>
      <c r="Z63" s="94" t="str">
        <f t="shared" si="3"/>
        <v>B59</v>
      </c>
      <c r="AA63" s="94">
        <f t="shared" si="2"/>
        <v>235</v>
      </c>
      <c r="AB63" s="94" t="str">
        <f t="shared" si="4"/>
        <v/>
      </c>
    </row>
    <row r="64" spans="2:28" x14ac:dyDescent="0.15">
      <c r="B64" s="96"/>
      <c r="C64" s="33" t="s">
        <v>295</v>
      </c>
      <c r="D64" s="97"/>
      <c r="E64" s="98"/>
      <c r="F64" s="98"/>
      <c r="G64" s="99"/>
      <c r="H64" s="128"/>
      <c r="I64" s="128"/>
      <c r="J64" s="128"/>
      <c r="K64" s="100"/>
      <c r="L64" s="32">
        <f ca="1">OFFSET(【DB】被害率係数!$A$4,MATCH($K64,【DB】被害率係数!$A$4:$A$19,0)-1,2)</f>
        <v>0</v>
      </c>
      <c r="M64" s="32">
        <f ca="1">OFFSET(【DB】被害率係数!$A$4,MATCH($K64,【DB】被害率係数!$A$4:$A$19,0)-1,3)</f>
        <v>0</v>
      </c>
      <c r="N64" s="100"/>
      <c r="O64" s="32">
        <f ca="1">OFFSET(【DB】被害率係数!$A$43,MATCH($N64,【DB】被害率係数!$A$43:$A$58,0)-1,3)</f>
        <v>0</v>
      </c>
      <c r="P64" s="100"/>
      <c r="Q64" s="32">
        <f ca="1">OFFSET(【DB】被害率係数!$A$43,MATCH($P64,【DB】被害率係数!$A$43:$A$58,0)-1,3)</f>
        <v>0</v>
      </c>
      <c r="R64" s="99"/>
      <c r="S64" s="99"/>
      <c r="T64" s="101"/>
      <c r="U64" s="101"/>
      <c r="V64" s="101"/>
      <c r="W64" s="101"/>
      <c r="Y64" s="94" t="str">
        <f>IF(B64="●",COUNTIF($B$5:B64,"●"),"")</f>
        <v/>
      </c>
      <c r="Z64" s="94" t="str">
        <f t="shared" si="3"/>
        <v>B60</v>
      </c>
      <c r="AA64" s="94">
        <f t="shared" si="2"/>
        <v>239</v>
      </c>
      <c r="AB64" s="94" t="str">
        <f t="shared" si="4"/>
        <v/>
      </c>
    </row>
    <row r="65" spans="2:28" x14ac:dyDescent="0.15">
      <c r="B65" s="96"/>
      <c r="C65" s="33" t="s">
        <v>296</v>
      </c>
      <c r="D65" s="97"/>
      <c r="E65" s="98"/>
      <c r="F65" s="98"/>
      <c r="G65" s="99"/>
      <c r="H65" s="128"/>
      <c r="I65" s="128"/>
      <c r="J65" s="128"/>
      <c r="K65" s="100"/>
      <c r="L65" s="32">
        <f ca="1">OFFSET(【DB】被害率係数!$A$4,MATCH($K65,【DB】被害率係数!$A$4:$A$19,0)-1,2)</f>
        <v>0</v>
      </c>
      <c r="M65" s="32">
        <f ca="1">OFFSET(【DB】被害率係数!$A$4,MATCH($K65,【DB】被害率係数!$A$4:$A$19,0)-1,3)</f>
        <v>0</v>
      </c>
      <c r="N65" s="100"/>
      <c r="O65" s="32">
        <f ca="1">OFFSET(【DB】被害率係数!$A$43,MATCH($N65,【DB】被害率係数!$A$43:$A$58,0)-1,3)</f>
        <v>0</v>
      </c>
      <c r="P65" s="100"/>
      <c r="Q65" s="32">
        <f ca="1">OFFSET(【DB】被害率係数!$A$43,MATCH($P65,【DB】被害率係数!$A$43:$A$58,0)-1,3)</f>
        <v>0</v>
      </c>
      <c r="R65" s="99"/>
      <c r="S65" s="99"/>
      <c r="T65" s="101"/>
      <c r="U65" s="101"/>
      <c r="V65" s="101"/>
      <c r="W65" s="101"/>
      <c r="Y65" s="94" t="str">
        <f>IF(B65="●",COUNTIF($B$5:B65,"●"),"")</f>
        <v/>
      </c>
      <c r="Z65" s="94" t="str">
        <f t="shared" si="3"/>
        <v>B61</v>
      </c>
      <c r="AA65" s="94">
        <f t="shared" si="2"/>
        <v>243</v>
      </c>
      <c r="AB65" s="94" t="str">
        <f t="shared" si="4"/>
        <v/>
      </c>
    </row>
    <row r="66" spans="2:28" x14ac:dyDescent="0.15">
      <c r="B66" s="96"/>
      <c r="C66" s="33" t="s">
        <v>297</v>
      </c>
      <c r="D66" s="97"/>
      <c r="E66" s="98"/>
      <c r="F66" s="98"/>
      <c r="G66" s="99"/>
      <c r="H66" s="128"/>
      <c r="I66" s="128"/>
      <c r="J66" s="128"/>
      <c r="K66" s="100"/>
      <c r="L66" s="32">
        <f ca="1">OFFSET(【DB】被害率係数!$A$4,MATCH($K66,【DB】被害率係数!$A$4:$A$19,0)-1,2)</f>
        <v>0</v>
      </c>
      <c r="M66" s="32">
        <f ca="1">OFFSET(【DB】被害率係数!$A$4,MATCH($K66,【DB】被害率係数!$A$4:$A$19,0)-1,3)</f>
        <v>0</v>
      </c>
      <c r="N66" s="100"/>
      <c r="O66" s="32">
        <f ca="1">OFFSET(【DB】被害率係数!$A$43,MATCH($N66,【DB】被害率係数!$A$43:$A$58,0)-1,3)</f>
        <v>0</v>
      </c>
      <c r="P66" s="100"/>
      <c r="Q66" s="32">
        <f ca="1">OFFSET(【DB】被害率係数!$A$43,MATCH($P66,【DB】被害率係数!$A$43:$A$58,0)-1,3)</f>
        <v>0</v>
      </c>
      <c r="R66" s="99"/>
      <c r="S66" s="99"/>
      <c r="T66" s="101"/>
      <c r="U66" s="101"/>
      <c r="V66" s="101"/>
      <c r="W66" s="101"/>
      <c r="Y66" s="94" t="str">
        <f>IF(B66="●",COUNTIF($B$5:B66,"●"),"")</f>
        <v/>
      </c>
      <c r="Z66" s="94" t="str">
        <f t="shared" si="3"/>
        <v>B62</v>
      </c>
      <c r="AA66" s="94">
        <f t="shared" si="2"/>
        <v>247</v>
      </c>
      <c r="AB66" s="94" t="str">
        <f t="shared" si="4"/>
        <v/>
      </c>
    </row>
    <row r="67" spans="2:28" x14ac:dyDescent="0.15">
      <c r="B67" s="96"/>
      <c r="C67" s="33" t="s">
        <v>298</v>
      </c>
      <c r="D67" s="97"/>
      <c r="E67" s="98"/>
      <c r="F67" s="98"/>
      <c r="G67" s="99"/>
      <c r="H67" s="128"/>
      <c r="I67" s="128"/>
      <c r="J67" s="128"/>
      <c r="K67" s="100"/>
      <c r="L67" s="32">
        <f ca="1">OFFSET(【DB】被害率係数!$A$4,MATCH($K67,【DB】被害率係数!$A$4:$A$19,0)-1,2)</f>
        <v>0</v>
      </c>
      <c r="M67" s="32">
        <f ca="1">OFFSET(【DB】被害率係数!$A$4,MATCH($K67,【DB】被害率係数!$A$4:$A$19,0)-1,3)</f>
        <v>0</v>
      </c>
      <c r="N67" s="100"/>
      <c r="O67" s="32">
        <f ca="1">OFFSET(【DB】被害率係数!$A$43,MATCH($N67,【DB】被害率係数!$A$43:$A$58,0)-1,3)</f>
        <v>0</v>
      </c>
      <c r="P67" s="100"/>
      <c r="Q67" s="32">
        <f ca="1">OFFSET(【DB】被害率係数!$A$43,MATCH($P67,【DB】被害率係数!$A$43:$A$58,0)-1,3)</f>
        <v>0</v>
      </c>
      <c r="R67" s="99"/>
      <c r="S67" s="99"/>
      <c r="T67" s="101"/>
      <c r="U67" s="101"/>
      <c r="V67" s="101"/>
      <c r="W67" s="101"/>
      <c r="Y67" s="94" t="str">
        <f>IF(B67="●",COUNTIF($B$5:B67,"●"),"")</f>
        <v/>
      </c>
      <c r="Z67" s="94" t="str">
        <f t="shared" si="3"/>
        <v>B63</v>
      </c>
      <c r="AA67" s="94">
        <f t="shared" si="2"/>
        <v>251</v>
      </c>
      <c r="AB67" s="94" t="str">
        <f t="shared" si="4"/>
        <v/>
      </c>
    </row>
    <row r="68" spans="2:28" x14ac:dyDescent="0.15">
      <c r="B68" s="96"/>
      <c r="C68" s="33" t="s">
        <v>299</v>
      </c>
      <c r="D68" s="97"/>
      <c r="E68" s="98"/>
      <c r="F68" s="98"/>
      <c r="G68" s="99"/>
      <c r="H68" s="128"/>
      <c r="I68" s="128"/>
      <c r="J68" s="128"/>
      <c r="K68" s="100"/>
      <c r="L68" s="32">
        <f ca="1">OFFSET(【DB】被害率係数!$A$4,MATCH($K68,【DB】被害率係数!$A$4:$A$19,0)-1,2)</f>
        <v>0</v>
      </c>
      <c r="M68" s="32">
        <f ca="1">OFFSET(【DB】被害率係数!$A$4,MATCH($K68,【DB】被害率係数!$A$4:$A$19,0)-1,3)</f>
        <v>0</v>
      </c>
      <c r="N68" s="100"/>
      <c r="O68" s="32">
        <f ca="1">OFFSET(【DB】被害率係数!$A$43,MATCH($N68,【DB】被害率係数!$A$43:$A$58,0)-1,3)</f>
        <v>0</v>
      </c>
      <c r="P68" s="100"/>
      <c r="Q68" s="32">
        <f ca="1">OFFSET(【DB】被害率係数!$A$43,MATCH($P68,【DB】被害率係数!$A$43:$A$58,0)-1,3)</f>
        <v>0</v>
      </c>
      <c r="R68" s="99"/>
      <c r="S68" s="99"/>
      <c r="T68" s="101"/>
      <c r="U68" s="101"/>
      <c r="V68" s="101"/>
      <c r="W68" s="101"/>
      <c r="Y68" s="94" t="str">
        <f>IF(B68="●",COUNTIF($B$5:B68,"●"),"")</f>
        <v/>
      </c>
      <c r="Z68" s="94" t="str">
        <f t="shared" si="3"/>
        <v>B64</v>
      </c>
      <c r="AA68" s="94">
        <f t="shared" si="2"/>
        <v>255</v>
      </c>
      <c r="AB68" s="94" t="str">
        <f t="shared" si="4"/>
        <v/>
      </c>
    </row>
    <row r="69" spans="2:28" x14ac:dyDescent="0.15">
      <c r="B69" s="96"/>
      <c r="C69" s="33" t="s">
        <v>300</v>
      </c>
      <c r="D69" s="97"/>
      <c r="E69" s="98"/>
      <c r="F69" s="98"/>
      <c r="G69" s="99"/>
      <c r="H69" s="128"/>
      <c r="I69" s="128"/>
      <c r="J69" s="128"/>
      <c r="K69" s="100"/>
      <c r="L69" s="32">
        <f ca="1">OFFSET(【DB】被害率係数!$A$4,MATCH($K69,【DB】被害率係数!$A$4:$A$19,0)-1,2)</f>
        <v>0</v>
      </c>
      <c r="M69" s="32">
        <f ca="1">OFFSET(【DB】被害率係数!$A$4,MATCH($K69,【DB】被害率係数!$A$4:$A$19,0)-1,3)</f>
        <v>0</v>
      </c>
      <c r="N69" s="100"/>
      <c r="O69" s="32">
        <f ca="1">OFFSET(【DB】被害率係数!$A$43,MATCH($N69,【DB】被害率係数!$A$43:$A$58,0)-1,3)</f>
        <v>0</v>
      </c>
      <c r="P69" s="100"/>
      <c r="Q69" s="32">
        <f ca="1">OFFSET(【DB】被害率係数!$A$43,MATCH($P69,【DB】被害率係数!$A$43:$A$58,0)-1,3)</f>
        <v>0</v>
      </c>
      <c r="R69" s="99"/>
      <c r="S69" s="99"/>
      <c r="T69" s="101"/>
      <c r="U69" s="101"/>
      <c r="V69" s="101"/>
      <c r="W69" s="101"/>
      <c r="Y69" s="94" t="str">
        <f>IF(B69="●",COUNTIF($B$5:B69,"●"),"")</f>
        <v/>
      </c>
      <c r="Z69" s="94" t="str">
        <f t="shared" si="3"/>
        <v>B65</v>
      </c>
      <c r="AA69" s="94">
        <f t="shared" si="2"/>
        <v>259</v>
      </c>
      <c r="AB69" s="94" t="str">
        <f t="shared" si="4"/>
        <v/>
      </c>
    </row>
    <row r="70" spans="2:28" x14ac:dyDescent="0.15">
      <c r="B70" s="96"/>
      <c r="C70" s="33" t="s">
        <v>301</v>
      </c>
      <c r="D70" s="97"/>
      <c r="E70" s="98"/>
      <c r="F70" s="98"/>
      <c r="G70" s="99"/>
      <c r="H70" s="128"/>
      <c r="I70" s="128"/>
      <c r="J70" s="128"/>
      <c r="K70" s="100"/>
      <c r="L70" s="32">
        <f ca="1">OFFSET(【DB】被害率係数!$A$4,MATCH($K70,【DB】被害率係数!$A$4:$A$19,0)-1,2)</f>
        <v>0</v>
      </c>
      <c r="M70" s="32">
        <f ca="1">OFFSET(【DB】被害率係数!$A$4,MATCH($K70,【DB】被害率係数!$A$4:$A$19,0)-1,3)</f>
        <v>0</v>
      </c>
      <c r="N70" s="100"/>
      <c r="O70" s="32">
        <f ca="1">OFFSET(【DB】被害率係数!$A$43,MATCH($N70,【DB】被害率係数!$A$43:$A$58,0)-1,3)</f>
        <v>0</v>
      </c>
      <c r="P70" s="100"/>
      <c r="Q70" s="32">
        <f ca="1">OFFSET(【DB】被害率係数!$A$43,MATCH($P70,【DB】被害率係数!$A$43:$A$58,0)-1,3)</f>
        <v>0</v>
      </c>
      <c r="R70" s="99"/>
      <c r="S70" s="99"/>
      <c r="T70" s="101"/>
      <c r="U70" s="101"/>
      <c r="V70" s="101"/>
      <c r="W70" s="101"/>
      <c r="Y70" s="94" t="str">
        <f>IF(B70="●",COUNTIF($B$5:B70,"●"),"")</f>
        <v/>
      </c>
      <c r="Z70" s="94" t="str">
        <f t="shared" si="3"/>
        <v>B66</v>
      </c>
      <c r="AA70" s="94">
        <f t="shared" si="2"/>
        <v>263</v>
      </c>
      <c r="AB70" s="94" t="str">
        <f t="shared" si="4"/>
        <v/>
      </c>
    </row>
    <row r="71" spans="2:28" x14ac:dyDescent="0.15">
      <c r="B71" s="96"/>
      <c r="C71" s="33" t="s">
        <v>302</v>
      </c>
      <c r="D71" s="97"/>
      <c r="E71" s="98"/>
      <c r="F71" s="98"/>
      <c r="G71" s="99"/>
      <c r="H71" s="128"/>
      <c r="I71" s="128"/>
      <c r="J71" s="128"/>
      <c r="K71" s="100"/>
      <c r="L71" s="32">
        <f ca="1">OFFSET(【DB】被害率係数!$A$4,MATCH($K71,【DB】被害率係数!$A$4:$A$19,0)-1,2)</f>
        <v>0</v>
      </c>
      <c r="M71" s="32">
        <f ca="1">OFFSET(【DB】被害率係数!$A$4,MATCH($K71,【DB】被害率係数!$A$4:$A$19,0)-1,3)</f>
        <v>0</v>
      </c>
      <c r="N71" s="100"/>
      <c r="O71" s="32">
        <f ca="1">OFFSET(【DB】被害率係数!$A$43,MATCH($N71,【DB】被害率係数!$A$43:$A$58,0)-1,3)</f>
        <v>0</v>
      </c>
      <c r="P71" s="100"/>
      <c r="Q71" s="32">
        <f ca="1">OFFSET(【DB】被害率係数!$A$43,MATCH($P71,【DB】被害率係数!$A$43:$A$58,0)-1,3)</f>
        <v>0</v>
      </c>
      <c r="R71" s="99"/>
      <c r="S71" s="99"/>
      <c r="T71" s="101"/>
      <c r="U71" s="101"/>
      <c r="V71" s="101"/>
      <c r="W71" s="101"/>
      <c r="Y71" s="94" t="str">
        <f>IF(B71="●",COUNTIF($B$5:B71,"●"),"")</f>
        <v/>
      </c>
      <c r="Z71" s="94" t="str">
        <f t="shared" si="3"/>
        <v>B67</v>
      </c>
      <c r="AA71" s="94">
        <f t="shared" ref="AA71:AA104" si="5">AA70+4</f>
        <v>267</v>
      </c>
      <c r="AB71" s="94" t="str">
        <f t="shared" si="4"/>
        <v/>
      </c>
    </row>
    <row r="72" spans="2:28" x14ac:dyDescent="0.15">
      <c r="B72" s="96"/>
      <c r="C72" s="33" t="s">
        <v>303</v>
      </c>
      <c r="D72" s="97"/>
      <c r="E72" s="98"/>
      <c r="F72" s="98"/>
      <c r="G72" s="99"/>
      <c r="H72" s="128"/>
      <c r="I72" s="128"/>
      <c r="J72" s="128"/>
      <c r="K72" s="100"/>
      <c r="L72" s="32">
        <f ca="1">OFFSET(【DB】被害率係数!$A$4,MATCH($K72,【DB】被害率係数!$A$4:$A$19,0)-1,2)</f>
        <v>0</v>
      </c>
      <c r="M72" s="32">
        <f ca="1">OFFSET(【DB】被害率係数!$A$4,MATCH($K72,【DB】被害率係数!$A$4:$A$19,0)-1,3)</f>
        <v>0</v>
      </c>
      <c r="N72" s="100"/>
      <c r="O72" s="32">
        <f ca="1">OFFSET(【DB】被害率係数!$A$43,MATCH($N72,【DB】被害率係数!$A$43:$A$58,0)-1,3)</f>
        <v>0</v>
      </c>
      <c r="P72" s="100"/>
      <c r="Q72" s="32">
        <f ca="1">OFFSET(【DB】被害率係数!$A$43,MATCH($P72,【DB】被害率係数!$A$43:$A$58,0)-1,3)</f>
        <v>0</v>
      </c>
      <c r="R72" s="99"/>
      <c r="S72" s="99"/>
      <c r="T72" s="101"/>
      <c r="U72" s="101"/>
      <c r="V72" s="101"/>
      <c r="W72" s="101"/>
      <c r="Y72" s="94" t="str">
        <f>IF(B72="●",COUNTIF($B$5:B72,"●"),"")</f>
        <v/>
      </c>
      <c r="Z72" s="94" t="str">
        <f t="shared" si="3"/>
        <v>B68</v>
      </c>
      <c r="AA72" s="94">
        <f t="shared" si="5"/>
        <v>271</v>
      </c>
      <c r="AB72" s="94" t="str">
        <f t="shared" si="4"/>
        <v/>
      </c>
    </row>
    <row r="73" spans="2:28" x14ac:dyDescent="0.15">
      <c r="B73" s="96"/>
      <c r="C73" s="33" t="s">
        <v>304</v>
      </c>
      <c r="D73" s="97"/>
      <c r="E73" s="98"/>
      <c r="F73" s="98"/>
      <c r="G73" s="99"/>
      <c r="H73" s="128"/>
      <c r="I73" s="128"/>
      <c r="J73" s="128"/>
      <c r="K73" s="100"/>
      <c r="L73" s="32">
        <f ca="1">OFFSET(【DB】被害率係数!$A$4,MATCH($K73,【DB】被害率係数!$A$4:$A$19,0)-1,2)</f>
        <v>0</v>
      </c>
      <c r="M73" s="32">
        <f ca="1">OFFSET(【DB】被害率係数!$A$4,MATCH($K73,【DB】被害率係数!$A$4:$A$19,0)-1,3)</f>
        <v>0</v>
      </c>
      <c r="N73" s="100"/>
      <c r="O73" s="32">
        <f ca="1">OFFSET(【DB】被害率係数!$A$43,MATCH($N73,【DB】被害率係数!$A$43:$A$58,0)-1,3)</f>
        <v>0</v>
      </c>
      <c r="P73" s="100"/>
      <c r="Q73" s="32">
        <f ca="1">OFFSET(【DB】被害率係数!$A$43,MATCH($P73,【DB】被害率係数!$A$43:$A$58,0)-1,3)</f>
        <v>0</v>
      </c>
      <c r="R73" s="99"/>
      <c r="S73" s="99"/>
      <c r="T73" s="101"/>
      <c r="U73" s="101"/>
      <c r="V73" s="101"/>
      <c r="W73" s="101"/>
      <c r="Y73" s="94" t="str">
        <f>IF(B73="●",COUNTIF($B$5:B73,"●"),"")</f>
        <v/>
      </c>
      <c r="Z73" s="94" t="str">
        <f t="shared" si="3"/>
        <v>B69</v>
      </c>
      <c r="AA73" s="94">
        <f t="shared" si="5"/>
        <v>275</v>
      </c>
      <c r="AB73" s="94" t="str">
        <f t="shared" si="4"/>
        <v/>
      </c>
    </row>
    <row r="74" spans="2:28" x14ac:dyDescent="0.15">
      <c r="B74" s="96"/>
      <c r="C74" s="33" t="s">
        <v>305</v>
      </c>
      <c r="D74" s="97"/>
      <c r="E74" s="98"/>
      <c r="F74" s="98"/>
      <c r="G74" s="99"/>
      <c r="H74" s="128"/>
      <c r="I74" s="128"/>
      <c r="J74" s="128"/>
      <c r="K74" s="100"/>
      <c r="L74" s="32">
        <f ca="1">OFFSET(【DB】被害率係数!$A$4,MATCH($K74,【DB】被害率係数!$A$4:$A$19,0)-1,2)</f>
        <v>0</v>
      </c>
      <c r="M74" s="32">
        <f ca="1">OFFSET(【DB】被害率係数!$A$4,MATCH($K74,【DB】被害率係数!$A$4:$A$19,0)-1,3)</f>
        <v>0</v>
      </c>
      <c r="N74" s="100"/>
      <c r="O74" s="32">
        <f ca="1">OFFSET(【DB】被害率係数!$A$43,MATCH($N74,【DB】被害率係数!$A$43:$A$58,0)-1,3)</f>
        <v>0</v>
      </c>
      <c r="P74" s="100"/>
      <c r="Q74" s="32">
        <f ca="1">OFFSET(【DB】被害率係数!$A$43,MATCH($P74,【DB】被害率係数!$A$43:$A$58,0)-1,3)</f>
        <v>0</v>
      </c>
      <c r="R74" s="99"/>
      <c r="S74" s="99"/>
      <c r="T74" s="101"/>
      <c r="U74" s="101"/>
      <c r="V74" s="101"/>
      <c r="W74" s="101"/>
      <c r="Y74" s="94" t="str">
        <f>IF(B74="●",COUNTIF($B$5:B74,"●"),"")</f>
        <v/>
      </c>
      <c r="Z74" s="94" t="str">
        <f t="shared" si="3"/>
        <v>B70</v>
      </c>
      <c r="AA74" s="94">
        <f t="shared" si="5"/>
        <v>279</v>
      </c>
      <c r="AB74" s="94" t="str">
        <f t="shared" si="4"/>
        <v/>
      </c>
    </row>
    <row r="75" spans="2:28" x14ac:dyDescent="0.15">
      <c r="B75" s="96"/>
      <c r="C75" s="33" t="s">
        <v>306</v>
      </c>
      <c r="D75" s="97"/>
      <c r="E75" s="98"/>
      <c r="F75" s="98"/>
      <c r="G75" s="99"/>
      <c r="H75" s="128"/>
      <c r="I75" s="128"/>
      <c r="J75" s="128"/>
      <c r="K75" s="100"/>
      <c r="L75" s="32">
        <f ca="1">OFFSET(【DB】被害率係数!$A$4,MATCH($K75,【DB】被害率係数!$A$4:$A$19,0)-1,2)</f>
        <v>0</v>
      </c>
      <c r="M75" s="32">
        <f ca="1">OFFSET(【DB】被害率係数!$A$4,MATCH($K75,【DB】被害率係数!$A$4:$A$19,0)-1,3)</f>
        <v>0</v>
      </c>
      <c r="N75" s="100"/>
      <c r="O75" s="32">
        <f ca="1">OFFSET(【DB】被害率係数!$A$43,MATCH($N75,【DB】被害率係数!$A$43:$A$58,0)-1,3)</f>
        <v>0</v>
      </c>
      <c r="P75" s="100"/>
      <c r="Q75" s="32">
        <f ca="1">OFFSET(【DB】被害率係数!$A$43,MATCH($P75,【DB】被害率係数!$A$43:$A$58,0)-1,3)</f>
        <v>0</v>
      </c>
      <c r="R75" s="99"/>
      <c r="S75" s="99"/>
      <c r="T75" s="101"/>
      <c r="U75" s="101"/>
      <c r="V75" s="101"/>
      <c r="W75" s="101"/>
      <c r="Y75" s="94" t="str">
        <f>IF(B75="●",COUNTIF($B$5:B75,"●"),"")</f>
        <v/>
      </c>
      <c r="Z75" s="94" t="str">
        <f t="shared" si="3"/>
        <v>B71</v>
      </c>
      <c r="AA75" s="94">
        <f t="shared" si="5"/>
        <v>283</v>
      </c>
      <c r="AB75" s="94" t="str">
        <f t="shared" si="4"/>
        <v/>
      </c>
    </row>
    <row r="76" spans="2:28" x14ac:dyDescent="0.15">
      <c r="B76" s="96"/>
      <c r="C76" s="33" t="s">
        <v>307</v>
      </c>
      <c r="D76" s="97"/>
      <c r="E76" s="98"/>
      <c r="F76" s="98"/>
      <c r="G76" s="99"/>
      <c r="H76" s="128"/>
      <c r="I76" s="128"/>
      <c r="J76" s="128"/>
      <c r="K76" s="100"/>
      <c r="L76" s="32">
        <f ca="1">OFFSET(【DB】被害率係数!$A$4,MATCH($K76,【DB】被害率係数!$A$4:$A$19,0)-1,2)</f>
        <v>0</v>
      </c>
      <c r="M76" s="32">
        <f ca="1">OFFSET(【DB】被害率係数!$A$4,MATCH($K76,【DB】被害率係数!$A$4:$A$19,0)-1,3)</f>
        <v>0</v>
      </c>
      <c r="N76" s="100"/>
      <c r="O76" s="32">
        <f ca="1">OFFSET(【DB】被害率係数!$A$43,MATCH($N76,【DB】被害率係数!$A$43:$A$58,0)-1,3)</f>
        <v>0</v>
      </c>
      <c r="P76" s="100"/>
      <c r="Q76" s="32">
        <f ca="1">OFFSET(【DB】被害率係数!$A$43,MATCH($P76,【DB】被害率係数!$A$43:$A$58,0)-1,3)</f>
        <v>0</v>
      </c>
      <c r="R76" s="99"/>
      <c r="S76" s="99"/>
      <c r="T76" s="101"/>
      <c r="U76" s="101"/>
      <c r="V76" s="101"/>
      <c r="W76" s="101"/>
      <c r="Y76" s="94" t="str">
        <f>IF(B76="●",COUNTIF($B$5:B76,"●"),"")</f>
        <v/>
      </c>
      <c r="Z76" s="94" t="str">
        <f t="shared" si="3"/>
        <v>B72</v>
      </c>
      <c r="AA76" s="94">
        <f t="shared" si="5"/>
        <v>287</v>
      </c>
      <c r="AB76" s="94" t="str">
        <f t="shared" si="4"/>
        <v/>
      </c>
    </row>
    <row r="77" spans="2:28" x14ac:dyDescent="0.15">
      <c r="B77" s="96"/>
      <c r="C77" s="33" t="s">
        <v>308</v>
      </c>
      <c r="D77" s="97"/>
      <c r="E77" s="98"/>
      <c r="F77" s="98"/>
      <c r="G77" s="99"/>
      <c r="H77" s="128"/>
      <c r="I77" s="128"/>
      <c r="J77" s="128"/>
      <c r="K77" s="100"/>
      <c r="L77" s="32">
        <f ca="1">OFFSET(【DB】被害率係数!$A$4,MATCH($K77,【DB】被害率係数!$A$4:$A$19,0)-1,2)</f>
        <v>0</v>
      </c>
      <c r="M77" s="32">
        <f ca="1">OFFSET(【DB】被害率係数!$A$4,MATCH($K77,【DB】被害率係数!$A$4:$A$19,0)-1,3)</f>
        <v>0</v>
      </c>
      <c r="N77" s="100"/>
      <c r="O77" s="32">
        <f ca="1">OFFSET(【DB】被害率係数!$A$43,MATCH($N77,【DB】被害率係数!$A$43:$A$58,0)-1,3)</f>
        <v>0</v>
      </c>
      <c r="P77" s="100"/>
      <c r="Q77" s="32">
        <f ca="1">OFFSET(【DB】被害率係数!$A$43,MATCH($P77,【DB】被害率係数!$A$43:$A$58,0)-1,3)</f>
        <v>0</v>
      </c>
      <c r="R77" s="99"/>
      <c r="S77" s="99"/>
      <c r="T77" s="101"/>
      <c r="U77" s="101"/>
      <c r="V77" s="101"/>
      <c r="W77" s="101"/>
      <c r="Y77" s="94" t="str">
        <f>IF(B77="●",COUNTIF($B$5:B77,"●"),"")</f>
        <v/>
      </c>
      <c r="Z77" s="94" t="str">
        <f t="shared" si="3"/>
        <v>B73</v>
      </c>
      <c r="AA77" s="94">
        <f t="shared" si="5"/>
        <v>291</v>
      </c>
      <c r="AB77" s="94" t="str">
        <f t="shared" si="4"/>
        <v/>
      </c>
    </row>
    <row r="78" spans="2:28" x14ac:dyDescent="0.15">
      <c r="B78" s="96"/>
      <c r="C78" s="33" t="s">
        <v>309</v>
      </c>
      <c r="D78" s="97"/>
      <c r="E78" s="98"/>
      <c r="F78" s="98"/>
      <c r="G78" s="99"/>
      <c r="H78" s="128"/>
      <c r="I78" s="128"/>
      <c r="J78" s="128"/>
      <c r="K78" s="100"/>
      <c r="L78" s="32">
        <f ca="1">OFFSET(【DB】被害率係数!$A$4,MATCH($K78,【DB】被害率係数!$A$4:$A$19,0)-1,2)</f>
        <v>0</v>
      </c>
      <c r="M78" s="32">
        <f ca="1">OFFSET(【DB】被害率係数!$A$4,MATCH($K78,【DB】被害率係数!$A$4:$A$19,0)-1,3)</f>
        <v>0</v>
      </c>
      <c r="N78" s="100"/>
      <c r="O78" s="32">
        <f ca="1">OFFSET(【DB】被害率係数!$A$43,MATCH($N78,【DB】被害率係数!$A$43:$A$58,0)-1,3)</f>
        <v>0</v>
      </c>
      <c r="P78" s="100"/>
      <c r="Q78" s="32">
        <f ca="1">OFFSET(【DB】被害率係数!$A$43,MATCH($P78,【DB】被害率係数!$A$43:$A$58,0)-1,3)</f>
        <v>0</v>
      </c>
      <c r="R78" s="99"/>
      <c r="S78" s="99"/>
      <c r="T78" s="101"/>
      <c r="U78" s="101"/>
      <c r="V78" s="101"/>
      <c r="W78" s="101"/>
      <c r="Y78" s="94" t="str">
        <f>IF(B78="●",COUNTIF($B$5:B78,"●"),"")</f>
        <v/>
      </c>
      <c r="Z78" s="94" t="str">
        <f t="shared" si="3"/>
        <v>B74</v>
      </c>
      <c r="AA78" s="94">
        <f t="shared" si="5"/>
        <v>295</v>
      </c>
      <c r="AB78" s="94" t="str">
        <f t="shared" si="4"/>
        <v/>
      </c>
    </row>
    <row r="79" spans="2:28" x14ac:dyDescent="0.15">
      <c r="B79" s="96"/>
      <c r="C79" s="33" t="s">
        <v>310</v>
      </c>
      <c r="D79" s="97"/>
      <c r="E79" s="98"/>
      <c r="F79" s="98"/>
      <c r="G79" s="99"/>
      <c r="H79" s="128"/>
      <c r="I79" s="128"/>
      <c r="J79" s="128"/>
      <c r="K79" s="100"/>
      <c r="L79" s="32">
        <f ca="1">OFFSET(【DB】被害率係数!$A$4,MATCH($K79,【DB】被害率係数!$A$4:$A$19,0)-1,2)</f>
        <v>0</v>
      </c>
      <c r="M79" s="32">
        <f ca="1">OFFSET(【DB】被害率係数!$A$4,MATCH($K79,【DB】被害率係数!$A$4:$A$19,0)-1,3)</f>
        <v>0</v>
      </c>
      <c r="N79" s="100"/>
      <c r="O79" s="32">
        <f ca="1">OFFSET(【DB】被害率係数!$A$43,MATCH($N79,【DB】被害率係数!$A$43:$A$58,0)-1,3)</f>
        <v>0</v>
      </c>
      <c r="P79" s="100"/>
      <c r="Q79" s="32">
        <f ca="1">OFFSET(【DB】被害率係数!$A$43,MATCH($P79,【DB】被害率係数!$A$43:$A$58,0)-1,3)</f>
        <v>0</v>
      </c>
      <c r="R79" s="99"/>
      <c r="S79" s="99"/>
      <c r="T79" s="101"/>
      <c r="U79" s="101"/>
      <c r="V79" s="101"/>
      <c r="W79" s="101"/>
      <c r="Y79" s="94" t="str">
        <f>IF(B79="●",COUNTIF($B$5:B79,"●"),"")</f>
        <v/>
      </c>
      <c r="Z79" s="94" t="str">
        <f t="shared" si="3"/>
        <v>B75</v>
      </c>
      <c r="AA79" s="94">
        <f t="shared" si="5"/>
        <v>299</v>
      </c>
      <c r="AB79" s="94" t="str">
        <f t="shared" si="4"/>
        <v/>
      </c>
    </row>
    <row r="80" spans="2:28" x14ac:dyDescent="0.15">
      <c r="B80" s="96"/>
      <c r="C80" s="33" t="s">
        <v>311</v>
      </c>
      <c r="D80" s="97"/>
      <c r="E80" s="98"/>
      <c r="F80" s="98"/>
      <c r="G80" s="99"/>
      <c r="H80" s="128"/>
      <c r="I80" s="128"/>
      <c r="J80" s="128"/>
      <c r="K80" s="100"/>
      <c r="L80" s="32">
        <f ca="1">OFFSET(【DB】被害率係数!$A$4,MATCH($K80,【DB】被害率係数!$A$4:$A$19,0)-1,2)</f>
        <v>0</v>
      </c>
      <c r="M80" s="32">
        <f ca="1">OFFSET(【DB】被害率係数!$A$4,MATCH($K80,【DB】被害率係数!$A$4:$A$19,0)-1,3)</f>
        <v>0</v>
      </c>
      <c r="N80" s="100"/>
      <c r="O80" s="32">
        <f ca="1">OFFSET(【DB】被害率係数!$A$43,MATCH($N80,【DB】被害率係数!$A$43:$A$58,0)-1,3)</f>
        <v>0</v>
      </c>
      <c r="P80" s="100"/>
      <c r="Q80" s="32">
        <f ca="1">OFFSET(【DB】被害率係数!$A$43,MATCH($P80,【DB】被害率係数!$A$43:$A$58,0)-1,3)</f>
        <v>0</v>
      </c>
      <c r="R80" s="99"/>
      <c r="S80" s="99"/>
      <c r="T80" s="101"/>
      <c r="U80" s="101"/>
      <c r="V80" s="101"/>
      <c r="W80" s="101"/>
      <c r="Y80" s="94" t="str">
        <f>IF(B80="●",COUNTIF($B$5:B80,"●"),"")</f>
        <v/>
      </c>
      <c r="Z80" s="94" t="str">
        <f t="shared" si="3"/>
        <v>B76</v>
      </c>
      <c r="AA80" s="94">
        <f t="shared" si="5"/>
        <v>303</v>
      </c>
      <c r="AB80" s="94" t="str">
        <f t="shared" si="4"/>
        <v/>
      </c>
    </row>
    <row r="81" spans="2:28" x14ac:dyDescent="0.15">
      <c r="B81" s="96"/>
      <c r="C81" s="33" t="s">
        <v>312</v>
      </c>
      <c r="D81" s="97"/>
      <c r="E81" s="98"/>
      <c r="F81" s="98"/>
      <c r="G81" s="99"/>
      <c r="H81" s="128"/>
      <c r="I81" s="128"/>
      <c r="J81" s="128"/>
      <c r="K81" s="100"/>
      <c r="L81" s="32">
        <f ca="1">OFFSET(【DB】被害率係数!$A$4,MATCH($K81,【DB】被害率係数!$A$4:$A$19,0)-1,2)</f>
        <v>0</v>
      </c>
      <c r="M81" s="32">
        <f ca="1">OFFSET(【DB】被害率係数!$A$4,MATCH($K81,【DB】被害率係数!$A$4:$A$19,0)-1,3)</f>
        <v>0</v>
      </c>
      <c r="N81" s="100"/>
      <c r="O81" s="32">
        <f ca="1">OFFSET(【DB】被害率係数!$A$43,MATCH($N81,【DB】被害率係数!$A$43:$A$58,0)-1,3)</f>
        <v>0</v>
      </c>
      <c r="P81" s="100"/>
      <c r="Q81" s="32">
        <f ca="1">OFFSET(【DB】被害率係数!$A$43,MATCH($P81,【DB】被害率係数!$A$43:$A$58,0)-1,3)</f>
        <v>0</v>
      </c>
      <c r="R81" s="99"/>
      <c r="S81" s="99"/>
      <c r="T81" s="101"/>
      <c r="U81" s="101"/>
      <c r="V81" s="101"/>
      <c r="W81" s="101"/>
      <c r="Y81" s="94" t="str">
        <f>IF(B81="●",COUNTIF($B$5:B81,"●"),"")</f>
        <v/>
      </c>
      <c r="Z81" s="94" t="str">
        <f t="shared" si="3"/>
        <v>B77</v>
      </c>
      <c r="AA81" s="94">
        <f t="shared" si="5"/>
        <v>307</v>
      </c>
      <c r="AB81" s="94" t="str">
        <f t="shared" si="4"/>
        <v/>
      </c>
    </row>
    <row r="82" spans="2:28" x14ac:dyDescent="0.15">
      <c r="B82" s="96"/>
      <c r="C82" s="33" t="s">
        <v>313</v>
      </c>
      <c r="D82" s="97"/>
      <c r="E82" s="98"/>
      <c r="F82" s="98"/>
      <c r="G82" s="99"/>
      <c r="H82" s="128"/>
      <c r="I82" s="128"/>
      <c r="J82" s="128"/>
      <c r="K82" s="100"/>
      <c r="L82" s="32">
        <f ca="1">OFFSET(【DB】被害率係数!$A$4,MATCH($K82,【DB】被害率係数!$A$4:$A$19,0)-1,2)</f>
        <v>0</v>
      </c>
      <c r="M82" s="32">
        <f ca="1">OFFSET(【DB】被害率係数!$A$4,MATCH($K82,【DB】被害率係数!$A$4:$A$19,0)-1,3)</f>
        <v>0</v>
      </c>
      <c r="N82" s="100"/>
      <c r="O82" s="32">
        <f ca="1">OFFSET(【DB】被害率係数!$A$43,MATCH($N82,【DB】被害率係数!$A$43:$A$58,0)-1,3)</f>
        <v>0</v>
      </c>
      <c r="P82" s="100"/>
      <c r="Q82" s="32">
        <f ca="1">OFFSET(【DB】被害率係数!$A$43,MATCH($P82,【DB】被害率係数!$A$43:$A$58,0)-1,3)</f>
        <v>0</v>
      </c>
      <c r="R82" s="99"/>
      <c r="S82" s="99"/>
      <c r="T82" s="101"/>
      <c r="U82" s="101"/>
      <c r="V82" s="101"/>
      <c r="W82" s="101"/>
      <c r="Y82" s="94" t="str">
        <f>IF(B82="●",COUNTIF($B$5:B82,"●"),"")</f>
        <v/>
      </c>
      <c r="Z82" s="94" t="str">
        <f t="shared" si="3"/>
        <v>B78</v>
      </c>
      <c r="AA82" s="94">
        <f t="shared" si="5"/>
        <v>311</v>
      </c>
      <c r="AB82" s="94" t="str">
        <f t="shared" si="4"/>
        <v/>
      </c>
    </row>
    <row r="83" spans="2:28" x14ac:dyDescent="0.15">
      <c r="B83" s="96"/>
      <c r="C83" s="33" t="s">
        <v>314</v>
      </c>
      <c r="D83" s="97"/>
      <c r="E83" s="98"/>
      <c r="F83" s="98"/>
      <c r="G83" s="99"/>
      <c r="H83" s="128"/>
      <c r="I83" s="128"/>
      <c r="J83" s="128"/>
      <c r="K83" s="100"/>
      <c r="L83" s="32">
        <f ca="1">OFFSET(【DB】被害率係数!$A$4,MATCH($K83,【DB】被害率係数!$A$4:$A$19,0)-1,2)</f>
        <v>0</v>
      </c>
      <c r="M83" s="32">
        <f ca="1">OFFSET(【DB】被害率係数!$A$4,MATCH($K83,【DB】被害率係数!$A$4:$A$19,0)-1,3)</f>
        <v>0</v>
      </c>
      <c r="N83" s="100"/>
      <c r="O83" s="32">
        <f ca="1">OFFSET(【DB】被害率係数!$A$43,MATCH($N83,【DB】被害率係数!$A$43:$A$58,0)-1,3)</f>
        <v>0</v>
      </c>
      <c r="P83" s="100"/>
      <c r="Q83" s="32">
        <f ca="1">OFFSET(【DB】被害率係数!$A$43,MATCH($P83,【DB】被害率係数!$A$43:$A$58,0)-1,3)</f>
        <v>0</v>
      </c>
      <c r="R83" s="99"/>
      <c r="S83" s="99"/>
      <c r="T83" s="101"/>
      <c r="U83" s="101"/>
      <c r="V83" s="101"/>
      <c r="W83" s="101"/>
      <c r="Y83" s="94" t="str">
        <f>IF(B83="●",COUNTIF($B$5:B83,"●"),"")</f>
        <v/>
      </c>
      <c r="Z83" s="94" t="str">
        <f t="shared" si="3"/>
        <v>B79</v>
      </c>
      <c r="AA83" s="94">
        <f t="shared" si="5"/>
        <v>315</v>
      </c>
      <c r="AB83" s="94" t="str">
        <f t="shared" si="4"/>
        <v/>
      </c>
    </row>
    <row r="84" spans="2:28" x14ac:dyDescent="0.15">
      <c r="B84" s="96"/>
      <c r="C84" s="33" t="s">
        <v>315</v>
      </c>
      <c r="D84" s="97"/>
      <c r="E84" s="98"/>
      <c r="F84" s="98"/>
      <c r="G84" s="99"/>
      <c r="H84" s="128"/>
      <c r="I84" s="128"/>
      <c r="J84" s="128"/>
      <c r="K84" s="100"/>
      <c r="L84" s="32">
        <f ca="1">OFFSET(【DB】被害率係数!$A$4,MATCH($K84,【DB】被害率係数!$A$4:$A$19,0)-1,2)</f>
        <v>0</v>
      </c>
      <c r="M84" s="32">
        <f ca="1">OFFSET(【DB】被害率係数!$A$4,MATCH($K84,【DB】被害率係数!$A$4:$A$19,0)-1,3)</f>
        <v>0</v>
      </c>
      <c r="N84" s="100"/>
      <c r="O84" s="32">
        <f ca="1">OFFSET(【DB】被害率係数!$A$43,MATCH($N84,【DB】被害率係数!$A$43:$A$58,0)-1,3)</f>
        <v>0</v>
      </c>
      <c r="P84" s="100"/>
      <c r="Q84" s="32">
        <f ca="1">OFFSET(【DB】被害率係数!$A$43,MATCH($P84,【DB】被害率係数!$A$43:$A$58,0)-1,3)</f>
        <v>0</v>
      </c>
      <c r="R84" s="99"/>
      <c r="S84" s="99"/>
      <c r="T84" s="101"/>
      <c r="U84" s="101"/>
      <c r="V84" s="101"/>
      <c r="W84" s="101"/>
      <c r="Y84" s="94" t="str">
        <f>IF(B84="●",COUNTIF($B$5:B84,"●"),"")</f>
        <v/>
      </c>
      <c r="Z84" s="94" t="str">
        <f t="shared" si="3"/>
        <v>B80</v>
      </c>
      <c r="AA84" s="94">
        <f t="shared" si="5"/>
        <v>319</v>
      </c>
      <c r="AB84" s="94" t="str">
        <f t="shared" si="4"/>
        <v/>
      </c>
    </row>
    <row r="85" spans="2:28" x14ac:dyDescent="0.15">
      <c r="B85" s="96"/>
      <c r="C85" s="33" t="s">
        <v>316</v>
      </c>
      <c r="D85" s="97"/>
      <c r="E85" s="98"/>
      <c r="F85" s="98"/>
      <c r="G85" s="99"/>
      <c r="H85" s="128"/>
      <c r="I85" s="128"/>
      <c r="J85" s="128"/>
      <c r="K85" s="100"/>
      <c r="L85" s="32">
        <f ca="1">OFFSET(【DB】被害率係数!$A$4,MATCH($K85,【DB】被害率係数!$A$4:$A$19,0)-1,2)</f>
        <v>0</v>
      </c>
      <c r="M85" s="32">
        <f ca="1">OFFSET(【DB】被害率係数!$A$4,MATCH($K85,【DB】被害率係数!$A$4:$A$19,0)-1,3)</f>
        <v>0</v>
      </c>
      <c r="N85" s="100"/>
      <c r="O85" s="32">
        <f ca="1">OFFSET(【DB】被害率係数!$A$43,MATCH($N85,【DB】被害率係数!$A$43:$A$58,0)-1,3)</f>
        <v>0</v>
      </c>
      <c r="P85" s="100"/>
      <c r="Q85" s="32">
        <f ca="1">OFFSET(【DB】被害率係数!$A$43,MATCH($P85,【DB】被害率係数!$A$43:$A$58,0)-1,3)</f>
        <v>0</v>
      </c>
      <c r="R85" s="99"/>
      <c r="S85" s="99"/>
      <c r="T85" s="101"/>
      <c r="U85" s="101"/>
      <c r="V85" s="101"/>
      <c r="W85" s="101"/>
      <c r="Y85" s="94" t="str">
        <f>IF(B85="●",COUNTIF($B$5:B85,"●"),"")</f>
        <v/>
      </c>
      <c r="Z85" s="94" t="str">
        <f t="shared" si="3"/>
        <v>B81</v>
      </c>
      <c r="AA85" s="94">
        <f t="shared" si="5"/>
        <v>323</v>
      </c>
      <c r="AB85" s="94" t="str">
        <f t="shared" si="4"/>
        <v/>
      </c>
    </row>
    <row r="86" spans="2:28" x14ac:dyDescent="0.15">
      <c r="B86" s="96"/>
      <c r="C86" s="33" t="s">
        <v>317</v>
      </c>
      <c r="D86" s="97"/>
      <c r="E86" s="98"/>
      <c r="F86" s="98"/>
      <c r="G86" s="99"/>
      <c r="H86" s="128"/>
      <c r="I86" s="128"/>
      <c r="J86" s="128"/>
      <c r="K86" s="100"/>
      <c r="L86" s="32">
        <f ca="1">OFFSET(【DB】被害率係数!$A$4,MATCH($K86,【DB】被害率係数!$A$4:$A$19,0)-1,2)</f>
        <v>0</v>
      </c>
      <c r="M86" s="32">
        <f ca="1">OFFSET(【DB】被害率係数!$A$4,MATCH($K86,【DB】被害率係数!$A$4:$A$19,0)-1,3)</f>
        <v>0</v>
      </c>
      <c r="N86" s="100"/>
      <c r="O86" s="32">
        <f ca="1">OFFSET(【DB】被害率係数!$A$43,MATCH($N86,【DB】被害率係数!$A$43:$A$58,0)-1,3)</f>
        <v>0</v>
      </c>
      <c r="P86" s="100"/>
      <c r="Q86" s="32">
        <f ca="1">OFFSET(【DB】被害率係数!$A$43,MATCH($P86,【DB】被害率係数!$A$43:$A$58,0)-1,3)</f>
        <v>0</v>
      </c>
      <c r="R86" s="99"/>
      <c r="S86" s="99"/>
      <c r="T86" s="101"/>
      <c r="U86" s="101"/>
      <c r="V86" s="101"/>
      <c r="W86" s="101"/>
      <c r="Y86" s="94" t="str">
        <f>IF(B86="●",COUNTIF($B$5:B86,"●"),"")</f>
        <v/>
      </c>
      <c r="Z86" s="94" t="str">
        <f t="shared" si="3"/>
        <v>B82</v>
      </c>
      <c r="AA86" s="94">
        <f t="shared" si="5"/>
        <v>327</v>
      </c>
      <c r="AB86" s="94" t="str">
        <f t="shared" si="4"/>
        <v/>
      </c>
    </row>
    <row r="87" spans="2:28" x14ac:dyDescent="0.15">
      <c r="B87" s="96"/>
      <c r="C87" s="33" t="s">
        <v>318</v>
      </c>
      <c r="D87" s="97"/>
      <c r="E87" s="98"/>
      <c r="F87" s="98"/>
      <c r="G87" s="99"/>
      <c r="H87" s="128"/>
      <c r="I87" s="128"/>
      <c r="J87" s="128"/>
      <c r="K87" s="100"/>
      <c r="L87" s="32">
        <f ca="1">OFFSET(【DB】被害率係数!$A$4,MATCH($K87,【DB】被害率係数!$A$4:$A$19,0)-1,2)</f>
        <v>0</v>
      </c>
      <c r="M87" s="32">
        <f ca="1">OFFSET(【DB】被害率係数!$A$4,MATCH($K87,【DB】被害率係数!$A$4:$A$19,0)-1,3)</f>
        <v>0</v>
      </c>
      <c r="N87" s="100"/>
      <c r="O87" s="32">
        <f ca="1">OFFSET(【DB】被害率係数!$A$43,MATCH($N87,【DB】被害率係数!$A$43:$A$58,0)-1,3)</f>
        <v>0</v>
      </c>
      <c r="P87" s="100"/>
      <c r="Q87" s="32">
        <f ca="1">OFFSET(【DB】被害率係数!$A$43,MATCH($P87,【DB】被害率係数!$A$43:$A$58,0)-1,3)</f>
        <v>0</v>
      </c>
      <c r="R87" s="99"/>
      <c r="S87" s="99"/>
      <c r="T87" s="101"/>
      <c r="U87" s="101"/>
      <c r="V87" s="101"/>
      <c r="W87" s="101"/>
      <c r="Y87" s="94" t="str">
        <f>IF(B87="●",COUNTIF($B$5:B87,"●"),"")</f>
        <v/>
      </c>
      <c r="Z87" s="94" t="str">
        <f t="shared" si="3"/>
        <v>B83</v>
      </c>
      <c r="AA87" s="94">
        <f t="shared" si="5"/>
        <v>331</v>
      </c>
      <c r="AB87" s="94" t="str">
        <f t="shared" si="4"/>
        <v/>
      </c>
    </row>
    <row r="88" spans="2:28" x14ac:dyDescent="0.15">
      <c r="B88" s="96"/>
      <c r="C88" s="33" t="s">
        <v>319</v>
      </c>
      <c r="D88" s="97"/>
      <c r="E88" s="98"/>
      <c r="F88" s="98"/>
      <c r="G88" s="99"/>
      <c r="H88" s="128"/>
      <c r="I88" s="128"/>
      <c r="J88" s="128"/>
      <c r="K88" s="100"/>
      <c r="L88" s="32">
        <f ca="1">OFFSET(【DB】被害率係数!$A$4,MATCH($K88,【DB】被害率係数!$A$4:$A$19,0)-1,2)</f>
        <v>0</v>
      </c>
      <c r="M88" s="32">
        <f ca="1">OFFSET(【DB】被害率係数!$A$4,MATCH($K88,【DB】被害率係数!$A$4:$A$19,0)-1,3)</f>
        <v>0</v>
      </c>
      <c r="N88" s="100"/>
      <c r="O88" s="32">
        <f ca="1">OFFSET(【DB】被害率係数!$A$43,MATCH($N88,【DB】被害率係数!$A$43:$A$58,0)-1,3)</f>
        <v>0</v>
      </c>
      <c r="P88" s="100"/>
      <c r="Q88" s="32">
        <f ca="1">OFFSET(【DB】被害率係数!$A$43,MATCH($P88,【DB】被害率係数!$A$43:$A$58,0)-1,3)</f>
        <v>0</v>
      </c>
      <c r="R88" s="99"/>
      <c r="S88" s="99"/>
      <c r="T88" s="101"/>
      <c r="U88" s="101"/>
      <c r="V88" s="101"/>
      <c r="W88" s="101"/>
      <c r="Y88" s="94" t="str">
        <f>IF(B88="●",COUNTIF($B$5:B88,"●"),"")</f>
        <v/>
      </c>
      <c r="Z88" s="94" t="str">
        <f t="shared" si="3"/>
        <v>B84</v>
      </c>
      <c r="AA88" s="94">
        <f t="shared" si="5"/>
        <v>335</v>
      </c>
      <c r="AB88" s="94" t="str">
        <f t="shared" si="4"/>
        <v/>
      </c>
    </row>
    <row r="89" spans="2:28" x14ac:dyDescent="0.15">
      <c r="B89" s="96"/>
      <c r="C89" s="33" t="s">
        <v>320</v>
      </c>
      <c r="D89" s="97"/>
      <c r="E89" s="98"/>
      <c r="F89" s="98"/>
      <c r="G89" s="99"/>
      <c r="H89" s="128"/>
      <c r="I89" s="128"/>
      <c r="J89" s="128"/>
      <c r="K89" s="100"/>
      <c r="L89" s="32">
        <f ca="1">OFFSET(【DB】被害率係数!$A$4,MATCH($K89,【DB】被害率係数!$A$4:$A$19,0)-1,2)</f>
        <v>0</v>
      </c>
      <c r="M89" s="32">
        <f ca="1">OFFSET(【DB】被害率係数!$A$4,MATCH($K89,【DB】被害率係数!$A$4:$A$19,0)-1,3)</f>
        <v>0</v>
      </c>
      <c r="N89" s="100"/>
      <c r="O89" s="32">
        <f ca="1">OFFSET(【DB】被害率係数!$A$43,MATCH($N89,【DB】被害率係数!$A$43:$A$58,0)-1,3)</f>
        <v>0</v>
      </c>
      <c r="P89" s="100"/>
      <c r="Q89" s="32">
        <f ca="1">OFFSET(【DB】被害率係数!$A$43,MATCH($P89,【DB】被害率係数!$A$43:$A$58,0)-1,3)</f>
        <v>0</v>
      </c>
      <c r="R89" s="99"/>
      <c r="S89" s="99"/>
      <c r="T89" s="101"/>
      <c r="U89" s="101"/>
      <c r="V89" s="101"/>
      <c r="W89" s="101"/>
      <c r="Y89" s="94" t="str">
        <f>IF(B89="●",COUNTIF($B$5:B89,"●"),"")</f>
        <v/>
      </c>
      <c r="Z89" s="94" t="str">
        <f t="shared" ref="Z89:Z104" si="6">C89</f>
        <v>B85</v>
      </c>
      <c r="AA89" s="94">
        <f t="shared" si="5"/>
        <v>339</v>
      </c>
      <c r="AB89" s="94" t="str">
        <f t="shared" ref="AB89:AB104" si="7">IF(Y89&lt;&gt;"",4+(Y89-1)*4,"")</f>
        <v/>
      </c>
    </row>
    <row r="90" spans="2:28" x14ac:dyDescent="0.15">
      <c r="B90" s="96"/>
      <c r="C90" s="33" t="s">
        <v>321</v>
      </c>
      <c r="D90" s="97"/>
      <c r="E90" s="98"/>
      <c r="F90" s="98"/>
      <c r="G90" s="99"/>
      <c r="H90" s="128"/>
      <c r="I90" s="128"/>
      <c r="J90" s="128"/>
      <c r="K90" s="100"/>
      <c r="L90" s="32">
        <f ca="1">OFFSET(【DB】被害率係数!$A$4,MATCH($K90,【DB】被害率係数!$A$4:$A$19,0)-1,2)</f>
        <v>0</v>
      </c>
      <c r="M90" s="32">
        <f ca="1">OFFSET(【DB】被害率係数!$A$4,MATCH($K90,【DB】被害率係数!$A$4:$A$19,0)-1,3)</f>
        <v>0</v>
      </c>
      <c r="N90" s="100"/>
      <c r="O90" s="32">
        <f ca="1">OFFSET(【DB】被害率係数!$A$43,MATCH($N90,【DB】被害率係数!$A$43:$A$58,0)-1,3)</f>
        <v>0</v>
      </c>
      <c r="P90" s="100"/>
      <c r="Q90" s="32">
        <f ca="1">OFFSET(【DB】被害率係数!$A$43,MATCH($P90,【DB】被害率係数!$A$43:$A$58,0)-1,3)</f>
        <v>0</v>
      </c>
      <c r="R90" s="99"/>
      <c r="S90" s="99"/>
      <c r="T90" s="101"/>
      <c r="U90" s="101"/>
      <c r="V90" s="101"/>
      <c r="W90" s="101"/>
      <c r="Y90" s="94" t="str">
        <f>IF(B90="●",COUNTIF($B$5:B90,"●"),"")</f>
        <v/>
      </c>
      <c r="Z90" s="94" t="str">
        <f t="shared" si="6"/>
        <v>B86</v>
      </c>
      <c r="AA90" s="94">
        <f t="shared" si="5"/>
        <v>343</v>
      </c>
      <c r="AB90" s="94" t="str">
        <f t="shared" si="7"/>
        <v/>
      </c>
    </row>
    <row r="91" spans="2:28" x14ac:dyDescent="0.15">
      <c r="B91" s="96"/>
      <c r="C91" s="33" t="s">
        <v>322</v>
      </c>
      <c r="D91" s="97"/>
      <c r="E91" s="98"/>
      <c r="F91" s="98"/>
      <c r="G91" s="99"/>
      <c r="H91" s="128"/>
      <c r="I91" s="128"/>
      <c r="J91" s="128"/>
      <c r="K91" s="100"/>
      <c r="L91" s="32">
        <f ca="1">OFFSET(【DB】被害率係数!$A$4,MATCH($K91,【DB】被害率係数!$A$4:$A$19,0)-1,2)</f>
        <v>0</v>
      </c>
      <c r="M91" s="32">
        <f ca="1">OFFSET(【DB】被害率係数!$A$4,MATCH($K91,【DB】被害率係数!$A$4:$A$19,0)-1,3)</f>
        <v>0</v>
      </c>
      <c r="N91" s="100"/>
      <c r="O91" s="32">
        <f ca="1">OFFSET(【DB】被害率係数!$A$43,MATCH($N91,【DB】被害率係数!$A$43:$A$58,0)-1,3)</f>
        <v>0</v>
      </c>
      <c r="P91" s="100"/>
      <c r="Q91" s="32">
        <f ca="1">OFFSET(【DB】被害率係数!$A$43,MATCH($P91,【DB】被害率係数!$A$43:$A$58,0)-1,3)</f>
        <v>0</v>
      </c>
      <c r="R91" s="99"/>
      <c r="S91" s="99"/>
      <c r="T91" s="101"/>
      <c r="U91" s="101"/>
      <c r="V91" s="101"/>
      <c r="W91" s="101"/>
      <c r="Y91" s="94" t="str">
        <f>IF(B91="●",COUNTIF($B$5:B91,"●"),"")</f>
        <v/>
      </c>
      <c r="Z91" s="94" t="str">
        <f t="shared" si="6"/>
        <v>B87</v>
      </c>
      <c r="AA91" s="94">
        <f t="shared" si="5"/>
        <v>347</v>
      </c>
      <c r="AB91" s="94" t="str">
        <f t="shared" si="7"/>
        <v/>
      </c>
    </row>
    <row r="92" spans="2:28" x14ac:dyDescent="0.15">
      <c r="B92" s="96"/>
      <c r="C92" s="33" t="s">
        <v>323</v>
      </c>
      <c r="D92" s="97"/>
      <c r="E92" s="98"/>
      <c r="F92" s="98"/>
      <c r="G92" s="99"/>
      <c r="H92" s="128"/>
      <c r="I92" s="128"/>
      <c r="J92" s="128"/>
      <c r="K92" s="100"/>
      <c r="L92" s="32">
        <f ca="1">OFFSET(【DB】被害率係数!$A$4,MATCH($K92,【DB】被害率係数!$A$4:$A$19,0)-1,2)</f>
        <v>0</v>
      </c>
      <c r="M92" s="32">
        <f ca="1">OFFSET(【DB】被害率係数!$A$4,MATCH($K92,【DB】被害率係数!$A$4:$A$19,0)-1,3)</f>
        <v>0</v>
      </c>
      <c r="N92" s="100"/>
      <c r="O92" s="32">
        <f ca="1">OFFSET(【DB】被害率係数!$A$43,MATCH($N92,【DB】被害率係数!$A$43:$A$58,0)-1,3)</f>
        <v>0</v>
      </c>
      <c r="P92" s="100"/>
      <c r="Q92" s="32">
        <f ca="1">OFFSET(【DB】被害率係数!$A$43,MATCH($P92,【DB】被害率係数!$A$43:$A$58,0)-1,3)</f>
        <v>0</v>
      </c>
      <c r="R92" s="99"/>
      <c r="S92" s="99"/>
      <c r="T92" s="101"/>
      <c r="U92" s="101"/>
      <c r="V92" s="101"/>
      <c r="W92" s="101"/>
      <c r="Y92" s="94" t="str">
        <f>IF(B92="●",COUNTIF($B$5:B92,"●"),"")</f>
        <v/>
      </c>
      <c r="Z92" s="94" t="str">
        <f t="shared" si="6"/>
        <v>B88</v>
      </c>
      <c r="AA92" s="94">
        <f t="shared" si="5"/>
        <v>351</v>
      </c>
      <c r="AB92" s="94" t="str">
        <f t="shared" si="7"/>
        <v/>
      </c>
    </row>
    <row r="93" spans="2:28" x14ac:dyDescent="0.15">
      <c r="B93" s="96"/>
      <c r="C93" s="33" t="s">
        <v>324</v>
      </c>
      <c r="D93" s="97"/>
      <c r="E93" s="98"/>
      <c r="F93" s="98"/>
      <c r="G93" s="99"/>
      <c r="H93" s="128"/>
      <c r="I93" s="128"/>
      <c r="J93" s="128"/>
      <c r="K93" s="100"/>
      <c r="L93" s="32">
        <f ca="1">OFFSET(【DB】被害率係数!$A$4,MATCH($K93,【DB】被害率係数!$A$4:$A$19,0)-1,2)</f>
        <v>0</v>
      </c>
      <c r="M93" s="32">
        <f ca="1">OFFSET(【DB】被害率係数!$A$4,MATCH($K93,【DB】被害率係数!$A$4:$A$19,0)-1,3)</f>
        <v>0</v>
      </c>
      <c r="N93" s="100"/>
      <c r="O93" s="32">
        <f ca="1">OFFSET(【DB】被害率係数!$A$43,MATCH($N93,【DB】被害率係数!$A$43:$A$58,0)-1,3)</f>
        <v>0</v>
      </c>
      <c r="P93" s="100"/>
      <c r="Q93" s="32">
        <f ca="1">OFFSET(【DB】被害率係数!$A$43,MATCH($P93,【DB】被害率係数!$A$43:$A$58,0)-1,3)</f>
        <v>0</v>
      </c>
      <c r="R93" s="99"/>
      <c r="S93" s="99"/>
      <c r="T93" s="101"/>
      <c r="U93" s="101"/>
      <c r="V93" s="101"/>
      <c r="W93" s="101"/>
      <c r="Y93" s="94" t="str">
        <f>IF(B93="●",COUNTIF($B$5:B93,"●"),"")</f>
        <v/>
      </c>
      <c r="Z93" s="94" t="str">
        <f t="shared" si="6"/>
        <v>B89</v>
      </c>
      <c r="AA93" s="94">
        <f t="shared" si="5"/>
        <v>355</v>
      </c>
      <c r="AB93" s="94" t="str">
        <f t="shared" si="7"/>
        <v/>
      </c>
    </row>
    <row r="94" spans="2:28" x14ac:dyDescent="0.15">
      <c r="B94" s="96"/>
      <c r="C94" s="33" t="s">
        <v>325</v>
      </c>
      <c r="D94" s="97"/>
      <c r="E94" s="98"/>
      <c r="F94" s="98"/>
      <c r="G94" s="99"/>
      <c r="H94" s="128"/>
      <c r="I94" s="128"/>
      <c r="J94" s="128"/>
      <c r="K94" s="100"/>
      <c r="L94" s="32">
        <f ca="1">OFFSET(【DB】被害率係数!$A$4,MATCH($K94,【DB】被害率係数!$A$4:$A$19,0)-1,2)</f>
        <v>0</v>
      </c>
      <c r="M94" s="32">
        <f ca="1">OFFSET(【DB】被害率係数!$A$4,MATCH($K94,【DB】被害率係数!$A$4:$A$19,0)-1,3)</f>
        <v>0</v>
      </c>
      <c r="N94" s="100"/>
      <c r="O94" s="32">
        <f ca="1">OFFSET(【DB】被害率係数!$A$43,MATCH($N94,【DB】被害率係数!$A$43:$A$58,0)-1,3)</f>
        <v>0</v>
      </c>
      <c r="P94" s="100"/>
      <c r="Q94" s="32">
        <f ca="1">OFFSET(【DB】被害率係数!$A$43,MATCH($P94,【DB】被害率係数!$A$43:$A$58,0)-1,3)</f>
        <v>0</v>
      </c>
      <c r="R94" s="99"/>
      <c r="S94" s="99"/>
      <c r="T94" s="101"/>
      <c r="U94" s="101"/>
      <c r="V94" s="101"/>
      <c r="W94" s="101"/>
      <c r="Y94" s="94" t="str">
        <f>IF(B94="●",COUNTIF($B$5:B94,"●"),"")</f>
        <v/>
      </c>
      <c r="Z94" s="94" t="str">
        <f t="shared" si="6"/>
        <v>B90</v>
      </c>
      <c r="AA94" s="94">
        <f t="shared" si="5"/>
        <v>359</v>
      </c>
      <c r="AB94" s="94" t="str">
        <f t="shared" si="7"/>
        <v/>
      </c>
    </row>
    <row r="95" spans="2:28" x14ac:dyDescent="0.15">
      <c r="B95" s="96"/>
      <c r="C95" s="33" t="s">
        <v>326</v>
      </c>
      <c r="D95" s="97"/>
      <c r="E95" s="98"/>
      <c r="F95" s="98"/>
      <c r="G95" s="99"/>
      <c r="H95" s="128"/>
      <c r="I95" s="128"/>
      <c r="J95" s="128"/>
      <c r="K95" s="100"/>
      <c r="L95" s="32">
        <f ca="1">OFFSET(【DB】被害率係数!$A$4,MATCH($K95,【DB】被害率係数!$A$4:$A$19,0)-1,2)</f>
        <v>0</v>
      </c>
      <c r="M95" s="32">
        <f ca="1">OFFSET(【DB】被害率係数!$A$4,MATCH($K95,【DB】被害率係数!$A$4:$A$19,0)-1,3)</f>
        <v>0</v>
      </c>
      <c r="N95" s="100"/>
      <c r="O95" s="32">
        <f ca="1">OFFSET(【DB】被害率係数!$A$43,MATCH($N95,【DB】被害率係数!$A$43:$A$58,0)-1,3)</f>
        <v>0</v>
      </c>
      <c r="P95" s="100"/>
      <c r="Q95" s="32">
        <f ca="1">OFFSET(【DB】被害率係数!$A$43,MATCH($P95,【DB】被害率係数!$A$43:$A$58,0)-1,3)</f>
        <v>0</v>
      </c>
      <c r="R95" s="99"/>
      <c r="S95" s="99"/>
      <c r="T95" s="101"/>
      <c r="U95" s="101"/>
      <c r="V95" s="101"/>
      <c r="W95" s="101"/>
      <c r="Y95" s="94" t="str">
        <f>IF(B95="●",COUNTIF($B$5:B95,"●"),"")</f>
        <v/>
      </c>
      <c r="Z95" s="94" t="str">
        <f t="shared" si="6"/>
        <v>B91</v>
      </c>
      <c r="AA95" s="94">
        <f t="shared" si="5"/>
        <v>363</v>
      </c>
      <c r="AB95" s="94" t="str">
        <f t="shared" si="7"/>
        <v/>
      </c>
    </row>
    <row r="96" spans="2:28" x14ac:dyDescent="0.15">
      <c r="B96" s="96"/>
      <c r="C96" s="33" t="s">
        <v>327</v>
      </c>
      <c r="D96" s="97"/>
      <c r="E96" s="98"/>
      <c r="F96" s="98"/>
      <c r="G96" s="99"/>
      <c r="H96" s="128"/>
      <c r="I96" s="128"/>
      <c r="J96" s="128"/>
      <c r="K96" s="100"/>
      <c r="L96" s="32">
        <f ca="1">OFFSET(【DB】被害率係数!$A$4,MATCH($K96,【DB】被害率係数!$A$4:$A$19,0)-1,2)</f>
        <v>0</v>
      </c>
      <c r="M96" s="32">
        <f ca="1">OFFSET(【DB】被害率係数!$A$4,MATCH($K96,【DB】被害率係数!$A$4:$A$19,0)-1,3)</f>
        <v>0</v>
      </c>
      <c r="N96" s="100"/>
      <c r="O96" s="32">
        <f ca="1">OFFSET(【DB】被害率係数!$A$43,MATCH($N96,【DB】被害率係数!$A$43:$A$58,0)-1,3)</f>
        <v>0</v>
      </c>
      <c r="P96" s="100"/>
      <c r="Q96" s="32">
        <f ca="1">OFFSET(【DB】被害率係数!$A$43,MATCH($P96,【DB】被害率係数!$A$43:$A$58,0)-1,3)</f>
        <v>0</v>
      </c>
      <c r="R96" s="99"/>
      <c r="S96" s="99"/>
      <c r="T96" s="101"/>
      <c r="U96" s="101"/>
      <c r="V96" s="101"/>
      <c r="W96" s="101"/>
      <c r="Y96" s="94" t="str">
        <f>IF(B96="●",COUNTIF($B$5:B96,"●"),"")</f>
        <v/>
      </c>
      <c r="Z96" s="94" t="str">
        <f t="shared" si="6"/>
        <v>B92</v>
      </c>
      <c r="AA96" s="94">
        <f t="shared" si="5"/>
        <v>367</v>
      </c>
      <c r="AB96" s="94" t="str">
        <f t="shared" si="7"/>
        <v/>
      </c>
    </row>
    <row r="97" spans="2:29" x14ac:dyDescent="0.15">
      <c r="B97" s="96"/>
      <c r="C97" s="33" t="s">
        <v>328</v>
      </c>
      <c r="D97" s="97"/>
      <c r="E97" s="98"/>
      <c r="F97" s="98"/>
      <c r="G97" s="99"/>
      <c r="H97" s="128"/>
      <c r="I97" s="128"/>
      <c r="J97" s="128"/>
      <c r="K97" s="100"/>
      <c r="L97" s="32">
        <f ca="1">OFFSET(【DB】被害率係数!$A$4,MATCH($K97,【DB】被害率係数!$A$4:$A$19,0)-1,2)</f>
        <v>0</v>
      </c>
      <c r="M97" s="32">
        <f ca="1">OFFSET(【DB】被害率係数!$A$4,MATCH($K97,【DB】被害率係数!$A$4:$A$19,0)-1,3)</f>
        <v>0</v>
      </c>
      <c r="N97" s="100"/>
      <c r="O97" s="32">
        <f ca="1">OFFSET(【DB】被害率係数!$A$43,MATCH($N97,【DB】被害率係数!$A$43:$A$58,0)-1,3)</f>
        <v>0</v>
      </c>
      <c r="P97" s="100"/>
      <c r="Q97" s="32">
        <f ca="1">OFFSET(【DB】被害率係数!$A$43,MATCH($P97,【DB】被害率係数!$A$43:$A$58,0)-1,3)</f>
        <v>0</v>
      </c>
      <c r="R97" s="99"/>
      <c r="S97" s="99"/>
      <c r="T97" s="101"/>
      <c r="U97" s="101"/>
      <c r="V97" s="101"/>
      <c r="W97" s="101"/>
      <c r="Y97" s="94" t="str">
        <f>IF(B97="●",COUNTIF($B$5:B97,"●"),"")</f>
        <v/>
      </c>
      <c r="Z97" s="94" t="str">
        <f t="shared" si="6"/>
        <v>B93</v>
      </c>
      <c r="AA97" s="94">
        <f t="shared" si="5"/>
        <v>371</v>
      </c>
      <c r="AB97" s="94" t="str">
        <f t="shared" si="7"/>
        <v/>
      </c>
    </row>
    <row r="98" spans="2:29" x14ac:dyDescent="0.15">
      <c r="B98" s="96"/>
      <c r="C98" s="33" t="s">
        <v>329</v>
      </c>
      <c r="D98" s="97"/>
      <c r="E98" s="98"/>
      <c r="F98" s="98"/>
      <c r="G98" s="99"/>
      <c r="H98" s="128"/>
      <c r="I98" s="128"/>
      <c r="J98" s="128"/>
      <c r="K98" s="100"/>
      <c r="L98" s="32">
        <f ca="1">OFFSET(【DB】被害率係数!$A$4,MATCH($K98,【DB】被害率係数!$A$4:$A$19,0)-1,2)</f>
        <v>0</v>
      </c>
      <c r="M98" s="32">
        <f ca="1">OFFSET(【DB】被害率係数!$A$4,MATCH($K98,【DB】被害率係数!$A$4:$A$19,0)-1,3)</f>
        <v>0</v>
      </c>
      <c r="N98" s="100"/>
      <c r="O98" s="32">
        <f ca="1">OFFSET(【DB】被害率係数!$A$43,MATCH($N98,【DB】被害率係数!$A$43:$A$58,0)-1,3)</f>
        <v>0</v>
      </c>
      <c r="P98" s="100"/>
      <c r="Q98" s="32">
        <f ca="1">OFFSET(【DB】被害率係数!$A$43,MATCH($P98,【DB】被害率係数!$A$43:$A$58,0)-1,3)</f>
        <v>0</v>
      </c>
      <c r="R98" s="99"/>
      <c r="S98" s="99"/>
      <c r="T98" s="101"/>
      <c r="U98" s="101"/>
      <c r="V98" s="101"/>
      <c r="W98" s="101"/>
      <c r="Y98" s="94" t="str">
        <f>IF(B98="●",COUNTIF($B$5:B98,"●"),"")</f>
        <v/>
      </c>
      <c r="Z98" s="94" t="str">
        <f t="shared" si="6"/>
        <v>B94</v>
      </c>
      <c r="AA98" s="94">
        <f t="shared" si="5"/>
        <v>375</v>
      </c>
      <c r="AB98" s="94" t="str">
        <f t="shared" si="7"/>
        <v/>
      </c>
    </row>
    <row r="99" spans="2:29" x14ac:dyDescent="0.15">
      <c r="B99" s="96"/>
      <c r="C99" s="33" t="s">
        <v>330</v>
      </c>
      <c r="D99" s="97"/>
      <c r="E99" s="98"/>
      <c r="F99" s="98"/>
      <c r="G99" s="99"/>
      <c r="H99" s="128"/>
      <c r="I99" s="128"/>
      <c r="J99" s="128"/>
      <c r="K99" s="100"/>
      <c r="L99" s="32">
        <f ca="1">OFFSET(【DB】被害率係数!$A$4,MATCH($K99,【DB】被害率係数!$A$4:$A$19,0)-1,2)</f>
        <v>0</v>
      </c>
      <c r="M99" s="32">
        <f ca="1">OFFSET(【DB】被害率係数!$A$4,MATCH($K99,【DB】被害率係数!$A$4:$A$19,0)-1,3)</f>
        <v>0</v>
      </c>
      <c r="N99" s="100"/>
      <c r="O99" s="32">
        <f ca="1">OFFSET(【DB】被害率係数!$A$43,MATCH($N99,【DB】被害率係数!$A$43:$A$58,0)-1,3)</f>
        <v>0</v>
      </c>
      <c r="P99" s="100"/>
      <c r="Q99" s="32">
        <f ca="1">OFFSET(【DB】被害率係数!$A$43,MATCH($P99,【DB】被害率係数!$A$43:$A$58,0)-1,3)</f>
        <v>0</v>
      </c>
      <c r="R99" s="99"/>
      <c r="S99" s="99"/>
      <c r="T99" s="101"/>
      <c r="U99" s="101"/>
      <c r="V99" s="101"/>
      <c r="W99" s="101"/>
      <c r="Y99" s="94" t="str">
        <f>IF(B99="●",COUNTIF($B$5:B99,"●"),"")</f>
        <v/>
      </c>
      <c r="Z99" s="94" t="str">
        <f t="shared" si="6"/>
        <v>B95</v>
      </c>
      <c r="AA99" s="94">
        <f t="shared" si="5"/>
        <v>379</v>
      </c>
      <c r="AB99" s="94" t="str">
        <f t="shared" si="7"/>
        <v/>
      </c>
    </row>
    <row r="100" spans="2:29" x14ac:dyDescent="0.15">
      <c r="B100" s="96"/>
      <c r="C100" s="33" t="s">
        <v>331</v>
      </c>
      <c r="D100" s="97"/>
      <c r="E100" s="98"/>
      <c r="F100" s="98"/>
      <c r="G100" s="99"/>
      <c r="H100" s="128"/>
      <c r="I100" s="128"/>
      <c r="J100" s="128"/>
      <c r="K100" s="100"/>
      <c r="L100" s="32">
        <f ca="1">OFFSET(【DB】被害率係数!$A$4,MATCH($K100,【DB】被害率係数!$A$4:$A$19,0)-1,2)</f>
        <v>0</v>
      </c>
      <c r="M100" s="32">
        <f ca="1">OFFSET(【DB】被害率係数!$A$4,MATCH($K100,【DB】被害率係数!$A$4:$A$19,0)-1,3)</f>
        <v>0</v>
      </c>
      <c r="N100" s="100"/>
      <c r="O100" s="32">
        <f ca="1">OFFSET(【DB】被害率係数!$A$43,MATCH($N100,【DB】被害率係数!$A$43:$A$58,0)-1,3)</f>
        <v>0</v>
      </c>
      <c r="P100" s="100"/>
      <c r="Q100" s="32">
        <f ca="1">OFFSET(【DB】被害率係数!$A$43,MATCH($P100,【DB】被害率係数!$A$43:$A$58,0)-1,3)</f>
        <v>0</v>
      </c>
      <c r="R100" s="99"/>
      <c r="S100" s="99"/>
      <c r="T100" s="101"/>
      <c r="U100" s="101"/>
      <c r="V100" s="101"/>
      <c r="W100" s="101"/>
      <c r="Y100" s="94" t="str">
        <f>IF(B100="●",COUNTIF($B$5:B100,"●"),"")</f>
        <v/>
      </c>
      <c r="Z100" s="94" t="str">
        <f t="shared" si="6"/>
        <v>B96</v>
      </c>
      <c r="AA100" s="94">
        <f t="shared" si="5"/>
        <v>383</v>
      </c>
      <c r="AB100" s="94" t="str">
        <f t="shared" si="7"/>
        <v/>
      </c>
    </row>
    <row r="101" spans="2:29" x14ac:dyDescent="0.15">
      <c r="B101" s="96"/>
      <c r="C101" s="33" t="s">
        <v>332</v>
      </c>
      <c r="D101" s="97"/>
      <c r="E101" s="98"/>
      <c r="F101" s="98"/>
      <c r="G101" s="99"/>
      <c r="H101" s="128"/>
      <c r="I101" s="128"/>
      <c r="J101" s="128"/>
      <c r="K101" s="100"/>
      <c r="L101" s="32">
        <f ca="1">OFFSET(【DB】被害率係数!$A$4,MATCH($K101,【DB】被害率係数!$A$4:$A$19,0)-1,2)</f>
        <v>0</v>
      </c>
      <c r="M101" s="32">
        <f ca="1">OFFSET(【DB】被害率係数!$A$4,MATCH($K101,【DB】被害率係数!$A$4:$A$19,0)-1,3)</f>
        <v>0</v>
      </c>
      <c r="N101" s="100"/>
      <c r="O101" s="32">
        <f ca="1">OFFSET(【DB】被害率係数!$A$43,MATCH($N101,【DB】被害率係数!$A$43:$A$58,0)-1,3)</f>
        <v>0</v>
      </c>
      <c r="P101" s="100"/>
      <c r="Q101" s="32">
        <f ca="1">OFFSET(【DB】被害率係数!$A$43,MATCH($P101,【DB】被害率係数!$A$43:$A$58,0)-1,3)</f>
        <v>0</v>
      </c>
      <c r="R101" s="99"/>
      <c r="S101" s="99"/>
      <c r="T101" s="101"/>
      <c r="U101" s="101"/>
      <c r="V101" s="101"/>
      <c r="W101" s="101"/>
      <c r="Y101" s="94" t="str">
        <f>IF(B101="●",COUNTIF($B$5:B101,"●"),"")</f>
        <v/>
      </c>
      <c r="Z101" s="94" t="str">
        <f t="shared" si="6"/>
        <v>B97</v>
      </c>
      <c r="AA101" s="94">
        <f t="shared" si="5"/>
        <v>387</v>
      </c>
      <c r="AB101" s="94" t="str">
        <f t="shared" si="7"/>
        <v/>
      </c>
    </row>
    <row r="102" spans="2:29" x14ac:dyDescent="0.15">
      <c r="B102" s="96"/>
      <c r="C102" s="33" t="s">
        <v>333</v>
      </c>
      <c r="D102" s="97"/>
      <c r="E102" s="98"/>
      <c r="F102" s="98"/>
      <c r="G102" s="99"/>
      <c r="H102" s="128"/>
      <c r="I102" s="128"/>
      <c r="J102" s="128"/>
      <c r="K102" s="100"/>
      <c r="L102" s="32">
        <f ca="1">OFFSET(【DB】被害率係数!$A$4,MATCH($K102,【DB】被害率係数!$A$4:$A$19,0)-1,2)</f>
        <v>0</v>
      </c>
      <c r="M102" s="32">
        <f ca="1">OFFSET(【DB】被害率係数!$A$4,MATCH($K102,【DB】被害率係数!$A$4:$A$19,0)-1,3)</f>
        <v>0</v>
      </c>
      <c r="N102" s="100"/>
      <c r="O102" s="32">
        <f ca="1">OFFSET(【DB】被害率係数!$A$43,MATCH($N102,【DB】被害率係数!$A$43:$A$58,0)-1,3)</f>
        <v>0</v>
      </c>
      <c r="P102" s="100"/>
      <c r="Q102" s="32">
        <f ca="1">OFFSET(【DB】被害率係数!$A$43,MATCH($P102,【DB】被害率係数!$A$43:$A$58,0)-1,3)</f>
        <v>0</v>
      </c>
      <c r="R102" s="99"/>
      <c r="S102" s="99"/>
      <c r="T102" s="101"/>
      <c r="U102" s="101"/>
      <c r="V102" s="101"/>
      <c r="W102" s="101"/>
      <c r="Y102" s="94" t="str">
        <f>IF(B102="●",COUNTIF($B$5:B102,"●"),"")</f>
        <v/>
      </c>
      <c r="Z102" s="94" t="str">
        <f t="shared" si="6"/>
        <v>B98</v>
      </c>
      <c r="AA102" s="94">
        <f t="shared" si="5"/>
        <v>391</v>
      </c>
      <c r="AB102" s="94" t="str">
        <f t="shared" si="7"/>
        <v/>
      </c>
    </row>
    <row r="103" spans="2:29" x14ac:dyDescent="0.15">
      <c r="B103" s="96"/>
      <c r="C103" s="33" t="s">
        <v>334</v>
      </c>
      <c r="D103" s="97"/>
      <c r="E103" s="98"/>
      <c r="F103" s="98"/>
      <c r="G103" s="99"/>
      <c r="H103" s="128"/>
      <c r="I103" s="128"/>
      <c r="J103" s="128"/>
      <c r="K103" s="100"/>
      <c r="L103" s="32">
        <f ca="1">OFFSET(【DB】被害率係数!$A$4,MATCH($K103,【DB】被害率係数!$A$4:$A$19,0)-1,2)</f>
        <v>0</v>
      </c>
      <c r="M103" s="32">
        <f ca="1">OFFSET(【DB】被害率係数!$A$4,MATCH($K103,【DB】被害率係数!$A$4:$A$19,0)-1,3)</f>
        <v>0</v>
      </c>
      <c r="N103" s="100"/>
      <c r="O103" s="32">
        <f ca="1">OFFSET(【DB】被害率係数!$A$43,MATCH($N103,【DB】被害率係数!$A$43:$A$58,0)-1,3)</f>
        <v>0</v>
      </c>
      <c r="P103" s="100"/>
      <c r="Q103" s="32">
        <f ca="1">OFFSET(【DB】被害率係数!$A$43,MATCH($P103,【DB】被害率係数!$A$43:$A$58,0)-1,3)</f>
        <v>0</v>
      </c>
      <c r="R103" s="99"/>
      <c r="S103" s="99"/>
      <c r="T103" s="101"/>
      <c r="U103" s="101"/>
      <c r="V103" s="101"/>
      <c r="W103" s="101"/>
      <c r="Y103" s="94" t="str">
        <f>IF(B103="●",COUNTIF($B$5:B103,"●"),"")</f>
        <v/>
      </c>
      <c r="Z103" s="94" t="str">
        <f t="shared" si="6"/>
        <v>B99</v>
      </c>
      <c r="AA103" s="94">
        <f t="shared" si="5"/>
        <v>395</v>
      </c>
      <c r="AB103" s="94" t="str">
        <f t="shared" si="7"/>
        <v/>
      </c>
    </row>
    <row r="104" spans="2:29" x14ac:dyDescent="0.15">
      <c r="B104" s="96"/>
      <c r="C104" s="33" t="s">
        <v>335</v>
      </c>
      <c r="D104" s="97"/>
      <c r="E104" s="98"/>
      <c r="F104" s="98"/>
      <c r="G104" s="99"/>
      <c r="H104" s="128"/>
      <c r="I104" s="128"/>
      <c r="J104" s="128"/>
      <c r="K104" s="100"/>
      <c r="L104" s="32">
        <f ca="1">OFFSET(【DB】被害率係数!$A$4,MATCH($K104,【DB】被害率係数!$A$4:$A$19,0)-1,2)</f>
        <v>0</v>
      </c>
      <c r="M104" s="32">
        <f ca="1">OFFSET(【DB】被害率係数!$A$4,MATCH($K104,【DB】被害率係数!$A$4:$A$19,0)-1,3)</f>
        <v>0</v>
      </c>
      <c r="N104" s="100"/>
      <c r="O104" s="32">
        <f ca="1">OFFSET(【DB】被害率係数!$A$43,MATCH($N104,【DB】被害率係数!$A$43:$A$58,0)-1,3)</f>
        <v>0</v>
      </c>
      <c r="P104" s="100"/>
      <c r="Q104" s="32">
        <f ca="1">OFFSET(【DB】被害率係数!$A$43,MATCH($P104,【DB】被害率係数!$A$43:$A$58,0)-1,3)</f>
        <v>0</v>
      </c>
      <c r="R104" s="99"/>
      <c r="S104" s="99"/>
      <c r="T104" s="101"/>
      <c r="U104" s="101"/>
      <c r="V104" s="101"/>
      <c r="W104" s="101"/>
      <c r="Y104" s="94" t="str">
        <f>IF(B104="●",COUNTIF($B$5:B104,"●"),"")</f>
        <v/>
      </c>
      <c r="Z104" s="94" t="str">
        <f t="shared" si="6"/>
        <v>B100</v>
      </c>
      <c r="AA104" s="94">
        <f t="shared" si="5"/>
        <v>399</v>
      </c>
      <c r="AB104" s="94" t="str">
        <f t="shared" si="7"/>
        <v/>
      </c>
    </row>
    <row r="105" spans="2:29" x14ac:dyDescent="0.15">
      <c r="Y105" s="95"/>
      <c r="AA105" s="95"/>
      <c r="AB105" s="95"/>
    </row>
    <row r="106" spans="2:29" ht="13.5" customHeight="1" x14ac:dyDescent="0.15">
      <c r="B106" s="159" t="s">
        <v>216</v>
      </c>
      <c r="C106" s="159" t="s">
        <v>130</v>
      </c>
      <c r="D106" s="159" t="s">
        <v>177</v>
      </c>
      <c r="E106" s="151" t="s">
        <v>115</v>
      </c>
      <c r="F106" s="152" t="s">
        <v>131</v>
      </c>
      <c r="G106" s="155" t="s">
        <v>106</v>
      </c>
      <c r="H106" s="156"/>
      <c r="I106" s="156"/>
      <c r="J106" s="151" t="s">
        <v>214</v>
      </c>
      <c r="K106" s="151" t="s">
        <v>215</v>
      </c>
      <c r="L106" s="163" t="s">
        <v>178</v>
      </c>
      <c r="Y106" s="161" t="s">
        <v>222</v>
      </c>
      <c r="Z106" s="161" t="s">
        <v>226</v>
      </c>
      <c r="AA106" s="161" t="s">
        <v>229</v>
      </c>
      <c r="AB106" s="161" t="s">
        <v>224</v>
      </c>
      <c r="AC106" s="161" t="s">
        <v>228</v>
      </c>
    </row>
    <row r="107" spans="2:29" x14ac:dyDescent="0.15">
      <c r="B107" s="151"/>
      <c r="C107" s="151"/>
      <c r="D107" s="151"/>
      <c r="E107" s="151"/>
      <c r="F107" s="153"/>
      <c r="G107" s="157"/>
      <c r="H107" s="158"/>
      <c r="I107" s="158"/>
      <c r="J107" s="151"/>
      <c r="K107" s="151"/>
      <c r="L107" s="163"/>
      <c r="Y107" s="161"/>
      <c r="Z107" s="162"/>
      <c r="AA107" s="162"/>
      <c r="AB107" s="162"/>
      <c r="AC107" s="162"/>
    </row>
    <row r="108" spans="2:29" x14ac:dyDescent="0.15">
      <c r="B108" s="151"/>
      <c r="C108" s="151"/>
      <c r="D108" s="151"/>
      <c r="E108" s="53" t="s">
        <v>116</v>
      </c>
      <c r="F108" s="154"/>
      <c r="G108" s="53" t="s">
        <v>117</v>
      </c>
      <c r="H108" s="53" t="s">
        <v>2</v>
      </c>
      <c r="I108" s="53" t="s">
        <v>3</v>
      </c>
      <c r="J108" s="53" t="s">
        <v>116</v>
      </c>
      <c r="K108" s="53" t="s">
        <v>116</v>
      </c>
      <c r="L108" s="54" t="s">
        <v>179</v>
      </c>
      <c r="Y108" s="161"/>
      <c r="Z108" s="162"/>
      <c r="AA108" s="162"/>
      <c r="AB108" s="162"/>
      <c r="AC108" s="162"/>
    </row>
    <row r="109" spans="2:29" x14ac:dyDescent="0.15">
      <c r="B109" s="96"/>
      <c r="C109" s="33" t="s">
        <v>157</v>
      </c>
      <c r="D109" s="97"/>
      <c r="E109" s="99"/>
      <c r="F109" s="128"/>
      <c r="G109" s="100"/>
      <c r="H109" s="32">
        <f ca="1">OFFSET(【DB】被害率係数!$A$4,MATCH($G109,【DB】被害率係数!$A$4:$A$19,0)-1,2)</f>
        <v>0</v>
      </c>
      <c r="I109" s="32">
        <f ca="1">OFFSET(【DB】被害率係数!$A$4,MATCH($G109,【DB】被害率係数!$A$4:$A$19,0)-1,3)</f>
        <v>0</v>
      </c>
      <c r="J109" s="99"/>
      <c r="K109" s="99"/>
      <c r="L109" s="101"/>
      <c r="Y109" s="94" t="str">
        <f>IF(B109="●",COUNTIF($B$109:B109,"●"),"")</f>
        <v/>
      </c>
      <c r="Z109" s="94" t="str">
        <f t="shared" ref="Z109:Z118" si="8">C109</f>
        <v>U1</v>
      </c>
      <c r="AA109" s="94">
        <v>403</v>
      </c>
      <c r="AB109" s="94" t="str">
        <f>IF(Y109&lt;&gt;"",MAX($AB$5:AB108)+IF(Y109=1,4,1),"")</f>
        <v/>
      </c>
      <c r="AC109" s="94">
        <f>MAX(Y109:Y118)</f>
        <v>0</v>
      </c>
    </row>
    <row r="110" spans="2:29" x14ac:dyDescent="0.15">
      <c r="B110" s="96"/>
      <c r="C110" s="33" t="s">
        <v>159</v>
      </c>
      <c r="D110" s="97"/>
      <c r="E110" s="99"/>
      <c r="F110" s="128"/>
      <c r="G110" s="100"/>
      <c r="H110" s="32">
        <f ca="1">OFFSET(【DB】被害率係数!$A$4,MATCH($G110,【DB】被害率係数!$A$4:$A$19,0)-1,2)</f>
        <v>0</v>
      </c>
      <c r="I110" s="32">
        <f ca="1">OFFSET(【DB】被害率係数!$A$4,MATCH($G110,【DB】被害率係数!$A$4:$A$19,0)-1,3)</f>
        <v>0</v>
      </c>
      <c r="J110" s="99"/>
      <c r="K110" s="99"/>
      <c r="L110" s="101"/>
      <c r="Y110" s="94" t="str">
        <f>IF(B110="●",COUNTIF($B$109:B110,"●"),"")</f>
        <v/>
      </c>
      <c r="Z110" s="94" t="str">
        <f t="shared" si="8"/>
        <v>U2</v>
      </c>
      <c r="AA110" s="94">
        <v>404</v>
      </c>
      <c r="AB110" s="94" t="str">
        <f>IF(Y110&lt;&gt;"",MAX($AB$5:AB109)+IF(Y110=1,4,1),"")</f>
        <v/>
      </c>
    </row>
    <row r="111" spans="2:29" x14ac:dyDescent="0.15">
      <c r="B111" s="96"/>
      <c r="C111" s="33" t="s">
        <v>161</v>
      </c>
      <c r="D111" s="97"/>
      <c r="E111" s="99"/>
      <c r="F111" s="128"/>
      <c r="G111" s="100"/>
      <c r="H111" s="32">
        <f ca="1">OFFSET(【DB】被害率係数!$A$4,MATCH($G111,【DB】被害率係数!$A$4:$A$19,0)-1,2)</f>
        <v>0</v>
      </c>
      <c r="I111" s="32">
        <f ca="1">OFFSET(【DB】被害率係数!$A$4,MATCH($G111,【DB】被害率係数!$A$4:$A$19,0)-1,3)</f>
        <v>0</v>
      </c>
      <c r="J111" s="99"/>
      <c r="K111" s="99"/>
      <c r="L111" s="101"/>
      <c r="Y111" s="94" t="str">
        <f>IF(B111="●",COUNTIF($B$109:B111,"●"),"")</f>
        <v/>
      </c>
      <c r="Z111" s="94" t="str">
        <f t="shared" si="8"/>
        <v>U3</v>
      </c>
      <c r="AA111" s="94">
        <v>405</v>
      </c>
      <c r="AB111" s="94" t="str">
        <f>IF(Y111&lt;&gt;"",MAX($AB$5:AB110)+IF(Y111=1,4,1),"")</f>
        <v/>
      </c>
    </row>
    <row r="112" spans="2:29" x14ac:dyDescent="0.15">
      <c r="B112" s="96"/>
      <c r="C112" s="33" t="s">
        <v>163</v>
      </c>
      <c r="D112" s="97"/>
      <c r="E112" s="99"/>
      <c r="F112" s="128"/>
      <c r="G112" s="100"/>
      <c r="H112" s="32">
        <f ca="1">OFFSET(【DB】被害率係数!$A$4,MATCH($G112,【DB】被害率係数!$A$4:$A$19,0)-1,2)</f>
        <v>0</v>
      </c>
      <c r="I112" s="32">
        <f ca="1">OFFSET(【DB】被害率係数!$A$4,MATCH($G112,【DB】被害率係数!$A$4:$A$19,0)-1,3)</f>
        <v>0</v>
      </c>
      <c r="J112" s="99"/>
      <c r="K112" s="99"/>
      <c r="L112" s="101"/>
      <c r="Y112" s="94" t="str">
        <f>IF(B112="●",COUNTIF($B$109:B112,"●"),"")</f>
        <v/>
      </c>
      <c r="Z112" s="94" t="str">
        <f t="shared" si="8"/>
        <v>U4</v>
      </c>
      <c r="AA112" s="94">
        <v>406</v>
      </c>
      <c r="AB112" s="94" t="str">
        <f>IF(Y112&lt;&gt;"",MAX($AB$5:AB111)+IF(Y112=1,4,1),"")</f>
        <v/>
      </c>
    </row>
    <row r="113" spans="2:36" x14ac:dyDescent="0.15">
      <c r="B113" s="96"/>
      <c r="C113" s="33" t="s">
        <v>165</v>
      </c>
      <c r="D113" s="97"/>
      <c r="E113" s="99"/>
      <c r="F113" s="128"/>
      <c r="G113" s="100"/>
      <c r="H113" s="32">
        <f ca="1">OFFSET(【DB】被害率係数!$A$4,MATCH($G113,【DB】被害率係数!$A$4:$A$19,0)-1,2)</f>
        <v>0</v>
      </c>
      <c r="I113" s="32">
        <f ca="1">OFFSET(【DB】被害率係数!$A$4,MATCH($G113,【DB】被害率係数!$A$4:$A$19,0)-1,3)</f>
        <v>0</v>
      </c>
      <c r="J113" s="99"/>
      <c r="K113" s="99"/>
      <c r="L113" s="101"/>
      <c r="Y113" s="94" t="str">
        <f>IF(B113="●",COUNTIF($B$109:B113,"●"),"")</f>
        <v/>
      </c>
      <c r="Z113" s="94" t="str">
        <f t="shared" si="8"/>
        <v>U5</v>
      </c>
      <c r="AA113" s="94">
        <v>407</v>
      </c>
      <c r="AB113" s="94" t="str">
        <f>IF(Y113&lt;&gt;"",MAX($AB$5:AB112)+IF(Y113=1,4,1),"")</f>
        <v/>
      </c>
    </row>
    <row r="114" spans="2:36" x14ac:dyDescent="0.15">
      <c r="B114" s="96"/>
      <c r="C114" s="33" t="s">
        <v>167</v>
      </c>
      <c r="D114" s="97"/>
      <c r="E114" s="99"/>
      <c r="F114" s="128"/>
      <c r="G114" s="100"/>
      <c r="H114" s="32">
        <f ca="1">OFFSET(【DB】被害率係数!$A$4,MATCH($G114,【DB】被害率係数!$A$4:$A$19,0)-1,2)</f>
        <v>0</v>
      </c>
      <c r="I114" s="32">
        <f ca="1">OFFSET(【DB】被害率係数!$A$4,MATCH($G114,【DB】被害率係数!$A$4:$A$19,0)-1,3)</f>
        <v>0</v>
      </c>
      <c r="J114" s="99"/>
      <c r="K114" s="99"/>
      <c r="L114" s="101"/>
      <c r="Y114" s="94" t="str">
        <f>IF(B114="●",COUNTIF($B$109:B114,"●"),"")</f>
        <v/>
      </c>
      <c r="Z114" s="94" t="str">
        <f t="shared" si="8"/>
        <v>U6</v>
      </c>
      <c r="AA114" s="94">
        <v>408</v>
      </c>
      <c r="AB114" s="94" t="str">
        <f>IF(Y114&lt;&gt;"",MAX($AB$5:AB113)+IF(Y114=1,4,1),"")</f>
        <v/>
      </c>
    </row>
    <row r="115" spans="2:36" x14ac:dyDescent="0.15">
      <c r="B115" s="96"/>
      <c r="C115" s="33" t="s">
        <v>169</v>
      </c>
      <c r="D115" s="97"/>
      <c r="E115" s="99"/>
      <c r="F115" s="128"/>
      <c r="G115" s="100"/>
      <c r="H115" s="32">
        <f ca="1">OFFSET(【DB】被害率係数!$A$4,MATCH($G115,【DB】被害率係数!$A$4:$A$19,0)-1,2)</f>
        <v>0</v>
      </c>
      <c r="I115" s="32">
        <f ca="1">OFFSET(【DB】被害率係数!$A$4,MATCH($G115,【DB】被害率係数!$A$4:$A$19,0)-1,3)</f>
        <v>0</v>
      </c>
      <c r="J115" s="99"/>
      <c r="K115" s="99"/>
      <c r="L115" s="101"/>
      <c r="Y115" s="94" t="str">
        <f>IF(B115="●",COUNTIF($B$109:B115,"●"),"")</f>
        <v/>
      </c>
      <c r="Z115" s="94" t="str">
        <f t="shared" si="8"/>
        <v>U7</v>
      </c>
      <c r="AA115" s="94">
        <v>409</v>
      </c>
      <c r="AB115" s="94" t="str">
        <f>IF(Y115&lt;&gt;"",MAX($AB$5:AB114)+IF(Y115=1,4,1),"")</f>
        <v/>
      </c>
    </row>
    <row r="116" spans="2:36" x14ac:dyDescent="0.15">
      <c r="B116" s="96"/>
      <c r="C116" s="33" t="s">
        <v>171</v>
      </c>
      <c r="D116" s="97"/>
      <c r="E116" s="99"/>
      <c r="F116" s="128"/>
      <c r="G116" s="100"/>
      <c r="H116" s="32">
        <f ca="1">OFFSET(【DB】被害率係数!$A$4,MATCH($G116,【DB】被害率係数!$A$4:$A$19,0)-1,2)</f>
        <v>0</v>
      </c>
      <c r="I116" s="32">
        <f ca="1">OFFSET(【DB】被害率係数!$A$4,MATCH($G116,【DB】被害率係数!$A$4:$A$19,0)-1,3)</f>
        <v>0</v>
      </c>
      <c r="J116" s="99"/>
      <c r="K116" s="99"/>
      <c r="L116" s="101"/>
      <c r="Y116" s="94" t="str">
        <f>IF(B116="●",COUNTIF($B$109:B116,"●"),"")</f>
        <v/>
      </c>
      <c r="Z116" s="94" t="str">
        <f t="shared" si="8"/>
        <v>U8</v>
      </c>
      <c r="AA116" s="94">
        <v>410</v>
      </c>
      <c r="AB116" s="94" t="str">
        <f>IF(Y116&lt;&gt;"",MAX($AB$5:AB115)+IF(Y116=1,4,1),"")</f>
        <v/>
      </c>
    </row>
    <row r="117" spans="2:36" x14ac:dyDescent="0.15">
      <c r="B117" s="96"/>
      <c r="C117" s="33" t="s">
        <v>173</v>
      </c>
      <c r="D117" s="97"/>
      <c r="E117" s="99"/>
      <c r="F117" s="128"/>
      <c r="G117" s="100"/>
      <c r="H117" s="32">
        <f ca="1">OFFSET(【DB】被害率係数!$A$4,MATCH($G117,【DB】被害率係数!$A$4:$A$19,0)-1,2)</f>
        <v>0</v>
      </c>
      <c r="I117" s="32">
        <f ca="1">OFFSET(【DB】被害率係数!$A$4,MATCH($G117,【DB】被害率係数!$A$4:$A$19,0)-1,3)</f>
        <v>0</v>
      </c>
      <c r="J117" s="99"/>
      <c r="K117" s="99"/>
      <c r="L117" s="101"/>
      <c r="Y117" s="94" t="str">
        <f>IF(B117="●",COUNTIF($B$109:B117,"●"),"")</f>
        <v/>
      </c>
      <c r="Z117" s="94" t="str">
        <f t="shared" si="8"/>
        <v>U9</v>
      </c>
      <c r="AA117" s="94">
        <v>411</v>
      </c>
      <c r="AB117" s="94" t="str">
        <f>IF(Y117&lt;&gt;"",MAX($AB$5:AB116)+IF(Y117=1,4,1),"")</f>
        <v/>
      </c>
    </row>
    <row r="118" spans="2:36" x14ac:dyDescent="0.15">
      <c r="B118" s="96"/>
      <c r="C118" s="33" t="s">
        <v>175</v>
      </c>
      <c r="D118" s="97"/>
      <c r="E118" s="99"/>
      <c r="F118" s="128"/>
      <c r="G118" s="100"/>
      <c r="H118" s="32">
        <f ca="1">OFFSET(【DB】被害率係数!$A$4,MATCH($G118,【DB】被害率係数!$A$4:$A$19,0)-1,2)</f>
        <v>0</v>
      </c>
      <c r="I118" s="32">
        <f ca="1">OFFSET(【DB】被害率係数!$A$4,MATCH($G118,【DB】被害率係数!$A$4:$A$19,0)-1,3)</f>
        <v>0</v>
      </c>
      <c r="J118" s="99"/>
      <c r="K118" s="99"/>
      <c r="L118" s="101"/>
      <c r="Y118" s="94" t="str">
        <f>IF(B118="●",COUNTIF($B$109:B118,"●"),"")</f>
        <v/>
      </c>
      <c r="Z118" s="94" t="str">
        <f t="shared" si="8"/>
        <v>U10</v>
      </c>
      <c r="AA118" s="94">
        <v>412</v>
      </c>
      <c r="AB118" s="94" t="str">
        <f>IF(Y118&lt;&gt;"",MAX($AB$5:AB117)+IF(Y118=1,4,1),"")</f>
        <v/>
      </c>
    </row>
    <row r="122" spans="2:36" x14ac:dyDescent="0.15">
      <c r="B122" s="160" t="s">
        <v>246</v>
      </c>
      <c r="C122" s="160"/>
      <c r="D122" s="160"/>
      <c r="E122" s="160"/>
      <c r="F122" s="160"/>
      <c r="G122" s="160"/>
      <c r="H122" s="160"/>
      <c r="I122" s="160"/>
      <c r="J122" s="160"/>
      <c r="K122" s="160"/>
      <c r="L122" s="160"/>
      <c r="M122" s="160"/>
      <c r="N122" s="160"/>
      <c r="O122" s="160"/>
      <c r="P122" s="160"/>
      <c r="Q122" s="160"/>
      <c r="R122" s="160"/>
      <c r="S122" s="160"/>
      <c r="T122" s="160"/>
      <c r="U122" s="160"/>
      <c r="V122" s="160"/>
      <c r="W122" s="160"/>
      <c r="X122" s="160"/>
      <c r="Y122" s="160"/>
      <c r="Z122" s="160"/>
      <c r="AA122" s="160"/>
      <c r="AB122" s="160"/>
      <c r="AC122" s="160"/>
      <c r="AD122" s="160"/>
      <c r="AE122" s="160"/>
      <c r="AF122" s="160"/>
      <c r="AG122" s="160"/>
      <c r="AH122" s="160"/>
      <c r="AI122" s="160"/>
      <c r="AJ122" s="160"/>
    </row>
    <row r="123" spans="2:36" x14ac:dyDescent="0.15">
      <c r="B123" s="138">
        <v>1</v>
      </c>
      <c r="C123" s="138">
        <v>2</v>
      </c>
      <c r="D123" s="138">
        <v>3</v>
      </c>
      <c r="E123" s="138">
        <v>4</v>
      </c>
      <c r="F123" s="138">
        <v>5</v>
      </c>
      <c r="G123" s="138">
        <v>6</v>
      </c>
      <c r="H123" s="138">
        <v>7</v>
      </c>
      <c r="I123" s="138">
        <v>8</v>
      </c>
      <c r="J123" s="138">
        <v>9</v>
      </c>
      <c r="K123" s="138">
        <v>10</v>
      </c>
      <c r="L123" s="138">
        <v>11</v>
      </c>
      <c r="M123" s="138">
        <v>12</v>
      </c>
      <c r="N123" s="138">
        <v>13</v>
      </c>
      <c r="O123" s="138">
        <v>14</v>
      </c>
      <c r="P123" s="138">
        <v>15</v>
      </c>
      <c r="Q123" s="138">
        <v>16</v>
      </c>
      <c r="R123" s="138">
        <v>17</v>
      </c>
      <c r="S123" s="138">
        <v>18</v>
      </c>
      <c r="T123" s="138">
        <v>19</v>
      </c>
      <c r="U123" s="138">
        <v>20</v>
      </c>
      <c r="V123" s="138">
        <v>21</v>
      </c>
      <c r="W123" s="138">
        <v>22</v>
      </c>
      <c r="X123" s="138">
        <v>23</v>
      </c>
      <c r="Y123" s="138">
        <v>24</v>
      </c>
      <c r="Z123" s="138">
        <v>25</v>
      </c>
      <c r="AA123" s="138">
        <v>26</v>
      </c>
      <c r="AB123" s="138">
        <v>27</v>
      </c>
      <c r="AC123" s="138">
        <v>28</v>
      </c>
      <c r="AD123" s="138">
        <v>29</v>
      </c>
      <c r="AE123" s="138">
        <v>30</v>
      </c>
      <c r="AF123" s="138">
        <v>31</v>
      </c>
      <c r="AG123" s="138">
        <v>32</v>
      </c>
      <c r="AH123" s="138">
        <v>33</v>
      </c>
      <c r="AI123" s="138">
        <v>34</v>
      </c>
      <c r="AJ123" s="138">
        <v>35</v>
      </c>
    </row>
    <row r="124" spans="2:36" x14ac:dyDescent="0.15">
      <c r="B124" s="140">
        <v>0</v>
      </c>
      <c r="C124" s="140">
        <v>10</v>
      </c>
      <c r="D124" s="140">
        <v>20</v>
      </c>
      <c r="E124" s="140">
        <v>30</v>
      </c>
      <c r="F124" s="140">
        <v>40</v>
      </c>
      <c r="G124" s="140">
        <v>50</v>
      </c>
      <c r="H124" s="140">
        <v>60</v>
      </c>
      <c r="I124" s="140">
        <v>70</v>
      </c>
      <c r="J124" s="140">
        <v>80</v>
      </c>
      <c r="K124" s="140">
        <v>90</v>
      </c>
      <c r="L124" s="140">
        <v>100</v>
      </c>
      <c r="M124" s="140">
        <v>120</v>
      </c>
      <c r="N124" s="140">
        <v>140</v>
      </c>
      <c r="O124" s="140">
        <v>160</v>
      </c>
      <c r="P124" s="140">
        <v>180</v>
      </c>
      <c r="Q124" s="140">
        <v>200</v>
      </c>
      <c r="R124" s="140">
        <v>220</v>
      </c>
      <c r="S124" s="140">
        <v>240</v>
      </c>
      <c r="T124" s="140">
        <v>260</v>
      </c>
      <c r="U124" s="140">
        <v>280</v>
      </c>
      <c r="V124" s="140">
        <v>300</v>
      </c>
      <c r="W124" s="140">
        <v>350</v>
      </c>
      <c r="X124" s="140">
        <v>400</v>
      </c>
      <c r="Y124" s="140">
        <v>450</v>
      </c>
      <c r="Z124" s="140">
        <v>500</v>
      </c>
      <c r="AA124" s="140">
        <v>600</v>
      </c>
      <c r="AB124" s="140">
        <v>700</v>
      </c>
      <c r="AC124" s="140">
        <v>800</v>
      </c>
      <c r="AD124" s="140">
        <v>900</v>
      </c>
      <c r="AE124" s="140">
        <v>1000</v>
      </c>
      <c r="AF124" s="140">
        <v>1200</v>
      </c>
      <c r="AG124" s="140">
        <v>1400</v>
      </c>
      <c r="AH124" s="140">
        <v>1600</v>
      </c>
      <c r="AI124" s="140">
        <v>1800</v>
      </c>
      <c r="AJ124" s="140">
        <v>2000</v>
      </c>
    </row>
  </sheetData>
  <mergeCells count="33">
    <mergeCell ref="S2:S3"/>
    <mergeCell ref="C106:C108"/>
    <mergeCell ref="B122:AJ122"/>
    <mergeCell ref="AC2:AC4"/>
    <mergeCell ref="AC106:AC108"/>
    <mergeCell ref="Y2:Y4"/>
    <mergeCell ref="Y106:Y108"/>
    <mergeCell ref="AA2:AA4"/>
    <mergeCell ref="AA106:AA108"/>
    <mergeCell ref="Z2:Z4"/>
    <mergeCell ref="Z106:Z108"/>
    <mergeCell ref="AB2:AB4"/>
    <mergeCell ref="AB106:AB108"/>
    <mergeCell ref="T2:W3"/>
    <mergeCell ref="L106:L107"/>
    <mergeCell ref="B2:B4"/>
    <mergeCell ref="B106:B108"/>
    <mergeCell ref="C2:C4"/>
    <mergeCell ref="D2:D4"/>
    <mergeCell ref="H2:J3"/>
    <mergeCell ref="K2:Q2"/>
    <mergeCell ref="K3:M3"/>
    <mergeCell ref="N3:O3"/>
    <mergeCell ref="P3:Q3"/>
    <mergeCell ref="D106:D108"/>
    <mergeCell ref="K106:K107"/>
    <mergeCell ref="R2:R3"/>
    <mergeCell ref="G2:G3"/>
    <mergeCell ref="E2:F3"/>
    <mergeCell ref="F106:F108"/>
    <mergeCell ref="G106:I107"/>
    <mergeCell ref="J106:J107"/>
    <mergeCell ref="E106:E107"/>
  </mergeCells>
  <phoneticPr fontId="2"/>
  <conditionalFormatting sqref="C109:C118 C5:C23 L5:M23 O5:O23 Q5:Q23 H109:I118 C25 C27 C29 C31 C33 C35 C37 C39 C41 C43 C45 C47 C49 C51 C53 C55 C57 C59 C61 C63 C65 C67 C69 C71 C73 C75 C77 C79 C81 C83 C85 C87 C89 C91 C93 C95 C97 C99 C101 C103 D25:W103 D104 L104:W104">
    <cfRule type="expression" dxfId="831" priority="23" stopIfTrue="1">
      <formula>$B5="×"</formula>
    </cfRule>
  </conditionalFormatting>
  <conditionalFormatting sqref="C24 L24:M24 O24 Q24 C26 C28 C30 C32 C34 C36 C38 C40 C42 C44 C46 C48 C50 C52 C54 C56 C58 C60 C62 C64 C66 C68 C70 C72 C74 C76 C78 C80 C82 C84 C86 C88 C90 C92 C94 C96 C98 C100 C102 C104">
    <cfRule type="expression" dxfId="830" priority="17" stopIfTrue="1">
      <formula>$B24="×"</formula>
    </cfRule>
  </conditionalFormatting>
  <conditionalFormatting sqref="D5:K24">
    <cfRule type="expression" dxfId="829" priority="16" stopIfTrue="1">
      <formula>$B5="×"</formula>
    </cfRule>
  </conditionalFormatting>
  <conditionalFormatting sqref="N5:N24">
    <cfRule type="expression" dxfId="828" priority="15" stopIfTrue="1">
      <formula>$B5="×"</formula>
    </cfRule>
  </conditionalFormatting>
  <conditionalFormatting sqref="P5:P24">
    <cfRule type="expression" dxfId="827" priority="14" stopIfTrue="1">
      <formula>$B5="×"</formula>
    </cfRule>
  </conditionalFormatting>
  <conditionalFormatting sqref="R20:S24 T5:W24 R5:R19">
    <cfRule type="expression" dxfId="826" priority="13" stopIfTrue="1">
      <formula>$B5="×"</formula>
    </cfRule>
  </conditionalFormatting>
  <conditionalFormatting sqref="S5:S19">
    <cfRule type="expression" dxfId="825" priority="12" stopIfTrue="1">
      <formula>$B5="×"</formula>
    </cfRule>
  </conditionalFormatting>
  <conditionalFormatting sqref="D109:G118">
    <cfRule type="expression" dxfId="824" priority="9" stopIfTrue="1">
      <formula>$B109="×"</formula>
    </cfRule>
  </conditionalFormatting>
  <conditionalFormatting sqref="L109:L118 J109:J118">
    <cfRule type="expression" dxfId="823" priority="8" stopIfTrue="1">
      <formula>$B109="×"</formula>
    </cfRule>
  </conditionalFormatting>
  <conditionalFormatting sqref="K109:K118">
    <cfRule type="expression" dxfId="822" priority="7" stopIfTrue="1">
      <formula>$B109="×"</formula>
    </cfRule>
  </conditionalFormatting>
  <conditionalFormatting sqref="E104:K104">
    <cfRule type="expression" dxfId="821" priority="1" stopIfTrue="1">
      <formula>$B104="×"</formula>
    </cfRule>
  </conditionalFormatting>
  <dataValidations count="2">
    <dataValidation type="list" allowBlank="1" showInputMessage="1" showErrorMessage="1" sqref="L109:L118 T5:W104" xr:uid="{00000000-0002-0000-0000-000000000000}">
      <formula1>"あり,なし（Default）"</formula1>
    </dataValidation>
    <dataValidation type="list" allowBlank="1" showInputMessage="1" showErrorMessage="1" sqref="B109:B118 B5:B104" xr:uid="{00000000-0002-0000-0000-000001000000}">
      <formula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0" r:id="rId4" name="Button 8">
              <controlPr defaultSize="0" print="0" autoFill="0" autoPict="0" macro="[0]!関数データ消去">
                <anchor moveWithCells="1" sizeWithCells="1">
                  <from>
                    <xdr:col>31</xdr:col>
                    <xdr:colOff>457200</xdr:colOff>
                    <xdr:row>8</xdr:row>
                    <xdr:rowOff>95250</xdr:rowOff>
                  </from>
                  <to>
                    <xdr:col>33</xdr:col>
                    <xdr:colOff>666750</xdr:colOff>
                    <xdr:row>11</xdr:row>
                    <xdr:rowOff>95250</xdr:rowOff>
                  </to>
                </anchor>
              </controlPr>
            </control>
          </mc:Choice>
        </mc:AlternateContent>
        <mc:AlternateContent xmlns:mc="http://schemas.openxmlformats.org/markup-compatibility/2006">
          <mc:Choice Requires="x14">
            <control shapeId="3081" r:id="rId5" name="Button 9">
              <controlPr defaultSize="0" print="0" autoFill="0" autoPict="0" macro="[0]!被害関数計算">
                <anchor moveWithCells="1" sizeWithCells="1">
                  <from>
                    <xdr:col>29</xdr:col>
                    <xdr:colOff>276225</xdr:colOff>
                    <xdr:row>5</xdr:row>
                    <xdr:rowOff>95250</xdr:rowOff>
                  </from>
                  <to>
                    <xdr:col>33</xdr:col>
                    <xdr:colOff>657225</xdr:colOff>
                    <xdr:row>8</xdr:row>
                    <xdr:rowOff>66675</xdr:rowOff>
                  </to>
                </anchor>
              </controlPr>
            </control>
          </mc:Choice>
        </mc:AlternateContent>
        <mc:AlternateContent xmlns:mc="http://schemas.openxmlformats.org/markup-compatibility/2006">
          <mc:Choice Requires="x14">
            <control shapeId="3082" r:id="rId6" name="Button 10">
              <controlPr defaultSize="0" print="0" autoFill="0" autoPict="0" macro="[0]!入力データ消去">
                <anchor moveWithCells="1" sizeWithCells="1">
                  <from>
                    <xdr:col>29</xdr:col>
                    <xdr:colOff>238125</xdr:colOff>
                    <xdr:row>8</xdr:row>
                    <xdr:rowOff>95250</xdr:rowOff>
                  </from>
                  <to>
                    <xdr:col>31</xdr:col>
                    <xdr:colOff>457200</xdr:colOff>
                    <xdr:row>11</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sheetPr>
  <dimension ref="A1:AQ533"/>
  <sheetViews>
    <sheetView zoomScale="70" zoomScaleNormal="70" workbookViewId="0">
      <pane xSplit="1" ySplit="4" topLeftCell="B480" activePane="bottomRight" state="frozen"/>
      <selection pane="topRight" activeCell="C1" sqref="C1"/>
      <selection pane="bottomLeft" activeCell="A5" sqref="A5"/>
      <selection pane="bottomRight" sqref="A1:O1"/>
    </sheetView>
  </sheetViews>
  <sheetFormatPr defaultRowHeight="13.5" x14ac:dyDescent="0.15"/>
  <cols>
    <col min="2" max="2" width="14.75" customWidth="1"/>
    <col min="3" max="3" width="11.5" customWidth="1"/>
    <col min="16" max="16" width="2" customWidth="1"/>
    <col min="18" max="18" width="1.125" customWidth="1"/>
    <col min="22" max="22" width="1.375" customWidth="1"/>
    <col min="27" max="27" width="11.5" customWidth="1"/>
    <col min="42" max="42" width="10.375" customWidth="1"/>
  </cols>
  <sheetData>
    <row r="1" spans="1:43" ht="13.5" customHeight="1" x14ac:dyDescent="0.15">
      <c r="A1" s="179" t="s">
        <v>180</v>
      </c>
      <c r="B1" s="179"/>
      <c r="C1" s="179"/>
      <c r="D1" s="179"/>
      <c r="E1" s="179"/>
      <c r="F1" s="179"/>
      <c r="G1" s="179"/>
      <c r="H1" s="179"/>
      <c r="I1" s="179"/>
      <c r="J1" s="179"/>
      <c r="K1" s="179"/>
      <c r="L1" s="179"/>
      <c r="M1" s="179"/>
      <c r="N1" s="179"/>
      <c r="O1" s="179"/>
      <c r="Q1" s="180" t="s">
        <v>210</v>
      </c>
      <c r="R1" s="180"/>
      <c r="S1" s="180"/>
      <c r="T1" s="180"/>
      <c r="U1" s="180"/>
      <c r="V1" s="180"/>
      <c r="W1" s="180"/>
      <c r="X1" s="180"/>
      <c r="Y1" s="180"/>
      <c r="Z1" s="180"/>
      <c r="AA1" s="180"/>
      <c r="AB1" s="180"/>
      <c r="AC1" s="180"/>
      <c r="AD1" s="180"/>
      <c r="AE1" s="180"/>
      <c r="AF1" s="180"/>
      <c r="AG1" s="180"/>
      <c r="AH1" s="180"/>
      <c r="AI1" s="180"/>
      <c r="AJ1" s="180"/>
      <c r="AK1" s="180"/>
      <c r="AL1" s="180"/>
      <c r="AM1" s="180"/>
      <c r="AN1" s="66"/>
    </row>
    <row r="2" spans="1:43" x14ac:dyDescent="0.15">
      <c r="A2" s="164" t="s">
        <v>38</v>
      </c>
      <c r="B2" s="164" t="s">
        <v>112</v>
      </c>
      <c r="C2" s="164" t="s">
        <v>141</v>
      </c>
      <c r="D2" s="164" t="s">
        <v>221</v>
      </c>
      <c r="E2" s="164"/>
      <c r="F2" s="164"/>
      <c r="G2" s="164"/>
      <c r="H2" s="164"/>
      <c r="I2" s="164"/>
      <c r="J2" s="164"/>
      <c r="K2" s="164"/>
      <c r="L2" s="164"/>
      <c r="M2" s="164"/>
      <c r="N2" s="164"/>
      <c r="O2" s="164"/>
      <c r="Q2" s="164" t="s">
        <v>54</v>
      </c>
      <c r="R2" s="51"/>
      <c r="S2" s="169" t="s">
        <v>139</v>
      </c>
      <c r="T2" s="170"/>
      <c r="U2" s="171"/>
      <c r="V2" s="51"/>
      <c r="W2" s="178" t="s">
        <v>63</v>
      </c>
      <c r="X2" s="178" t="s">
        <v>131</v>
      </c>
      <c r="Y2" s="164" t="s">
        <v>106</v>
      </c>
      <c r="Z2" s="164"/>
      <c r="AA2" s="164"/>
      <c r="AB2" s="164" t="s">
        <v>140</v>
      </c>
      <c r="AC2" s="164"/>
      <c r="AD2" s="164"/>
      <c r="AE2" s="164"/>
      <c r="AF2" s="164"/>
      <c r="AG2" s="164"/>
      <c r="AH2" s="164"/>
      <c r="AI2" s="164"/>
      <c r="AJ2" s="164"/>
      <c r="AK2" s="164"/>
      <c r="AL2" s="164"/>
      <c r="AM2" s="164"/>
      <c r="AN2" s="165" t="s">
        <v>53</v>
      </c>
      <c r="AO2" s="181" t="s">
        <v>211</v>
      </c>
      <c r="AP2" s="181"/>
      <c r="AQ2" s="178" t="s">
        <v>213</v>
      </c>
    </row>
    <row r="3" spans="1:43" x14ac:dyDescent="0.15">
      <c r="A3" s="164"/>
      <c r="B3" s="164"/>
      <c r="C3" s="164"/>
      <c r="D3" s="164"/>
      <c r="E3" s="164"/>
      <c r="F3" s="164"/>
      <c r="G3" s="164"/>
      <c r="H3" s="164"/>
      <c r="I3" s="164"/>
      <c r="J3" s="164"/>
      <c r="K3" s="164"/>
      <c r="L3" s="164"/>
      <c r="M3" s="164"/>
      <c r="N3" s="164"/>
      <c r="O3" s="164"/>
      <c r="Q3" s="164"/>
      <c r="R3" s="51"/>
      <c r="S3" s="172"/>
      <c r="T3" s="173"/>
      <c r="U3" s="174"/>
      <c r="V3" s="51"/>
      <c r="W3" s="178"/>
      <c r="X3" s="178"/>
      <c r="Y3" s="164"/>
      <c r="Z3" s="164"/>
      <c r="AA3" s="164"/>
      <c r="AB3" s="164"/>
      <c r="AC3" s="164"/>
      <c r="AD3" s="164"/>
      <c r="AE3" s="164"/>
      <c r="AF3" s="164"/>
      <c r="AG3" s="164"/>
      <c r="AH3" s="164"/>
      <c r="AI3" s="164"/>
      <c r="AJ3" s="164"/>
      <c r="AK3" s="164"/>
      <c r="AL3" s="164"/>
      <c r="AM3" s="164"/>
      <c r="AN3" s="182"/>
      <c r="AO3" s="181"/>
      <c r="AP3" s="181"/>
      <c r="AQ3" s="164"/>
    </row>
    <row r="4" spans="1:43" x14ac:dyDescent="0.15">
      <c r="A4" s="164"/>
      <c r="B4" s="164"/>
      <c r="C4" s="164"/>
      <c r="D4" s="27" t="s">
        <v>63</v>
      </c>
      <c r="E4" s="27" t="s">
        <v>34</v>
      </c>
      <c r="F4" s="27" t="s">
        <v>35</v>
      </c>
      <c r="G4" s="27" t="s">
        <v>36</v>
      </c>
      <c r="H4" s="52">
        <v>1</v>
      </c>
      <c r="I4" s="52">
        <v>2</v>
      </c>
      <c r="J4" s="52">
        <v>3</v>
      </c>
      <c r="K4" s="52">
        <v>4</v>
      </c>
      <c r="L4" s="52">
        <v>5</v>
      </c>
      <c r="M4" s="52">
        <v>6</v>
      </c>
      <c r="N4" s="27" t="s">
        <v>45</v>
      </c>
      <c r="O4" s="27" t="s">
        <v>56</v>
      </c>
      <c r="Q4" s="34" t="s">
        <v>116</v>
      </c>
      <c r="R4" s="51"/>
      <c r="S4" s="175"/>
      <c r="T4" s="176"/>
      <c r="U4" s="177"/>
      <c r="V4" s="51"/>
      <c r="W4" s="178"/>
      <c r="X4" s="178"/>
      <c r="Y4" s="34" t="s">
        <v>117</v>
      </c>
      <c r="Z4" s="34" t="s">
        <v>2</v>
      </c>
      <c r="AA4" s="34" t="s">
        <v>3</v>
      </c>
      <c r="AB4" s="27" t="s">
        <v>63</v>
      </c>
      <c r="AC4" s="27" t="s">
        <v>34</v>
      </c>
      <c r="AD4" s="27" t="s">
        <v>35</v>
      </c>
      <c r="AE4" s="27" t="s">
        <v>36</v>
      </c>
      <c r="AF4" s="52">
        <v>1</v>
      </c>
      <c r="AG4" s="52">
        <v>2</v>
      </c>
      <c r="AH4" s="52">
        <v>3</v>
      </c>
      <c r="AI4" s="52">
        <v>4</v>
      </c>
      <c r="AJ4" s="52">
        <v>5</v>
      </c>
      <c r="AK4" s="52">
        <v>6</v>
      </c>
      <c r="AL4" s="27" t="s">
        <v>45</v>
      </c>
      <c r="AM4" s="27" t="s">
        <v>56</v>
      </c>
      <c r="AN4" s="166"/>
      <c r="AO4" s="2" t="s">
        <v>6</v>
      </c>
      <c r="AP4" s="42" t="s">
        <v>56</v>
      </c>
      <c r="AQ4" s="164"/>
    </row>
    <row r="5" spans="1:43" x14ac:dyDescent="0.15">
      <c r="A5" s="59" t="s">
        <v>64</v>
      </c>
      <c r="B5" s="60">
        <f ca="1">OFFSET(①簡易状況入力!$C$5,MATCH(A5,①簡易状況入力!$C$5:$C$104,0)-1,1)</f>
        <v>0</v>
      </c>
      <c r="C5" s="61">
        <f ca="1">OFFSET(①簡易状況入力!$C$5,MATCH(A5,①簡易状況入力!$C$5:$C$104,0)-1,17)</f>
        <v>0</v>
      </c>
      <c r="D5" s="27" t="s">
        <v>47</v>
      </c>
      <c r="E5" s="56">
        <f ca="1">U8</f>
        <v>0</v>
      </c>
      <c r="F5" s="56">
        <f ca="1">U7</f>
        <v>0</v>
      </c>
      <c r="G5" s="102"/>
      <c r="H5" s="103"/>
      <c r="I5" s="103"/>
      <c r="J5" s="103"/>
      <c r="K5" s="103"/>
      <c r="L5" s="103"/>
      <c r="M5" s="103"/>
      <c r="N5" s="103"/>
      <c r="O5" s="103"/>
      <c r="Q5" s="57">
        <f ca="1">OFFSET(①簡易状況入力!$C$5,MATCH(A5,①簡易状況入力!$C$5:$C$104,0)-1,15)</f>
        <v>0</v>
      </c>
      <c r="R5" s="58"/>
      <c r="S5" s="58"/>
      <c r="T5" s="58"/>
      <c r="U5" s="58"/>
      <c r="V5" s="58"/>
      <c r="W5" s="58"/>
      <c r="X5" s="58"/>
      <c r="Y5" s="58"/>
      <c r="Z5" s="58"/>
      <c r="AA5" s="58"/>
      <c r="AB5" s="27" t="s">
        <v>47</v>
      </c>
      <c r="AC5" s="56">
        <f ca="1">U8</f>
        <v>0</v>
      </c>
      <c r="AD5" s="56">
        <f ca="1">U7</f>
        <v>0</v>
      </c>
      <c r="AE5" s="62" t="s">
        <v>46</v>
      </c>
      <c r="AF5" s="62" t="str">
        <f t="shared" ref="AF5:AK5" ca="1" si="0">IF($C5="あり",IF(AF$4&lt;=$AD5,H5,"-"),IF(AF$4&lt;=$AD5,$AO5,"-"))</f>
        <v>-</v>
      </c>
      <c r="AG5" s="62" t="str">
        <f t="shared" ca="1" si="0"/>
        <v>-</v>
      </c>
      <c r="AH5" s="62" t="str">
        <f t="shared" ca="1" si="0"/>
        <v>-</v>
      </c>
      <c r="AI5" s="62" t="str">
        <f t="shared" ca="1" si="0"/>
        <v>-</v>
      </c>
      <c r="AJ5" s="62" t="str">
        <f t="shared" ca="1" si="0"/>
        <v>-</v>
      </c>
      <c r="AK5" s="62" t="str">
        <f t="shared" ca="1" si="0"/>
        <v>-</v>
      </c>
      <c r="AL5" s="62" t="str">
        <f ca="1">IF($C5="あり",IF(7&lt;=$AD5,N5,"-"),IF(7&lt;=$AD5,$AO5*($AD5-6),"-"))</f>
        <v>-</v>
      </c>
      <c r="AM5" s="62">
        <f ca="1">IF(C5="あり",O5,AP5)</f>
        <v>0</v>
      </c>
      <c r="AN5" s="62">
        <f ca="1">SUM(U6,AF5:AM5)</f>
        <v>0</v>
      </c>
      <c r="AO5" s="42">
        <f ca="1">OFFSET(【DB】被害率係数!$A$4,MATCH(②詳細状況入力!$Y6,【DB】被害率係数!$A$4:$A$19,0)-1,16)</f>
        <v>0</v>
      </c>
      <c r="AP5" s="42">
        <f ca="1">OFFSET(【DB】被害率係数!$A$4,MATCH(②詳細状況入力!$Y6,【DB】被害率係数!$A$4:$A$19,0)-1,17)</f>
        <v>0</v>
      </c>
      <c r="AQ5" s="42"/>
    </row>
    <row r="6" spans="1:43" x14ac:dyDescent="0.15">
      <c r="A6" s="50"/>
      <c r="B6" s="50"/>
      <c r="C6" s="129">
        <f ca="1">OFFSET(①簡易状況入力!$C$5,MATCH(A5,①簡易状況入力!$C$5:$C$104,0)-1,18)</f>
        <v>0</v>
      </c>
      <c r="D6" s="130" t="s">
        <v>52</v>
      </c>
      <c r="E6" s="56">
        <f t="shared" ref="E6:F8" ca="1" si="1">E5</f>
        <v>0</v>
      </c>
      <c r="F6" s="56">
        <f t="shared" ca="1" si="1"/>
        <v>0</v>
      </c>
      <c r="G6" s="104"/>
      <c r="H6" s="104"/>
      <c r="I6" s="104"/>
      <c r="J6" s="104"/>
      <c r="K6" s="104"/>
      <c r="L6" s="104"/>
      <c r="M6" s="104"/>
      <c r="N6" s="104"/>
      <c r="O6" s="105"/>
      <c r="Q6" s="57">
        <f ca="1">OFFSET(①簡易状況入力!$C$5,MATCH(A5,①簡易状況入力!$C$5:$C$104,0)-1,16)</f>
        <v>0</v>
      </c>
      <c r="R6" s="58"/>
      <c r="S6" s="34" t="s">
        <v>115</v>
      </c>
      <c r="T6" s="34" t="s">
        <v>116</v>
      </c>
      <c r="U6" s="36">
        <f ca="1">OFFSET(①簡易状況入力!$C$5,MATCH(A5,①簡易状況入力!$C$5:$C$104,0)-1,4)</f>
        <v>0</v>
      </c>
      <c r="V6" s="58"/>
      <c r="W6" s="34" t="s">
        <v>30</v>
      </c>
      <c r="X6" s="37">
        <f ca="1">OFFSET(①簡易状況入力!$C$5,MATCH(A5,①簡易状況入力!$C$5:$C$104,0)-1,5)</f>
        <v>0</v>
      </c>
      <c r="Y6" s="26">
        <f ca="1">OFFSET(①簡易状況入力!$C$5,MATCH(A5,①簡易状況入力!$C$5:$C$104,0)-1,8)</f>
        <v>0</v>
      </c>
      <c r="Z6" s="26">
        <f ca="1">OFFSET(①簡易状況入力!$C$5,MATCH(A5,①簡易状況入力!$C$5:$C$104,0)-1,9)</f>
        <v>0</v>
      </c>
      <c r="AA6" s="26">
        <f ca="1">OFFSET(①簡易状況入力!$C$5,MATCH(A5,①簡易状況入力!$C$5:$C$104,0)-1,10)</f>
        <v>0</v>
      </c>
      <c r="AB6" s="27" t="s">
        <v>52</v>
      </c>
      <c r="AC6" s="56">
        <f t="shared" ref="AC6:AD8" ca="1" si="2">AC5</f>
        <v>0</v>
      </c>
      <c r="AD6" s="56">
        <f t="shared" ca="1" si="2"/>
        <v>0</v>
      </c>
      <c r="AE6" s="63">
        <f ca="1">IF($C6="あり",IF(AC6&gt;=1,G6/AQ6,0),IF(AC6&gt;=1,AO6*AC6,0))</f>
        <v>0</v>
      </c>
      <c r="AF6" s="63">
        <f t="shared" ref="AF6:AK8" ca="1" si="3">IF($C6="あり",IF($AD6&gt;=AF$4,H6/$AQ6,0),IF($AD6&gt;=AF$4,$AO6,0))</f>
        <v>0</v>
      </c>
      <c r="AG6" s="63">
        <f t="shared" ca="1" si="3"/>
        <v>0</v>
      </c>
      <c r="AH6" s="63">
        <f t="shared" ca="1" si="3"/>
        <v>0</v>
      </c>
      <c r="AI6" s="63">
        <f t="shared" ca="1" si="3"/>
        <v>0</v>
      </c>
      <c r="AJ6" s="63">
        <f t="shared" ca="1" si="3"/>
        <v>0</v>
      </c>
      <c r="AK6" s="63">
        <f t="shared" ca="1" si="3"/>
        <v>0</v>
      </c>
      <c r="AL6" s="63">
        <f ca="1">IF($C6="あり",IF($AD6&gt;=7,N6/$AQ6,0),IF($AD6&gt;=7,$AO6*($AD6-6),0))</f>
        <v>0</v>
      </c>
      <c r="AM6" s="64" t="s">
        <v>212</v>
      </c>
      <c r="AN6" s="63">
        <f ca="1">SUM(AE6:AM6)</f>
        <v>0</v>
      </c>
      <c r="AO6" s="68" t="e">
        <f ca="1">1/(AC6+AD6)</f>
        <v>#DIV/0!</v>
      </c>
      <c r="AP6" s="67">
        <v>0</v>
      </c>
      <c r="AQ6" s="68">
        <f ca="1">IF(AC6&gt;=1,G6,0)+SUMIF($H$4:$M$4,"&lt;="&amp;AD6,$H6:$M6)+IF(AD6&gt;=7,N6,0)</f>
        <v>0</v>
      </c>
    </row>
    <row r="7" spans="1:43" x14ac:dyDescent="0.15">
      <c r="A7" s="50"/>
      <c r="B7" s="50"/>
      <c r="C7" s="129">
        <f ca="1">OFFSET(①簡易状況入力!$C$5,MATCH(A5,①簡易状況入力!$C$5:$C$104,0)-1,19)</f>
        <v>0</v>
      </c>
      <c r="D7" s="130" t="s">
        <v>50</v>
      </c>
      <c r="E7" s="56">
        <f t="shared" ca="1" si="1"/>
        <v>0</v>
      </c>
      <c r="F7" s="56">
        <f ca="1">F6</f>
        <v>0</v>
      </c>
      <c r="G7" s="104"/>
      <c r="H7" s="104"/>
      <c r="I7" s="104"/>
      <c r="J7" s="104"/>
      <c r="K7" s="104"/>
      <c r="L7" s="104"/>
      <c r="M7" s="104"/>
      <c r="N7" s="104"/>
      <c r="O7" s="106"/>
      <c r="Q7" s="50"/>
      <c r="R7" s="58"/>
      <c r="S7" s="165" t="s">
        <v>28</v>
      </c>
      <c r="T7" s="34" t="s">
        <v>35</v>
      </c>
      <c r="U7" s="35">
        <f ca="1">OFFSET(①簡易状況入力!$C$5,MATCH(A5,①簡易状況入力!$C$5:$C$104,0)-1,2)</f>
        <v>0</v>
      </c>
      <c r="V7" s="58"/>
      <c r="W7" s="34" t="s">
        <v>33</v>
      </c>
      <c r="X7" s="37">
        <f ca="1">OFFSET(①簡易状況入力!$C$5,MATCH(A5,①簡易状況入力!$C$5:$C$104,0)-1,6)</f>
        <v>0</v>
      </c>
      <c r="Y7" s="26">
        <f ca="1">OFFSET(①簡易状況入力!$C$5,MATCH(A5,①簡易状況入力!$C$5:$C$104,0)-1,11)</f>
        <v>0</v>
      </c>
      <c r="Z7" s="167">
        <f ca="1">OFFSET(①簡易状況入力!$C$5,MATCH(A5,①簡易状況入力!$C$5:$C$104,0)-1,12)</f>
        <v>0</v>
      </c>
      <c r="AA7" s="168"/>
      <c r="AB7" s="27" t="s">
        <v>50</v>
      </c>
      <c r="AC7" s="56">
        <f t="shared" ca="1" si="2"/>
        <v>0</v>
      </c>
      <c r="AD7" s="56">
        <f t="shared" ca="1" si="2"/>
        <v>0</v>
      </c>
      <c r="AE7" s="63">
        <f ca="1">IF($C7="あり",IF(AC7&gt;=1,G7/AQ7,0),IF(AC7&gt;=1,AO7*AC7,0))</f>
        <v>0</v>
      </c>
      <c r="AF7" s="63">
        <f t="shared" ca="1" si="3"/>
        <v>0</v>
      </c>
      <c r="AG7" s="63">
        <f t="shared" ca="1" si="3"/>
        <v>0</v>
      </c>
      <c r="AH7" s="63">
        <f t="shared" ca="1" si="3"/>
        <v>0</v>
      </c>
      <c r="AI7" s="63">
        <f t="shared" ca="1" si="3"/>
        <v>0</v>
      </c>
      <c r="AJ7" s="63">
        <f t="shared" ca="1" si="3"/>
        <v>0</v>
      </c>
      <c r="AK7" s="63">
        <f t="shared" ca="1" si="3"/>
        <v>0</v>
      </c>
      <c r="AL7" s="63">
        <f ca="1">IF($C7="あり",IF($AD7&gt;=7,N7/$AQ7,0),IF($AD7&gt;=7,$AO7*($AD7-6),0))</f>
        <v>0</v>
      </c>
      <c r="AM7" s="65">
        <f ca="1">IF(C7="あり",O7/AQ7,AP7)</f>
        <v>0</v>
      </c>
      <c r="AN7" s="63">
        <f ca="1">SUM(AE7:AM7)</f>
        <v>0</v>
      </c>
      <c r="AO7" s="68" t="e">
        <f ca="1">1/(AC7+AD7)</f>
        <v>#DIV/0!</v>
      </c>
      <c r="AP7" s="67">
        <v>0</v>
      </c>
      <c r="AQ7" s="68">
        <f ca="1">IF(AC7&gt;=1,G7,0)+SUMIF($H$4:$M$4,"&lt;="&amp;AD7,$H7:$M7)+IF(AD7&gt;=7,N7,0)+O7</f>
        <v>0</v>
      </c>
    </row>
    <row r="8" spans="1:43" x14ac:dyDescent="0.15">
      <c r="A8" s="50"/>
      <c r="B8" s="50"/>
      <c r="C8" s="129">
        <f ca="1">OFFSET(①簡易状況入力!$C$5,MATCH(A5,①簡易状況入力!$C$5:$C$104,0)-1,20)</f>
        <v>0</v>
      </c>
      <c r="D8" s="130" t="s">
        <v>51</v>
      </c>
      <c r="E8" s="56">
        <f t="shared" ca="1" si="1"/>
        <v>0</v>
      </c>
      <c r="F8" s="56">
        <f t="shared" ca="1" si="1"/>
        <v>0</v>
      </c>
      <c r="G8" s="104"/>
      <c r="H8" s="104"/>
      <c r="I8" s="104"/>
      <c r="J8" s="104"/>
      <c r="K8" s="104"/>
      <c r="L8" s="104"/>
      <c r="M8" s="104"/>
      <c r="N8" s="104"/>
      <c r="O8" s="106"/>
      <c r="Q8" s="50"/>
      <c r="R8" s="58"/>
      <c r="S8" s="166"/>
      <c r="T8" s="34" t="s">
        <v>34</v>
      </c>
      <c r="U8" s="35">
        <f ca="1">OFFSET(①簡易状況入力!$C$5,MATCH(A5,①簡易状況入力!$C$5:$C$104,0)-1,3)</f>
        <v>0</v>
      </c>
      <c r="V8" s="58"/>
      <c r="W8" s="34" t="s">
        <v>118</v>
      </c>
      <c r="X8" s="37">
        <f ca="1">OFFSET(①簡易状況入力!$C$5,MATCH(A5,①簡易状況入力!$C$5:$C$104,0)-1,7)</f>
        <v>0</v>
      </c>
      <c r="Y8" s="26">
        <f ca="1">OFFSET(①簡易状況入力!$C$5,MATCH(A5,①簡易状況入力!$C$5:$C$104,0)-1,13)</f>
        <v>0</v>
      </c>
      <c r="Z8" s="167">
        <f ca="1">OFFSET(①簡易状況入力!$C$5,MATCH(A5,①簡易状況入力!$C$5:$C$104,0)-1,14)</f>
        <v>0</v>
      </c>
      <c r="AA8" s="168"/>
      <c r="AB8" s="27" t="s">
        <v>51</v>
      </c>
      <c r="AC8" s="56">
        <f t="shared" ca="1" si="2"/>
        <v>0</v>
      </c>
      <c r="AD8" s="56">
        <f t="shared" ca="1" si="2"/>
        <v>0</v>
      </c>
      <c r="AE8" s="63">
        <f ca="1">IF($C8="あり",IF(AC8&gt;=1,G8/AQ8,0),IF(AC8&gt;=1,AO8*AC8,0))</f>
        <v>0</v>
      </c>
      <c r="AF8" s="63">
        <f t="shared" ca="1" si="3"/>
        <v>0</v>
      </c>
      <c r="AG8" s="63">
        <f t="shared" ca="1" si="3"/>
        <v>0</v>
      </c>
      <c r="AH8" s="63">
        <f t="shared" ca="1" si="3"/>
        <v>0</v>
      </c>
      <c r="AI8" s="63">
        <f t="shared" ca="1" si="3"/>
        <v>0</v>
      </c>
      <c r="AJ8" s="63">
        <f t="shared" ca="1" si="3"/>
        <v>0</v>
      </c>
      <c r="AK8" s="63">
        <f t="shared" ca="1" si="3"/>
        <v>0</v>
      </c>
      <c r="AL8" s="63">
        <f ca="1">IF($C8="あり",IF($AD8&gt;=7,N8/$AQ8,0),IF($AD8&gt;=7,$AO8*($AD8-6),0))</f>
        <v>0</v>
      </c>
      <c r="AM8" s="65">
        <f ca="1">IF(C8="あり",O8/AQ8,AP8)</f>
        <v>0</v>
      </c>
      <c r="AN8" s="63">
        <f ca="1">SUM(AE8:AM8)</f>
        <v>0</v>
      </c>
      <c r="AO8" s="68" t="e">
        <f ca="1">1/(AC8+AD8)</f>
        <v>#DIV/0!</v>
      </c>
      <c r="AP8" s="67">
        <v>0</v>
      </c>
      <c r="AQ8" s="68">
        <f ca="1">IF(AC8&gt;=1,G8,0)+SUMIF($H$4:$M$4,"&lt;="&amp;AD8,$H8:$M8)+IF(AD8&gt;=7,N8,0)+O8</f>
        <v>0</v>
      </c>
    </row>
    <row r="9" spans="1:43" x14ac:dyDescent="0.15">
      <c r="G9" s="107"/>
      <c r="H9" s="107"/>
      <c r="I9" s="107"/>
      <c r="J9" s="107"/>
      <c r="K9" s="107"/>
      <c r="L9" s="107"/>
      <c r="M9" s="107"/>
      <c r="N9" s="107"/>
      <c r="O9" s="107"/>
    </row>
    <row r="10" spans="1:43" x14ac:dyDescent="0.15">
      <c r="A10" s="59" t="s">
        <v>181</v>
      </c>
      <c r="B10" s="60">
        <f ca="1">OFFSET(①簡易状況入力!$C$5,MATCH(A10,①簡易状況入力!$C$5:$C$104,0)-1,1)</f>
        <v>0</v>
      </c>
      <c r="C10" s="145">
        <f ca="1">OFFSET(①簡易状況入力!$C$5,MATCH(A10,①簡易状況入力!$C$5:$C$104,0)-1,17)</f>
        <v>0</v>
      </c>
      <c r="D10" s="148" t="s">
        <v>47</v>
      </c>
      <c r="E10" s="56">
        <f ca="1">U13</f>
        <v>0</v>
      </c>
      <c r="F10" s="56">
        <f ca="1">U12</f>
        <v>0</v>
      </c>
      <c r="G10" s="102"/>
      <c r="H10" s="103"/>
      <c r="I10" s="103"/>
      <c r="J10" s="103"/>
      <c r="K10" s="103"/>
      <c r="L10" s="103"/>
      <c r="M10" s="103"/>
      <c r="N10" s="103"/>
      <c r="O10" s="103"/>
      <c r="Q10" s="57">
        <f ca="1">OFFSET(①簡易状況入力!$C$5,MATCH(A10,①簡易状況入力!$C$5:$C$104,0)-1,15)</f>
        <v>0</v>
      </c>
      <c r="R10" s="58"/>
      <c r="S10" s="58"/>
      <c r="T10" s="58"/>
      <c r="U10" s="58"/>
      <c r="V10" s="58"/>
      <c r="W10" s="58"/>
      <c r="X10" s="58"/>
      <c r="Y10" s="58"/>
      <c r="Z10" s="58"/>
      <c r="AA10" s="58"/>
      <c r="AB10" s="148" t="s">
        <v>47</v>
      </c>
      <c r="AC10" s="56">
        <f ca="1">U13</f>
        <v>0</v>
      </c>
      <c r="AD10" s="56">
        <f ca="1">U12</f>
        <v>0</v>
      </c>
      <c r="AE10" s="62" t="s">
        <v>46</v>
      </c>
      <c r="AF10" s="62" t="str">
        <f t="shared" ref="AF10" ca="1" si="4">IF($C10="あり",IF(AF$4&lt;=$AD10,H10,"-"),IF(AF$4&lt;=$AD10,$AO10,"-"))</f>
        <v>-</v>
      </c>
      <c r="AG10" s="62" t="str">
        <f t="shared" ref="AG10" ca="1" si="5">IF($C10="あり",IF(AG$4&lt;=$AD10,I10,"-"),IF(AG$4&lt;=$AD10,$AO10,"-"))</f>
        <v>-</v>
      </c>
      <c r="AH10" s="62" t="str">
        <f t="shared" ref="AH10" ca="1" si="6">IF($C10="あり",IF(AH$4&lt;=$AD10,J10,"-"),IF(AH$4&lt;=$AD10,$AO10,"-"))</f>
        <v>-</v>
      </c>
      <c r="AI10" s="62" t="str">
        <f t="shared" ref="AI10" ca="1" si="7">IF($C10="あり",IF(AI$4&lt;=$AD10,K10,"-"),IF(AI$4&lt;=$AD10,$AO10,"-"))</f>
        <v>-</v>
      </c>
      <c r="AJ10" s="62" t="str">
        <f t="shared" ref="AJ10" ca="1" si="8">IF($C10="あり",IF(AJ$4&lt;=$AD10,L10,"-"),IF(AJ$4&lt;=$AD10,$AO10,"-"))</f>
        <v>-</v>
      </c>
      <c r="AK10" s="62" t="str">
        <f t="shared" ref="AK10" ca="1" si="9">IF($C10="あり",IF(AK$4&lt;=$AD10,M10,"-"),IF(AK$4&lt;=$AD10,$AO10,"-"))</f>
        <v>-</v>
      </c>
      <c r="AL10" s="62" t="str">
        <f ca="1">IF($C10="あり",IF(7&lt;=$AD10,N10,"-"),IF(7&lt;=$AD10,$AO10*($AD10-6),"-"))</f>
        <v>-</v>
      </c>
      <c r="AM10" s="62">
        <f ca="1">IF(C10="あり",O10,AP10)</f>
        <v>0</v>
      </c>
      <c r="AN10" s="62">
        <f ca="1">SUM(U11,AF10:AM10)</f>
        <v>0</v>
      </c>
      <c r="AO10" s="42">
        <f ca="1">OFFSET(【DB】被害率係数!$A$4,MATCH(②詳細状況入力!$Y11,【DB】被害率係数!$A$4:$A$19,0)-1,16)</f>
        <v>0</v>
      </c>
      <c r="AP10" s="42">
        <f ca="1">OFFSET(【DB】被害率係数!$A$4,MATCH(②詳細状況入力!$Y11,【DB】被害率係数!$A$4:$A$19,0)-1,17)</f>
        <v>0</v>
      </c>
      <c r="AQ10" s="42"/>
    </row>
    <row r="11" spans="1:43" x14ac:dyDescent="0.15">
      <c r="A11" s="50"/>
      <c r="B11" s="50"/>
      <c r="C11" s="145">
        <f ca="1">OFFSET(①簡易状況入力!$C$5,MATCH(A10,①簡易状況入力!$C$5:$C$104,0)-1,18)</f>
        <v>0</v>
      </c>
      <c r="D11" s="148" t="s">
        <v>52</v>
      </c>
      <c r="E11" s="56">
        <f t="shared" ref="E11:F11" ca="1" si="10">E10</f>
        <v>0</v>
      </c>
      <c r="F11" s="56">
        <f t="shared" ca="1" si="10"/>
        <v>0</v>
      </c>
      <c r="G11" s="104"/>
      <c r="H11" s="104"/>
      <c r="I11" s="104"/>
      <c r="J11" s="104"/>
      <c r="K11" s="104"/>
      <c r="L11" s="104"/>
      <c r="M11" s="104"/>
      <c r="N11" s="104"/>
      <c r="O11" s="105"/>
      <c r="Q11" s="57">
        <f ca="1">OFFSET(①簡易状況入力!$C$5,MATCH(A10,①簡易状況入力!$C$5:$C$104,0)-1,16)</f>
        <v>0</v>
      </c>
      <c r="R11" s="58"/>
      <c r="S11" s="146" t="s">
        <v>115</v>
      </c>
      <c r="T11" s="146" t="s">
        <v>116</v>
      </c>
      <c r="U11" s="36">
        <f ca="1">OFFSET(①簡易状況入力!$C$5,MATCH(A10,①簡易状況入力!$C$5:$C$104,0)-1,4)</f>
        <v>0</v>
      </c>
      <c r="V11" s="58"/>
      <c r="W11" s="146" t="s">
        <v>30</v>
      </c>
      <c r="X11" s="37">
        <f ca="1">OFFSET(①簡易状況入力!$C$5,MATCH(A10,①簡易状況入力!$C$5:$C$104,0)-1,5)</f>
        <v>0</v>
      </c>
      <c r="Y11" s="149">
        <f ca="1">OFFSET(①簡易状況入力!$C$5,MATCH(A10,①簡易状況入力!$C$5:$C$104,0)-1,8)</f>
        <v>0</v>
      </c>
      <c r="Z11" s="149">
        <f ca="1">OFFSET(①簡易状況入力!$C$5,MATCH(A10,①簡易状況入力!$C$5:$C$104,0)-1,9)</f>
        <v>0</v>
      </c>
      <c r="AA11" s="149">
        <f ca="1">OFFSET(①簡易状況入力!$C$5,MATCH(A10,①簡易状況入力!$C$5:$C$104,0)-1,10)</f>
        <v>0</v>
      </c>
      <c r="AB11" s="148" t="s">
        <v>52</v>
      </c>
      <c r="AC11" s="56">
        <f t="shared" ref="AC11:AD11" ca="1" si="11">AC10</f>
        <v>0</v>
      </c>
      <c r="AD11" s="56">
        <f t="shared" ca="1" si="11"/>
        <v>0</v>
      </c>
      <c r="AE11" s="63">
        <f ca="1">IF($C11="あり",IF(AC11&gt;=1,G11/AQ11,0),IF(AC11&gt;=1,AO11*AC11,0))</f>
        <v>0</v>
      </c>
      <c r="AF11" s="63">
        <f t="shared" ref="AF11:AF13" ca="1" si="12">IF($C11="あり",IF($AD11&gt;=AF$4,H11/$AQ11,0),IF($AD11&gt;=AF$4,$AO11,0))</f>
        <v>0</v>
      </c>
      <c r="AG11" s="63">
        <f t="shared" ref="AG11:AG13" ca="1" si="13">IF($C11="あり",IF($AD11&gt;=AG$4,I11/$AQ11,0),IF($AD11&gt;=AG$4,$AO11,0))</f>
        <v>0</v>
      </c>
      <c r="AH11" s="63">
        <f t="shared" ref="AH11:AH13" ca="1" si="14">IF($C11="あり",IF($AD11&gt;=AH$4,J11/$AQ11,0),IF($AD11&gt;=AH$4,$AO11,0))</f>
        <v>0</v>
      </c>
      <c r="AI11" s="63">
        <f t="shared" ref="AI11:AI13" ca="1" si="15">IF($C11="あり",IF($AD11&gt;=AI$4,K11/$AQ11,0),IF($AD11&gt;=AI$4,$AO11,0))</f>
        <v>0</v>
      </c>
      <c r="AJ11" s="63">
        <f t="shared" ref="AJ11:AJ13" ca="1" si="16">IF($C11="あり",IF($AD11&gt;=AJ$4,L11/$AQ11,0),IF($AD11&gt;=AJ$4,$AO11,0))</f>
        <v>0</v>
      </c>
      <c r="AK11" s="63">
        <f t="shared" ref="AK11:AK13" ca="1" si="17">IF($C11="あり",IF($AD11&gt;=AK$4,M11/$AQ11,0),IF($AD11&gt;=AK$4,$AO11,0))</f>
        <v>0</v>
      </c>
      <c r="AL11" s="63">
        <f ca="1">IF($C11="あり",IF($AD11&gt;=7,N11/$AQ11,0),IF($AD11&gt;=7,$AO11*($AD11-6),0))</f>
        <v>0</v>
      </c>
      <c r="AM11" s="64" t="s">
        <v>46</v>
      </c>
      <c r="AN11" s="63">
        <f ca="1">SUM(AE11:AM11)</f>
        <v>0</v>
      </c>
      <c r="AO11" s="68" t="e">
        <f ca="1">1/(AC11+AD11)</f>
        <v>#DIV/0!</v>
      </c>
      <c r="AP11" s="67">
        <v>0</v>
      </c>
      <c r="AQ11" s="68">
        <f ca="1">IF(AC11&gt;=1,G11,0)+SUMIF($H$4:$M$4,"&lt;="&amp;AD11,$H11:$M11)+IF(AD11&gt;=7,N11,0)</f>
        <v>0</v>
      </c>
    </row>
    <row r="12" spans="1:43" x14ac:dyDescent="0.15">
      <c r="A12" s="50"/>
      <c r="B12" s="50"/>
      <c r="C12" s="145">
        <f ca="1">OFFSET(①簡易状況入力!$C$5,MATCH(A10,①簡易状況入力!$C$5:$C$104,0)-1,19)</f>
        <v>0</v>
      </c>
      <c r="D12" s="148" t="s">
        <v>50</v>
      </c>
      <c r="E12" s="56">
        <f t="shared" ref="E12" ca="1" si="18">E11</f>
        <v>0</v>
      </c>
      <c r="F12" s="56">
        <f ca="1">F11</f>
        <v>0</v>
      </c>
      <c r="G12" s="104"/>
      <c r="H12" s="104"/>
      <c r="I12" s="104"/>
      <c r="J12" s="104"/>
      <c r="K12" s="104"/>
      <c r="L12" s="104"/>
      <c r="M12" s="104"/>
      <c r="N12" s="104"/>
      <c r="O12" s="106"/>
      <c r="Q12" s="50"/>
      <c r="R12" s="58"/>
      <c r="S12" s="165" t="s">
        <v>28</v>
      </c>
      <c r="T12" s="146" t="s">
        <v>35</v>
      </c>
      <c r="U12" s="35">
        <f ca="1">OFFSET(①簡易状況入力!$C$5,MATCH(A10,①簡易状況入力!$C$5:$C$104,0)-1,2)</f>
        <v>0</v>
      </c>
      <c r="V12" s="58"/>
      <c r="W12" s="146" t="s">
        <v>33</v>
      </c>
      <c r="X12" s="37">
        <f ca="1">OFFSET(①簡易状況入力!$C$5,MATCH(A10,①簡易状況入力!$C$5:$C$104,0)-1,6)</f>
        <v>0</v>
      </c>
      <c r="Y12" s="149">
        <f ca="1">OFFSET(①簡易状況入力!$C$5,MATCH(A10,①簡易状況入力!$C$5:$C$104,0)-1,11)</f>
        <v>0</v>
      </c>
      <c r="Z12" s="167">
        <f ca="1">OFFSET(①簡易状況入力!$C$5,MATCH(A10,①簡易状況入力!$C$5:$C$104,0)-1,12)</f>
        <v>0</v>
      </c>
      <c r="AA12" s="168"/>
      <c r="AB12" s="148" t="s">
        <v>50</v>
      </c>
      <c r="AC12" s="56">
        <f t="shared" ref="AC12:AD12" ca="1" si="19">AC11</f>
        <v>0</v>
      </c>
      <c r="AD12" s="56">
        <f t="shared" ca="1" si="19"/>
        <v>0</v>
      </c>
      <c r="AE12" s="63">
        <f ca="1">IF($C12="あり",IF(AC12&gt;=1,G12/AQ12,0),IF(AC12&gt;=1,AO12*AC12,0))</f>
        <v>0</v>
      </c>
      <c r="AF12" s="63">
        <f t="shared" ca="1" si="12"/>
        <v>0</v>
      </c>
      <c r="AG12" s="63">
        <f t="shared" ca="1" si="13"/>
        <v>0</v>
      </c>
      <c r="AH12" s="63">
        <f t="shared" ca="1" si="14"/>
        <v>0</v>
      </c>
      <c r="AI12" s="63">
        <f t="shared" ca="1" si="15"/>
        <v>0</v>
      </c>
      <c r="AJ12" s="63">
        <f t="shared" ca="1" si="16"/>
        <v>0</v>
      </c>
      <c r="AK12" s="63">
        <f t="shared" ca="1" si="17"/>
        <v>0</v>
      </c>
      <c r="AL12" s="63">
        <f ca="1">IF($C12="あり",IF($AD12&gt;=7,N12/$AQ12,0),IF($AD12&gt;=7,$AO12*($AD12-6),0))</f>
        <v>0</v>
      </c>
      <c r="AM12" s="65">
        <f ca="1">IF(C12="あり",O12/AQ12,AP12)</f>
        <v>0</v>
      </c>
      <c r="AN12" s="63">
        <f ca="1">SUM(AE12:AM12)</f>
        <v>0</v>
      </c>
      <c r="AO12" s="68" t="e">
        <f ca="1">1/(AC12+AD12)</f>
        <v>#DIV/0!</v>
      </c>
      <c r="AP12" s="67">
        <v>0</v>
      </c>
      <c r="AQ12" s="68">
        <f ca="1">IF(AC12&gt;=1,G12,0)+SUMIF($H$4:$M$4,"&lt;="&amp;AD12,$H12:$M12)+IF(AD12&gt;=7,N12,0)+O12</f>
        <v>0</v>
      </c>
    </row>
    <row r="13" spans="1:43" x14ac:dyDescent="0.15">
      <c r="A13" s="50"/>
      <c r="B13" s="50"/>
      <c r="C13" s="145">
        <f ca="1">OFFSET(①簡易状況入力!$C$5,MATCH(A10,①簡易状況入力!$C$5:$C$104,0)-1,20)</f>
        <v>0</v>
      </c>
      <c r="D13" s="148" t="s">
        <v>51</v>
      </c>
      <c r="E13" s="56">
        <f t="shared" ref="E13:F13" ca="1" si="20">E12</f>
        <v>0</v>
      </c>
      <c r="F13" s="56">
        <f t="shared" ca="1" si="20"/>
        <v>0</v>
      </c>
      <c r="G13" s="104"/>
      <c r="H13" s="104"/>
      <c r="I13" s="104"/>
      <c r="J13" s="104"/>
      <c r="K13" s="104"/>
      <c r="L13" s="104"/>
      <c r="M13" s="104"/>
      <c r="N13" s="104"/>
      <c r="O13" s="106"/>
      <c r="Q13" s="50"/>
      <c r="R13" s="58"/>
      <c r="S13" s="166"/>
      <c r="T13" s="146" t="s">
        <v>34</v>
      </c>
      <c r="U13" s="35">
        <f ca="1">OFFSET(①簡易状況入力!$C$5,MATCH(A10,①簡易状況入力!$C$5:$C$104,0)-1,3)</f>
        <v>0</v>
      </c>
      <c r="V13" s="58"/>
      <c r="W13" s="146" t="s">
        <v>118</v>
      </c>
      <c r="X13" s="37">
        <f ca="1">OFFSET(①簡易状況入力!$C$5,MATCH(A10,①簡易状況入力!$C$5:$C$104,0)-1,7)</f>
        <v>0</v>
      </c>
      <c r="Y13" s="149">
        <f ca="1">OFFSET(①簡易状況入力!$C$5,MATCH(A10,①簡易状況入力!$C$5:$C$104,0)-1,13)</f>
        <v>0</v>
      </c>
      <c r="Z13" s="167">
        <f ca="1">OFFSET(①簡易状況入力!$C$5,MATCH(A10,①簡易状況入力!$C$5:$C$104,0)-1,14)</f>
        <v>0</v>
      </c>
      <c r="AA13" s="168"/>
      <c r="AB13" s="148" t="s">
        <v>51</v>
      </c>
      <c r="AC13" s="56">
        <f t="shared" ref="AC13:AD13" ca="1" si="21">AC12</f>
        <v>0</v>
      </c>
      <c r="AD13" s="56">
        <f t="shared" ca="1" si="21"/>
        <v>0</v>
      </c>
      <c r="AE13" s="63">
        <f ca="1">IF($C13="あり",IF(AC13&gt;=1,G13/AQ13,0),IF(AC13&gt;=1,AO13*AC13,0))</f>
        <v>0</v>
      </c>
      <c r="AF13" s="63">
        <f t="shared" ca="1" si="12"/>
        <v>0</v>
      </c>
      <c r="AG13" s="63">
        <f t="shared" ca="1" si="13"/>
        <v>0</v>
      </c>
      <c r="AH13" s="63">
        <f t="shared" ca="1" si="14"/>
        <v>0</v>
      </c>
      <c r="AI13" s="63">
        <f t="shared" ca="1" si="15"/>
        <v>0</v>
      </c>
      <c r="AJ13" s="63">
        <f t="shared" ca="1" si="16"/>
        <v>0</v>
      </c>
      <c r="AK13" s="63">
        <f t="shared" ca="1" si="17"/>
        <v>0</v>
      </c>
      <c r="AL13" s="63">
        <f ca="1">IF($C13="あり",IF($AD13&gt;=7,N13/$AQ13,0),IF($AD13&gt;=7,$AO13*($AD13-6),0))</f>
        <v>0</v>
      </c>
      <c r="AM13" s="65">
        <f ca="1">IF(C13="あり",O13/AQ13,AP13)</f>
        <v>0</v>
      </c>
      <c r="AN13" s="63">
        <f ca="1">SUM(AE13:AM13)</f>
        <v>0</v>
      </c>
      <c r="AO13" s="68" t="e">
        <f ca="1">1/(AC13+AD13)</f>
        <v>#DIV/0!</v>
      </c>
      <c r="AP13" s="67">
        <v>0</v>
      </c>
      <c r="AQ13" s="68">
        <f ca="1">IF(AC13&gt;=1,G13,0)+SUMIF($H$4:$M$4,"&lt;="&amp;AD13,$H13:$M13)+IF(AD13&gt;=7,N13,0)+O13</f>
        <v>0</v>
      </c>
    </row>
    <row r="14" spans="1:43" x14ac:dyDescent="0.15">
      <c r="G14" s="107"/>
      <c r="H14" s="107"/>
      <c r="I14" s="107"/>
      <c r="J14" s="107"/>
      <c r="K14" s="107"/>
      <c r="L14" s="107"/>
      <c r="M14" s="107"/>
      <c r="N14" s="107"/>
      <c r="O14" s="107"/>
    </row>
    <row r="15" spans="1:43" x14ac:dyDescent="0.15">
      <c r="A15" s="59" t="s">
        <v>183</v>
      </c>
      <c r="B15" s="60">
        <f ca="1">OFFSET(①簡易状況入力!$C$5,MATCH(A15,①簡易状況入力!$C$5:$C$104,0)-1,1)</f>
        <v>0</v>
      </c>
      <c r="C15" s="145">
        <f ca="1">OFFSET(①簡易状況入力!$C$5,MATCH(A15,①簡易状況入力!$C$5:$C$104,0)-1,17)</f>
        <v>0</v>
      </c>
      <c r="D15" s="148" t="s">
        <v>47</v>
      </c>
      <c r="E15" s="56">
        <f ca="1">U18</f>
        <v>0</v>
      </c>
      <c r="F15" s="56">
        <f ca="1">U17</f>
        <v>0</v>
      </c>
      <c r="G15" s="102"/>
      <c r="H15" s="103"/>
      <c r="I15" s="103"/>
      <c r="J15" s="103"/>
      <c r="K15" s="103"/>
      <c r="L15" s="103"/>
      <c r="M15" s="103"/>
      <c r="N15" s="103"/>
      <c r="O15" s="103"/>
      <c r="Q15" s="57">
        <f ca="1">OFFSET(①簡易状況入力!$C$5,MATCH(A15,①簡易状況入力!$C$5:$C$104,0)-1,15)</f>
        <v>0</v>
      </c>
      <c r="R15" s="58"/>
      <c r="S15" s="58"/>
      <c r="T15" s="58"/>
      <c r="U15" s="58"/>
      <c r="V15" s="58"/>
      <c r="W15" s="58"/>
      <c r="X15" s="58"/>
      <c r="Y15" s="58"/>
      <c r="Z15" s="58"/>
      <c r="AA15" s="58"/>
      <c r="AB15" s="148" t="s">
        <v>47</v>
      </c>
      <c r="AC15" s="56">
        <f ca="1">U18</f>
        <v>0</v>
      </c>
      <c r="AD15" s="56">
        <f ca="1">U17</f>
        <v>0</v>
      </c>
      <c r="AE15" s="62" t="s">
        <v>46</v>
      </c>
      <c r="AF15" s="62" t="str">
        <f t="shared" ref="AF15" ca="1" si="22">IF($C15="あり",IF(AF$4&lt;=$AD15,H15,"-"),IF(AF$4&lt;=$AD15,$AO15,"-"))</f>
        <v>-</v>
      </c>
      <c r="AG15" s="62" t="str">
        <f t="shared" ref="AG15" ca="1" si="23">IF($C15="あり",IF(AG$4&lt;=$AD15,I15,"-"),IF(AG$4&lt;=$AD15,$AO15,"-"))</f>
        <v>-</v>
      </c>
      <c r="AH15" s="62" t="str">
        <f t="shared" ref="AH15" ca="1" si="24">IF($C15="あり",IF(AH$4&lt;=$AD15,J15,"-"),IF(AH$4&lt;=$AD15,$AO15,"-"))</f>
        <v>-</v>
      </c>
      <c r="AI15" s="62" t="str">
        <f t="shared" ref="AI15" ca="1" si="25">IF($C15="あり",IF(AI$4&lt;=$AD15,K15,"-"),IF(AI$4&lt;=$AD15,$AO15,"-"))</f>
        <v>-</v>
      </c>
      <c r="AJ15" s="62" t="str">
        <f t="shared" ref="AJ15" ca="1" si="26">IF($C15="あり",IF(AJ$4&lt;=$AD15,L15,"-"),IF(AJ$4&lt;=$AD15,$AO15,"-"))</f>
        <v>-</v>
      </c>
      <c r="AK15" s="62" t="str">
        <f t="shared" ref="AK15" ca="1" si="27">IF($C15="あり",IF(AK$4&lt;=$AD15,M15,"-"),IF(AK$4&lt;=$AD15,$AO15,"-"))</f>
        <v>-</v>
      </c>
      <c r="AL15" s="62" t="str">
        <f ca="1">IF($C15="あり",IF(7&lt;=$AD15,N15,"-"),IF(7&lt;=$AD15,$AO15*($AD15-6),"-"))</f>
        <v>-</v>
      </c>
      <c r="AM15" s="62">
        <f ca="1">IF(C15="あり",O15,AP15)</f>
        <v>0</v>
      </c>
      <c r="AN15" s="62">
        <f ca="1">SUM(U16,AF15:AM15)</f>
        <v>0</v>
      </c>
      <c r="AO15" s="42">
        <f ca="1">OFFSET(【DB】被害率係数!$A$4,MATCH(②詳細状況入力!$Y16,【DB】被害率係数!$A$4:$A$19,0)-1,16)</f>
        <v>0</v>
      </c>
      <c r="AP15" s="42">
        <f ca="1">OFFSET(【DB】被害率係数!$A$4,MATCH(②詳細状況入力!$Y16,【DB】被害率係数!$A$4:$A$19,0)-1,17)</f>
        <v>0</v>
      </c>
      <c r="AQ15" s="42"/>
    </row>
    <row r="16" spans="1:43" x14ac:dyDescent="0.15">
      <c r="A16" s="50"/>
      <c r="B16" s="50"/>
      <c r="C16" s="145">
        <f ca="1">OFFSET(①簡易状況入力!$C$5,MATCH(A15,①簡易状況入力!$C$5:$C$104,0)-1,18)</f>
        <v>0</v>
      </c>
      <c r="D16" s="148" t="s">
        <v>52</v>
      </c>
      <c r="E16" s="56">
        <f t="shared" ref="E16:F16" ca="1" si="28">E15</f>
        <v>0</v>
      </c>
      <c r="F16" s="56">
        <f t="shared" ca="1" si="28"/>
        <v>0</v>
      </c>
      <c r="G16" s="104"/>
      <c r="H16" s="104"/>
      <c r="I16" s="104"/>
      <c r="J16" s="104"/>
      <c r="K16" s="104"/>
      <c r="L16" s="104"/>
      <c r="M16" s="104"/>
      <c r="N16" s="104"/>
      <c r="O16" s="105"/>
      <c r="Q16" s="57">
        <f ca="1">OFFSET(①簡易状況入力!$C$5,MATCH(A15,①簡易状況入力!$C$5:$C$104,0)-1,16)</f>
        <v>0</v>
      </c>
      <c r="R16" s="58"/>
      <c r="S16" s="146" t="s">
        <v>115</v>
      </c>
      <c r="T16" s="146" t="s">
        <v>116</v>
      </c>
      <c r="U16" s="36">
        <f ca="1">OFFSET(①簡易状況入力!$C$5,MATCH(A15,①簡易状況入力!$C$5:$C$104,0)-1,4)</f>
        <v>0</v>
      </c>
      <c r="V16" s="58"/>
      <c r="W16" s="146" t="s">
        <v>30</v>
      </c>
      <c r="X16" s="37">
        <f ca="1">OFFSET(①簡易状況入力!$C$5,MATCH(A15,①簡易状況入力!$C$5:$C$104,0)-1,5)</f>
        <v>0</v>
      </c>
      <c r="Y16" s="149">
        <f ca="1">OFFSET(①簡易状況入力!$C$5,MATCH(A15,①簡易状況入力!$C$5:$C$104,0)-1,8)</f>
        <v>0</v>
      </c>
      <c r="Z16" s="149">
        <f ca="1">OFFSET(①簡易状況入力!$C$5,MATCH(A15,①簡易状況入力!$C$5:$C$104,0)-1,9)</f>
        <v>0</v>
      </c>
      <c r="AA16" s="149">
        <f ca="1">OFFSET(①簡易状況入力!$C$5,MATCH(A15,①簡易状況入力!$C$5:$C$104,0)-1,10)</f>
        <v>0</v>
      </c>
      <c r="AB16" s="148" t="s">
        <v>52</v>
      </c>
      <c r="AC16" s="56">
        <f t="shared" ref="AC16:AD16" ca="1" si="29">AC15</f>
        <v>0</v>
      </c>
      <c r="AD16" s="56">
        <f t="shared" ca="1" si="29"/>
        <v>0</v>
      </c>
      <c r="AE16" s="63">
        <f ca="1">IF($C16="あり",IF(AC16&gt;=1,G16/AQ16,0),IF(AC16&gt;=1,AO16*AC16,0))</f>
        <v>0</v>
      </c>
      <c r="AF16" s="63">
        <f t="shared" ref="AF16:AF18" ca="1" si="30">IF($C16="あり",IF($AD16&gt;=AF$4,H16/$AQ16,0),IF($AD16&gt;=AF$4,$AO16,0))</f>
        <v>0</v>
      </c>
      <c r="AG16" s="63">
        <f t="shared" ref="AG16:AG18" ca="1" si="31">IF($C16="あり",IF($AD16&gt;=AG$4,I16/$AQ16,0),IF($AD16&gt;=AG$4,$AO16,0))</f>
        <v>0</v>
      </c>
      <c r="AH16" s="63">
        <f t="shared" ref="AH16:AH18" ca="1" si="32">IF($C16="あり",IF($AD16&gt;=AH$4,J16/$AQ16,0),IF($AD16&gt;=AH$4,$AO16,0))</f>
        <v>0</v>
      </c>
      <c r="AI16" s="63">
        <f t="shared" ref="AI16:AI18" ca="1" si="33">IF($C16="あり",IF($AD16&gt;=AI$4,K16/$AQ16,0),IF($AD16&gt;=AI$4,$AO16,0))</f>
        <v>0</v>
      </c>
      <c r="AJ16" s="63">
        <f t="shared" ref="AJ16:AJ18" ca="1" si="34">IF($C16="あり",IF($AD16&gt;=AJ$4,L16/$AQ16,0),IF($AD16&gt;=AJ$4,$AO16,0))</f>
        <v>0</v>
      </c>
      <c r="AK16" s="63">
        <f t="shared" ref="AK16:AK18" ca="1" si="35">IF($C16="あり",IF($AD16&gt;=AK$4,M16/$AQ16,0),IF($AD16&gt;=AK$4,$AO16,0))</f>
        <v>0</v>
      </c>
      <c r="AL16" s="63">
        <f ca="1">IF($C16="あり",IF($AD16&gt;=7,N16/$AQ16,0),IF($AD16&gt;=7,$AO16*($AD16-6),0))</f>
        <v>0</v>
      </c>
      <c r="AM16" s="64" t="s">
        <v>46</v>
      </c>
      <c r="AN16" s="63">
        <f ca="1">SUM(AE16:AM16)</f>
        <v>0</v>
      </c>
      <c r="AO16" s="68" t="e">
        <f ca="1">1/(AC16+AD16)</f>
        <v>#DIV/0!</v>
      </c>
      <c r="AP16" s="67">
        <v>0</v>
      </c>
      <c r="AQ16" s="68">
        <f ca="1">IF(AC16&gt;=1,G16,0)+SUMIF($H$4:$M$4,"&lt;="&amp;AD16,$H16:$M16)+IF(AD16&gt;=7,N16,0)</f>
        <v>0</v>
      </c>
    </row>
    <row r="17" spans="1:43" x14ac:dyDescent="0.15">
      <c r="A17" s="50"/>
      <c r="B17" s="50"/>
      <c r="C17" s="145">
        <f ca="1">OFFSET(①簡易状況入力!$C$5,MATCH(A15,①簡易状況入力!$C$5:$C$104,0)-1,19)</f>
        <v>0</v>
      </c>
      <c r="D17" s="148" t="s">
        <v>50</v>
      </c>
      <c r="E17" s="56">
        <f t="shared" ref="E17" ca="1" si="36">E16</f>
        <v>0</v>
      </c>
      <c r="F17" s="56">
        <f ca="1">F16</f>
        <v>0</v>
      </c>
      <c r="G17" s="104"/>
      <c r="H17" s="104"/>
      <c r="I17" s="104"/>
      <c r="J17" s="104"/>
      <c r="K17" s="104"/>
      <c r="L17" s="104"/>
      <c r="M17" s="104"/>
      <c r="N17" s="104"/>
      <c r="O17" s="106"/>
      <c r="Q17" s="50"/>
      <c r="R17" s="58"/>
      <c r="S17" s="165" t="s">
        <v>28</v>
      </c>
      <c r="T17" s="146" t="s">
        <v>35</v>
      </c>
      <c r="U17" s="35">
        <f ca="1">OFFSET(①簡易状況入力!$C$5,MATCH(A15,①簡易状況入力!$C$5:$C$104,0)-1,2)</f>
        <v>0</v>
      </c>
      <c r="V17" s="58"/>
      <c r="W17" s="146" t="s">
        <v>33</v>
      </c>
      <c r="X17" s="37">
        <f ca="1">OFFSET(①簡易状況入力!$C$5,MATCH(A15,①簡易状況入力!$C$5:$C$104,0)-1,6)</f>
        <v>0</v>
      </c>
      <c r="Y17" s="149">
        <f ca="1">OFFSET(①簡易状況入力!$C$5,MATCH(A15,①簡易状況入力!$C$5:$C$104,0)-1,11)</f>
        <v>0</v>
      </c>
      <c r="Z17" s="167">
        <f ca="1">OFFSET(①簡易状況入力!$C$5,MATCH(A15,①簡易状況入力!$C$5:$C$104,0)-1,12)</f>
        <v>0</v>
      </c>
      <c r="AA17" s="168"/>
      <c r="AB17" s="148" t="s">
        <v>50</v>
      </c>
      <c r="AC17" s="56">
        <f t="shared" ref="AC17:AD17" ca="1" si="37">AC16</f>
        <v>0</v>
      </c>
      <c r="AD17" s="56">
        <f t="shared" ca="1" si="37"/>
        <v>0</v>
      </c>
      <c r="AE17" s="63">
        <f ca="1">IF($C17="あり",IF(AC17&gt;=1,G17/AQ17,0),IF(AC17&gt;=1,AO17*AC17,0))</f>
        <v>0</v>
      </c>
      <c r="AF17" s="63">
        <f t="shared" ca="1" si="30"/>
        <v>0</v>
      </c>
      <c r="AG17" s="63">
        <f t="shared" ca="1" si="31"/>
        <v>0</v>
      </c>
      <c r="AH17" s="63">
        <f t="shared" ca="1" si="32"/>
        <v>0</v>
      </c>
      <c r="AI17" s="63">
        <f t="shared" ca="1" si="33"/>
        <v>0</v>
      </c>
      <c r="AJ17" s="63">
        <f t="shared" ca="1" si="34"/>
        <v>0</v>
      </c>
      <c r="AK17" s="63">
        <f t="shared" ca="1" si="35"/>
        <v>0</v>
      </c>
      <c r="AL17" s="63">
        <f ca="1">IF($C17="あり",IF($AD17&gt;=7,N17/$AQ17,0),IF($AD17&gt;=7,$AO17*($AD17-6),0))</f>
        <v>0</v>
      </c>
      <c r="AM17" s="65">
        <f ca="1">IF(C17="あり",O17/AQ17,AP17)</f>
        <v>0</v>
      </c>
      <c r="AN17" s="63">
        <f ca="1">SUM(AE17:AM17)</f>
        <v>0</v>
      </c>
      <c r="AO17" s="68" t="e">
        <f ca="1">1/(AC17+AD17)</f>
        <v>#DIV/0!</v>
      </c>
      <c r="AP17" s="67">
        <v>0</v>
      </c>
      <c r="AQ17" s="68">
        <f ca="1">IF(AC17&gt;=1,G17,0)+SUMIF($H$4:$M$4,"&lt;="&amp;AD17,$H17:$M17)+IF(AD17&gt;=7,N17,0)+O17</f>
        <v>0</v>
      </c>
    </row>
    <row r="18" spans="1:43" x14ac:dyDescent="0.15">
      <c r="A18" s="50"/>
      <c r="B18" s="50"/>
      <c r="C18" s="145">
        <f ca="1">OFFSET(①簡易状況入力!$C$5,MATCH(A15,①簡易状況入力!$C$5:$C$104,0)-1,20)</f>
        <v>0</v>
      </c>
      <c r="D18" s="148" t="s">
        <v>51</v>
      </c>
      <c r="E18" s="56">
        <f t="shared" ref="E18:F18" ca="1" si="38">E17</f>
        <v>0</v>
      </c>
      <c r="F18" s="56">
        <f t="shared" ca="1" si="38"/>
        <v>0</v>
      </c>
      <c r="G18" s="104"/>
      <c r="H18" s="104"/>
      <c r="I18" s="104"/>
      <c r="J18" s="104"/>
      <c r="K18" s="104"/>
      <c r="L18" s="104"/>
      <c r="M18" s="104"/>
      <c r="N18" s="104"/>
      <c r="O18" s="106"/>
      <c r="Q18" s="50"/>
      <c r="R18" s="58"/>
      <c r="S18" s="166"/>
      <c r="T18" s="146" t="s">
        <v>34</v>
      </c>
      <c r="U18" s="35">
        <f ca="1">OFFSET(①簡易状況入力!$C$5,MATCH(A15,①簡易状況入力!$C$5:$C$104,0)-1,3)</f>
        <v>0</v>
      </c>
      <c r="V18" s="58"/>
      <c r="W18" s="146" t="s">
        <v>118</v>
      </c>
      <c r="X18" s="37">
        <f ca="1">OFFSET(①簡易状況入力!$C$5,MATCH(A15,①簡易状況入力!$C$5:$C$104,0)-1,7)</f>
        <v>0</v>
      </c>
      <c r="Y18" s="149">
        <f ca="1">OFFSET(①簡易状況入力!$C$5,MATCH(A15,①簡易状況入力!$C$5:$C$104,0)-1,13)</f>
        <v>0</v>
      </c>
      <c r="Z18" s="167">
        <f ca="1">OFFSET(①簡易状況入力!$C$5,MATCH(A15,①簡易状況入力!$C$5:$C$104,0)-1,14)</f>
        <v>0</v>
      </c>
      <c r="AA18" s="168"/>
      <c r="AB18" s="148" t="s">
        <v>51</v>
      </c>
      <c r="AC18" s="56">
        <f t="shared" ref="AC18:AD18" ca="1" si="39">AC17</f>
        <v>0</v>
      </c>
      <c r="AD18" s="56">
        <f t="shared" ca="1" si="39"/>
        <v>0</v>
      </c>
      <c r="AE18" s="63">
        <f ca="1">IF($C18="あり",IF(AC18&gt;=1,G18/AQ18,0),IF(AC18&gt;=1,AO18*AC18,0))</f>
        <v>0</v>
      </c>
      <c r="AF18" s="63">
        <f t="shared" ca="1" si="30"/>
        <v>0</v>
      </c>
      <c r="AG18" s="63">
        <f t="shared" ca="1" si="31"/>
        <v>0</v>
      </c>
      <c r="AH18" s="63">
        <f t="shared" ca="1" si="32"/>
        <v>0</v>
      </c>
      <c r="AI18" s="63">
        <f t="shared" ca="1" si="33"/>
        <v>0</v>
      </c>
      <c r="AJ18" s="63">
        <f t="shared" ca="1" si="34"/>
        <v>0</v>
      </c>
      <c r="AK18" s="63">
        <f t="shared" ca="1" si="35"/>
        <v>0</v>
      </c>
      <c r="AL18" s="63">
        <f ca="1">IF($C18="あり",IF($AD18&gt;=7,N18/$AQ18,0),IF($AD18&gt;=7,$AO18*($AD18-6),0))</f>
        <v>0</v>
      </c>
      <c r="AM18" s="65">
        <f ca="1">IF(C18="あり",O18/AQ18,AP18)</f>
        <v>0</v>
      </c>
      <c r="AN18" s="63">
        <f ca="1">SUM(AE18:AM18)</f>
        <v>0</v>
      </c>
      <c r="AO18" s="68" t="e">
        <f ca="1">1/(AC18+AD18)</f>
        <v>#DIV/0!</v>
      </c>
      <c r="AP18" s="67">
        <v>0</v>
      </c>
      <c r="AQ18" s="68">
        <f ca="1">IF(AC18&gt;=1,G18,0)+SUMIF($H$4:$M$4,"&lt;="&amp;AD18,$H18:$M18)+IF(AD18&gt;=7,N18,0)+O18</f>
        <v>0</v>
      </c>
    </row>
    <row r="19" spans="1:43" x14ac:dyDescent="0.15">
      <c r="G19" s="107"/>
      <c r="H19" s="107"/>
      <c r="I19" s="107"/>
      <c r="J19" s="107"/>
      <c r="K19" s="107"/>
      <c r="L19" s="107"/>
      <c r="M19" s="107"/>
      <c r="N19" s="107"/>
      <c r="O19" s="107"/>
    </row>
    <row r="20" spans="1:43" x14ac:dyDescent="0.15">
      <c r="A20" s="59" t="s">
        <v>184</v>
      </c>
      <c r="B20" s="60">
        <f ca="1">OFFSET(①簡易状況入力!$C$5,MATCH(A20,①簡易状況入力!$C$5:$C$104,0)-1,1)</f>
        <v>0</v>
      </c>
      <c r="C20" s="145">
        <f ca="1">OFFSET(①簡易状況入力!$C$5,MATCH(A20,①簡易状況入力!$C$5:$C$104,0)-1,17)</f>
        <v>0</v>
      </c>
      <c r="D20" s="148" t="s">
        <v>47</v>
      </c>
      <c r="E20" s="56">
        <f ca="1">U23</f>
        <v>0</v>
      </c>
      <c r="F20" s="56">
        <f ca="1">U22</f>
        <v>0</v>
      </c>
      <c r="G20" s="102"/>
      <c r="H20" s="103"/>
      <c r="I20" s="103"/>
      <c r="J20" s="103"/>
      <c r="K20" s="103"/>
      <c r="L20" s="103"/>
      <c r="M20" s="103"/>
      <c r="N20" s="103"/>
      <c r="O20" s="103"/>
      <c r="Q20" s="57">
        <f ca="1">OFFSET(①簡易状況入力!$C$5,MATCH(A20,①簡易状況入力!$C$5:$C$104,0)-1,15)</f>
        <v>0</v>
      </c>
      <c r="R20" s="58"/>
      <c r="S20" s="58"/>
      <c r="T20" s="58"/>
      <c r="U20" s="58"/>
      <c r="V20" s="58"/>
      <c r="W20" s="58"/>
      <c r="X20" s="58"/>
      <c r="Y20" s="58"/>
      <c r="Z20" s="58"/>
      <c r="AA20" s="58"/>
      <c r="AB20" s="148" t="s">
        <v>47</v>
      </c>
      <c r="AC20" s="56">
        <f ca="1">U23</f>
        <v>0</v>
      </c>
      <c r="AD20" s="56">
        <f ca="1">U22</f>
        <v>0</v>
      </c>
      <c r="AE20" s="62" t="s">
        <v>46</v>
      </c>
      <c r="AF20" s="62" t="str">
        <f t="shared" ref="AF20" ca="1" si="40">IF($C20="あり",IF(AF$4&lt;=$AD20,H20,"-"),IF(AF$4&lt;=$AD20,$AO20,"-"))</f>
        <v>-</v>
      </c>
      <c r="AG20" s="62" t="str">
        <f t="shared" ref="AG20" ca="1" si="41">IF($C20="あり",IF(AG$4&lt;=$AD20,I20,"-"),IF(AG$4&lt;=$AD20,$AO20,"-"))</f>
        <v>-</v>
      </c>
      <c r="AH20" s="62" t="str">
        <f t="shared" ref="AH20" ca="1" si="42">IF($C20="あり",IF(AH$4&lt;=$AD20,J20,"-"),IF(AH$4&lt;=$AD20,$AO20,"-"))</f>
        <v>-</v>
      </c>
      <c r="AI20" s="62" t="str">
        <f t="shared" ref="AI20" ca="1" si="43">IF($C20="あり",IF(AI$4&lt;=$AD20,K20,"-"),IF(AI$4&lt;=$AD20,$AO20,"-"))</f>
        <v>-</v>
      </c>
      <c r="AJ20" s="62" t="str">
        <f t="shared" ref="AJ20" ca="1" si="44">IF($C20="あり",IF(AJ$4&lt;=$AD20,L20,"-"),IF(AJ$4&lt;=$AD20,$AO20,"-"))</f>
        <v>-</v>
      </c>
      <c r="AK20" s="62" t="str">
        <f t="shared" ref="AK20" ca="1" si="45">IF($C20="あり",IF(AK$4&lt;=$AD20,M20,"-"),IF(AK$4&lt;=$AD20,$AO20,"-"))</f>
        <v>-</v>
      </c>
      <c r="AL20" s="62" t="str">
        <f ca="1">IF($C20="あり",IF(7&lt;=$AD20,N20,"-"),IF(7&lt;=$AD20,$AO20*($AD20-6),"-"))</f>
        <v>-</v>
      </c>
      <c r="AM20" s="62">
        <f ca="1">IF(C20="あり",O20,AP20)</f>
        <v>0</v>
      </c>
      <c r="AN20" s="62">
        <f ca="1">SUM(U21,AF20:AM20)</f>
        <v>0</v>
      </c>
      <c r="AO20" s="42">
        <f ca="1">OFFSET(【DB】被害率係数!$A$4,MATCH(②詳細状況入力!$Y21,【DB】被害率係数!$A$4:$A$19,0)-1,16)</f>
        <v>0</v>
      </c>
      <c r="AP20" s="42">
        <f ca="1">OFFSET(【DB】被害率係数!$A$4,MATCH(②詳細状況入力!$Y21,【DB】被害率係数!$A$4:$A$19,0)-1,17)</f>
        <v>0</v>
      </c>
      <c r="AQ20" s="42"/>
    </row>
    <row r="21" spans="1:43" x14ac:dyDescent="0.15">
      <c r="A21" s="50"/>
      <c r="B21" s="50"/>
      <c r="C21" s="145">
        <f ca="1">OFFSET(①簡易状況入力!$C$5,MATCH(A20,①簡易状況入力!$C$5:$C$104,0)-1,18)</f>
        <v>0</v>
      </c>
      <c r="D21" s="148" t="s">
        <v>52</v>
      </c>
      <c r="E21" s="56">
        <f t="shared" ref="E21:F21" ca="1" si="46">E20</f>
        <v>0</v>
      </c>
      <c r="F21" s="56">
        <f t="shared" ca="1" si="46"/>
        <v>0</v>
      </c>
      <c r="G21" s="104"/>
      <c r="H21" s="104"/>
      <c r="I21" s="104"/>
      <c r="J21" s="104"/>
      <c r="K21" s="104"/>
      <c r="L21" s="104"/>
      <c r="M21" s="104"/>
      <c r="N21" s="104"/>
      <c r="O21" s="105"/>
      <c r="Q21" s="57">
        <f ca="1">OFFSET(①簡易状況入力!$C$5,MATCH(A20,①簡易状況入力!$C$5:$C$104,0)-1,16)</f>
        <v>0</v>
      </c>
      <c r="R21" s="58"/>
      <c r="S21" s="146" t="s">
        <v>115</v>
      </c>
      <c r="T21" s="146" t="s">
        <v>116</v>
      </c>
      <c r="U21" s="36">
        <f ca="1">OFFSET(①簡易状況入力!$C$5,MATCH(A20,①簡易状況入力!$C$5:$C$104,0)-1,4)</f>
        <v>0</v>
      </c>
      <c r="V21" s="58"/>
      <c r="W21" s="146" t="s">
        <v>30</v>
      </c>
      <c r="X21" s="37">
        <f ca="1">OFFSET(①簡易状況入力!$C$5,MATCH(A20,①簡易状況入力!$C$5:$C$104,0)-1,5)</f>
        <v>0</v>
      </c>
      <c r="Y21" s="149">
        <f ca="1">OFFSET(①簡易状況入力!$C$5,MATCH(A20,①簡易状況入力!$C$5:$C$104,0)-1,8)</f>
        <v>0</v>
      </c>
      <c r="Z21" s="149">
        <f ca="1">OFFSET(①簡易状況入力!$C$5,MATCH(A20,①簡易状況入力!$C$5:$C$104,0)-1,9)</f>
        <v>0</v>
      </c>
      <c r="AA21" s="149">
        <f ca="1">OFFSET(①簡易状況入力!$C$5,MATCH(A20,①簡易状況入力!$C$5:$C$104,0)-1,10)</f>
        <v>0</v>
      </c>
      <c r="AB21" s="148" t="s">
        <v>52</v>
      </c>
      <c r="AC21" s="56">
        <f t="shared" ref="AC21:AD21" ca="1" si="47">AC20</f>
        <v>0</v>
      </c>
      <c r="AD21" s="56">
        <f t="shared" ca="1" si="47"/>
        <v>0</v>
      </c>
      <c r="AE21" s="63">
        <f ca="1">IF($C21="あり",IF(AC21&gt;=1,G21/AQ21,0),IF(AC21&gt;=1,AO21*AC21,0))</f>
        <v>0</v>
      </c>
      <c r="AF21" s="63">
        <f t="shared" ref="AF21:AF23" ca="1" si="48">IF($C21="あり",IF($AD21&gt;=AF$4,H21/$AQ21,0),IF($AD21&gt;=AF$4,$AO21,0))</f>
        <v>0</v>
      </c>
      <c r="AG21" s="63">
        <f t="shared" ref="AG21:AG23" ca="1" si="49">IF($C21="あり",IF($AD21&gt;=AG$4,I21/$AQ21,0),IF($AD21&gt;=AG$4,$AO21,0))</f>
        <v>0</v>
      </c>
      <c r="AH21" s="63">
        <f t="shared" ref="AH21:AH23" ca="1" si="50">IF($C21="あり",IF($AD21&gt;=AH$4,J21/$AQ21,0),IF($AD21&gt;=AH$4,$AO21,0))</f>
        <v>0</v>
      </c>
      <c r="AI21" s="63">
        <f t="shared" ref="AI21:AI23" ca="1" si="51">IF($C21="あり",IF($AD21&gt;=AI$4,K21/$AQ21,0),IF($AD21&gt;=AI$4,$AO21,0))</f>
        <v>0</v>
      </c>
      <c r="AJ21" s="63">
        <f t="shared" ref="AJ21:AJ23" ca="1" si="52">IF($C21="あり",IF($AD21&gt;=AJ$4,L21/$AQ21,0),IF($AD21&gt;=AJ$4,$AO21,0))</f>
        <v>0</v>
      </c>
      <c r="AK21" s="63">
        <f t="shared" ref="AK21:AK23" ca="1" si="53">IF($C21="あり",IF($AD21&gt;=AK$4,M21/$AQ21,0),IF($AD21&gt;=AK$4,$AO21,0))</f>
        <v>0</v>
      </c>
      <c r="AL21" s="63">
        <f ca="1">IF($C21="あり",IF($AD21&gt;=7,N21/$AQ21,0),IF($AD21&gt;=7,$AO21*($AD21-6),0))</f>
        <v>0</v>
      </c>
      <c r="AM21" s="64" t="s">
        <v>46</v>
      </c>
      <c r="AN21" s="63">
        <f ca="1">SUM(AE21:AM21)</f>
        <v>0</v>
      </c>
      <c r="AO21" s="68" t="e">
        <f ca="1">1/(AC21+AD21)</f>
        <v>#DIV/0!</v>
      </c>
      <c r="AP21" s="67">
        <v>0</v>
      </c>
      <c r="AQ21" s="68">
        <f ca="1">IF(AC21&gt;=1,G21,0)+SUMIF($H$4:$M$4,"&lt;="&amp;AD21,$H21:$M21)+IF(AD21&gt;=7,N21,0)</f>
        <v>0</v>
      </c>
    </row>
    <row r="22" spans="1:43" x14ac:dyDescent="0.15">
      <c r="A22" s="50"/>
      <c r="B22" s="50"/>
      <c r="C22" s="145">
        <f ca="1">OFFSET(①簡易状況入力!$C$5,MATCH(A20,①簡易状況入力!$C$5:$C$104,0)-1,19)</f>
        <v>0</v>
      </c>
      <c r="D22" s="148" t="s">
        <v>50</v>
      </c>
      <c r="E22" s="56">
        <f t="shared" ref="E22" ca="1" si="54">E21</f>
        <v>0</v>
      </c>
      <c r="F22" s="56">
        <f ca="1">F21</f>
        <v>0</v>
      </c>
      <c r="G22" s="104"/>
      <c r="H22" s="104"/>
      <c r="I22" s="104"/>
      <c r="J22" s="104"/>
      <c r="K22" s="104"/>
      <c r="L22" s="104"/>
      <c r="M22" s="104"/>
      <c r="N22" s="104"/>
      <c r="O22" s="106"/>
      <c r="Q22" s="50"/>
      <c r="R22" s="58"/>
      <c r="S22" s="165" t="s">
        <v>28</v>
      </c>
      <c r="T22" s="146" t="s">
        <v>35</v>
      </c>
      <c r="U22" s="35">
        <f ca="1">OFFSET(①簡易状況入力!$C$5,MATCH(A20,①簡易状況入力!$C$5:$C$104,0)-1,2)</f>
        <v>0</v>
      </c>
      <c r="V22" s="58"/>
      <c r="W22" s="146" t="s">
        <v>33</v>
      </c>
      <c r="X22" s="37">
        <f ca="1">OFFSET(①簡易状況入力!$C$5,MATCH(A20,①簡易状況入力!$C$5:$C$104,0)-1,6)</f>
        <v>0</v>
      </c>
      <c r="Y22" s="149">
        <f ca="1">OFFSET(①簡易状況入力!$C$5,MATCH(A20,①簡易状況入力!$C$5:$C$104,0)-1,11)</f>
        <v>0</v>
      </c>
      <c r="Z22" s="167">
        <f ca="1">OFFSET(①簡易状況入力!$C$5,MATCH(A20,①簡易状況入力!$C$5:$C$104,0)-1,12)</f>
        <v>0</v>
      </c>
      <c r="AA22" s="168"/>
      <c r="AB22" s="148" t="s">
        <v>50</v>
      </c>
      <c r="AC22" s="56">
        <f t="shared" ref="AC22:AD22" ca="1" si="55">AC21</f>
        <v>0</v>
      </c>
      <c r="AD22" s="56">
        <f t="shared" ca="1" si="55"/>
        <v>0</v>
      </c>
      <c r="AE22" s="63">
        <f ca="1">IF($C22="あり",IF(AC22&gt;=1,G22/AQ22,0),IF(AC22&gt;=1,AO22*AC22,0))</f>
        <v>0</v>
      </c>
      <c r="AF22" s="63">
        <f t="shared" ca="1" si="48"/>
        <v>0</v>
      </c>
      <c r="AG22" s="63">
        <f t="shared" ca="1" si="49"/>
        <v>0</v>
      </c>
      <c r="AH22" s="63">
        <f t="shared" ca="1" si="50"/>
        <v>0</v>
      </c>
      <c r="AI22" s="63">
        <f t="shared" ca="1" si="51"/>
        <v>0</v>
      </c>
      <c r="AJ22" s="63">
        <f t="shared" ca="1" si="52"/>
        <v>0</v>
      </c>
      <c r="AK22" s="63">
        <f t="shared" ca="1" si="53"/>
        <v>0</v>
      </c>
      <c r="AL22" s="63">
        <f ca="1">IF($C22="あり",IF($AD22&gt;=7,N22/$AQ22,0),IF($AD22&gt;=7,$AO22*($AD22-6),0))</f>
        <v>0</v>
      </c>
      <c r="AM22" s="65">
        <f ca="1">IF(C22="あり",O22/AQ22,AP22)</f>
        <v>0</v>
      </c>
      <c r="AN22" s="63">
        <f ca="1">SUM(AE22:AM22)</f>
        <v>0</v>
      </c>
      <c r="AO22" s="68" t="e">
        <f ca="1">1/(AC22+AD22)</f>
        <v>#DIV/0!</v>
      </c>
      <c r="AP22" s="67">
        <v>0</v>
      </c>
      <c r="AQ22" s="68">
        <f ca="1">IF(AC22&gt;=1,G22,0)+SUMIF($H$4:$M$4,"&lt;="&amp;AD22,$H22:$M22)+IF(AD22&gt;=7,N22,0)+O22</f>
        <v>0</v>
      </c>
    </row>
    <row r="23" spans="1:43" x14ac:dyDescent="0.15">
      <c r="A23" s="50"/>
      <c r="B23" s="50"/>
      <c r="C23" s="145">
        <f ca="1">OFFSET(①簡易状況入力!$C$5,MATCH(A20,①簡易状況入力!$C$5:$C$104,0)-1,20)</f>
        <v>0</v>
      </c>
      <c r="D23" s="148" t="s">
        <v>51</v>
      </c>
      <c r="E23" s="56">
        <f t="shared" ref="E23:F23" ca="1" si="56">E22</f>
        <v>0</v>
      </c>
      <c r="F23" s="56">
        <f t="shared" ca="1" si="56"/>
        <v>0</v>
      </c>
      <c r="G23" s="104"/>
      <c r="H23" s="104"/>
      <c r="I23" s="104"/>
      <c r="J23" s="104"/>
      <c r="K23" s="104"/>
      <c r="L23" s="104"/>
      <c r="M23" s="104"/>
      <c r="N23" s="104"/>
      <c r="O23" s="106"/>
      <c r="Q23" s="50"/>
      <c r="R23" s="58"/>
      <c r="S23" s="166"/>
      <c r="T23" s="146" t="s">
        <v>34</v>
      </c>
      <c r="U23" s="35">
        <f ca="1">OFFSET(①簡易状況入力!$C$5,MATCH(A20,①簡易状況入力!$C$5:$C$104,0)-1,3)</f>
        <v>0</v>
      </c>
      <c r="V23" s="58"/>
      <c r="W23" s="146" t="s">
        <v>118</v>
      </c>
      <c r="X23" s="37">
        <f ca="1">OFFSET(①簡易状況入力!$C$5,MATCH(A20,①簡易状況入力!$C$5:$C$104,0)-1,7)</f>
        <v>0</v>
      </c>
      <c r="Y23" s="149">
        <f ca="1">OFFSET(①簡易状況入力!$C$5,MATCH(A20,①簡易状況入力!$C$5:$C$104,0)-1,13)</f>
        <v>0</v>
      </c>
      <c r="Z23" s="167">
        <f ca="1">OFFSET(①簡易状況入力!$C$5,MATCH(A20,①簡易状況入力!$C$5:$C$104,0)-1,14)</f>
        <v>0</v>
      </c>
      <c r="AA23" s="168"/>
      <c r="AB23" s="148" t="s">
        <v>51</v>
      </c>
      <c r="AC23" s="56">
        <f t="shared" ref="AC23:AD23" ca="1" si="57">AC22</f>
        <v>0</v>
      </c>
      <c r="AD23" s="56">
        <f t="shared" ca="1" si="57"/>
        <v>0</v>
      </c>
      <c r="AE23" s="63">
        <f ca="1">IF($C23="あり",IF(AC23&gt;=1,G23/AQ23,0),IF(AC23&gt;=1,AO23*AC23,0))</f>
        <v>0</v>
      </c>
      <c r="AF23" s="63">
        <f t="shared" ca="1" si="48"/>
        <v>0</v>
      </c>
      <c r="AG23" s="63">
        <f t="shared" ca="1" si="49"/>
        <v>0</v>
      </c>
      <c r="AH23" s="63">
        <f t="shared" ca="1" si="50"/>
        <v>0</v>
      </c>
      <c r="AI23" s="63">
        <f t="shared" ca="1" si="51"/>
        <v>0</v>
      </c>
      <c r="AJ23" s="63">
        <f t="shared" ca="1" si="52"/>
        <v>0</v>
      </c>
      <c r="AK23" s="63">
        <f t="shared" ca="1" si="53"/>
        <v>0</v>
      </c>
      <c r="AL23" s="63">
        <f ca="1">IF($C23="あり",IF($AD23&gt;=7,N23/$AQ23,0),IF($AD23&gt;=7,$AO23*($AD23-6),0))</f>
        <v>0</v>
      </c>
      <c r="AM23" s="65">
        <f ca="1">IF(C23="あり",O23/AQ23,AP23)</f>
        <v>0</v>
      </c>
      <c r="AN23" s="63">
        <f ca="1">SUM(AE23:AM23)</f>
        <v>0</v>
      </c>
      <c r="AO23" s="68" t="e">
        <f ca="1">1/(AC23+AD23)</f>
        <v>#DIV/0!</v>
      </c>
      <c r="AP23" s="67">
        <v>0</v>
      </c>
      <c r="AQ23" s="68">
        <f ca="1">IF(AC23&gt;=1,G23,0)+SUMIF($H$4:$M$4,"&lt;="&amp;AD23,$H23:$M23)+IF(AD23&gt;=7,N23,0)+O23</f>
        <v>0</v>
      </c>
    </row>
    <row r="24" spans="1:43" ht="13.5" customHeight="1" x14ac:dyDescent="0.15">
      <c r="G24" s="107"/>
      <c r="H24" s="107"/>
      <c r="I24" s="107"/>
      <c r="J24" s="107"/>
      <c r="K24" s="107"/>
      <c r="L24" s="107"/>
      <c r="M24" s="107"/>
      <c r="N24" s="107"/>
      <c r="O24" s="107"/>
    </row>
    <row r="25" spans="1:43" x14ac:dyDescent="0.15">
      <c r="A25" s="59" t="s">
        <v>185</v>
      </c>
      <c r="B25" s="60">
        <f ca="1">OFFSET(①簡易状況入力!$C$5,MATCH(A25,①簡易状況入力!$C$5:$C$104,0)-1,1)</f>
        <v>0</v>
      </c>
      <c r="C25" s="145">
        <f ca="1">OFFSET(①簡易状況入力!$C$5,MATCH(A25,①簡易状況入力!$C$5:$C$104,0)-1,17)</f>
        <v>0</v>
      </c>
      <c r="D25" s="148" t="s">
        <v>47</v>
      </c>
      <c r="E25" s="56">
        <f ca="1">U28</f>
        <v>0</v>
      </c>
      <c r="F25" s="56">
        <f ca="1">U27</f>
        <v>0</v>
      </c>
      <c r="G25" s="102"/>
      <c r="H25" s="103"/>
      <c r="I25" s="103"/>
      <c r="J25" s="103"/>
      <c r="K25" s="103"/>
      <c r="L25" s="103"/>
      <c r="M25" s="103"/>
      <c r="N25" s="103"/>
      <c r="O25" s="103"/>
      <c r="Q25" s="57">
        <f ca="1">OFFSET(①簡易状況入力!$C$5,MATCH(A25,①簡易状況入力!$C$5:$C$104,0)-1,15)</f>
        <v>0</v>
      </c>
      <c r="R25" s="58"/>
      <c r="S25" s="58"/>
      <c r="T25" s="58"/>
      <c r="U25" s="58"/>
      <c r="V25" s="58"/>
      <c r="W25" s="58"/>
      <c r="X25" s="58"/>
      <c r="Y25" s="58"/>
      <c r="Z25" s="58"/>
      <c r="AA25" s="58"/>
      <c r="AB25" s="148" t="s">
        <v>47</v>
      </c>
      <c r="AC25" s="56">
        <f ca="1">U28</f>
        <v>0</v>
      </c>
      <c r="AD25" s="56">
        <f ca="1">U27</f>
        <v>0</v>
      </c>
      <c r="AE25" s="62" t="s">
        <v>46</v>
      </c>
      <c r="AF25" s="62" t="str">
        <f t="shared" ref="AF25" ca="1" si="58">IF($C25="あり",IF(AF$4&lt;=$AD25,H25,"-"),IF(AF$4&lt;=$AD25,$AO25,"-"))</f>
        <v>-</v>
      </c>
      <c r="AG25" s="62" t="str">
        <f t="shared" ref="AG25" ca="1" si="59">IF($C25="あり",IF(AG$4&lt;=$AD25,I25,"-"),IF(AG$4&lt;=$AD25,$AO25,"-"))</f>
        <v>-</v>
      </c>
      <c r="AH25" s="62" t="str">
        <f t="shared" ref="AH25" ca="1" si="60">IF($C25="あり",IF(AH$4&lt;=$AD25,J25,"-"),IF(AH$4&lt;=$AD25,$AO25,"-"))</f>
        <v>-</v>
      </c>
      <c r="AI25" s="62" t="str">
        <f t="shared" ref="AI25" ca="1" si="61">IF($C25="あり",IF(AI$4&lt;=$AD25,K25,"-"),IF(AI$4&lt;=$AD25,$AO25,"-"))</f>
        <v>-</v>
      </c>
      <c r="AJ25" s="62" t="str">
        <f t="shared" ref="AJ25" ca="1" si="62">IF($C25="あり",IF(AJ$4&lt;=$AD25,L25,"-"),IF(AJ$4&lt;=$AD25,$AO25,"-"))</f>
        <v>-</v>
      </c>
      <c r="AK25" s="62" t="str">
        <f t="shared" ref="AK25" ca="1" si="63">IF($C25="あり",IF(AK$4&lt;=$AD25,M25,"-"),IF(AK$4&lt;=$AD25,$AO25,"-"))</f>
        <v>-</v>
      </c>
      <c r="AL25" s="62" t="str">
        <f ca="1">IF($C25="あり",IF(7&lt;=$AD25,N25,"-"),IF(7&lt;=$AD25,$AO25*($AD25-6),"-"))</f>
        <v>-</v>
      </c>
      <c r="AM25" s="62">
        <f ca="1">IF(C25="あり",O25,AP25)</f>
        <v>0</v>
      </c>
      <c r="AN25" s="62">
        <f ca="1">SUM(U26,AF25:AM25)</f>
        <v>0</v>
      </c>
      <c r="AO25" s="42">
        <f ca="1">OFFSET(【DB】被害率係数!$A$4,MATCH(②詳細状況入力!$Y26,【DB】被害率係数!$A$4:$A$19,0)-1,16)</f>
        <v>0</v>
      </c>
      <c r="AP25" s="42">
        <f ca="1">OFFSET(【DB】被害率係数!$A$4,MATCH(②詳細状況入力!$Y26,【DB】被害率係数!$A$4:$A$19,0)-1,17)</f>
        <v>0</v>
      </c>
      <c r="AQ25" s="42"/>
    </row>
    <row r="26" spans="1:43" x14ac:dyDescent="0.15">
      <c r="A26" s="50"/>
      <c r="B26" s="50"/>
      <c r="C26" s="145">
        <f ca="1">OFFSET(①簡易状況入力!$C$5,MATCH(A25,①簡易状況入力!$C$5:$C$104,0)-1,18)</f>
        <v>0</v>
      </c>
      <c r="D26" s="148" t="s">
        <v>52</v>
      </c>
      <c r="E26" s="56">
        <f t="shared" ref="E26:F26" ca="1" si="64">E25</f>
        <v>0</v>
      </c>
      <c r="F26" s="56">
        <f t="shared" ca="1" si="64"/>
        <v>0</v>
      </c>
      <c r="G26" s="104"/>
      <c r="H26" s="104"/>
      <c r="I26" s="104"/>
      <c r="J26" s="104"/>
      <c r="K26" s="104"/>
      <c r="L26" s="104"/>
      <c r="M26" s="104"/>
      <c r="N26" s="104"/>
      <c r="O26" s="105"/>
      <c r="Q26" s="57">
        <f ca="1">OFFSET(①簡易状況入力!$C$5,MATCH(A25,①簡易状況入力!$C$5:$C$104,0)-1,16)</f>
        <v>0</v>
      </c>
      <c r="R26" s="58"/>
      <c r="S26" s="146" t="s">
        <v>115</v>
      </c>
      <c r="T26" s="146" t="s">
        <v>116</v>
      </c>
      <c r="U26" s="36">
        <f ca="1">OFFSET(①簡易状況入力!$C$5,MATCH(A25,①簡易状況入力!$C$5:$C$104,0)-1,4)</f>
        <v>0</v>
      </c>
      <c r="V26" s="58"/>
      <c r="W26" s="146" t="s">
        <v>30</v>
      </c>
      <c r="X26" s="37">
        <f ca="1">OFFSET(①簡易状況入力!$C$5,MATCH(A25,①簡易状況入力!$C$5:$C$104,0)-1,5)</f>
        <v>0</v>
      </c>
      <c r="Y26" s="149">
        <f ca="1">OFFSET(①簡易状況入力!$C$5,MATCH(A25,①簡易状況入力!$C$5:$C$104,0)-1,8)</f>
        <v>0</v>
      </c>
      <c r="Z26" s="149">
        <f ca="1">OFFSET(①簡易状況入力!$C$5,MATCH(A25,①簡易状況入力!$C$5:$C$104,0)-1,9)</f>
        <v>0</v>
      </c>
      <c r="AA26" s="149">
        <f ca="1">OFFSET(①簡易状況入力!$C$5,MATCH(A25,①簡易状況入力!$C$5:$C$104,0)-1,10)</f>
        <v>0</v>
      </c>
      <c r="AB26" s="148" t="s">
        <v>52</v>
      </c>
      <c r="AC26" s="56">
        <f t="shared" ref="AC26:AD26" ca="1" si="65">AC25</f>
        <v>0</v>
      </c>
      <c r="AD26" s="56">
        <f t="shared" ca="1" si="65"/>
        <v>0</v>
      </c>
      <c r="AE26" s="63">
        <f ca="1">IF($C26="あり",IF(AC26&gt;=1,G26/AQ26,0),IF(AC26&gt;=1,AO26*AC26,0))</f>
        <v>0</v>
      </c>
      <c r="AF26" s="63">
        <f t="shared" ref="AF26:AF28" ca="1" si="66">IF($C26="あり",IF($AD26&gt;=AF$4,H26/$AQ26,0),IF($AD26&gt;=AF$4,$AO26,0))</f>
        <v>0</v>
      </c>
      <c r="AG26" s="63">
        <f t="shared" ref="AG26:AG28" ca="1" si="67">IF($C26="あり",IF($AD26&gt;=AG$4,I26/$AQ26,0),IF($AD26&gt;=AG$4,$AO26,0))</f>
        <v>0</v>
      </c>
      <c r="AH26" s="63">
        <f t="shared" ref="AH26:AH28" ca="1" si="68">IF($C26="あり",IF($AD26&gt;=AH$4,J26/$AQ26,0),IF($AD26&gt;=AH$4,$AO26,0))</f>
        <v>0</v>
      </c>
      <c r="AI26" s="63">
        <f t="shared" ref="AI26:AI28" ca="1" si="69">IF($C26="あり",IF($AD26&gt;=AI$4,K26/$AQ26,0),IF($AD26&gt;=AI$4,$AO26,0))</f>
        <v>0</v>
      </c>
      <c r="AJ26" s="63">
        <f t="shared" ref="AJ26:AJ28" ca="1" si="70">IF($C26="あり",IF($AD26&gt;=AJ$4,L26/$AQ26,0),IF($AD26&gt;=AJ$4,$AO26,0))</f>
        <v>0</v>
      </c>
      <c r="AK26" s="63">
        <f t="shared" ref="AK26:AK28" ca="1" si="71">IF($C26="あり",IF($AD26&gt;=AK$4,M26/$AQ26,0),IF($AD26&gt;=AK$4,$AO26,0))</f>
        <v>0</v>
      </c>
      <c r="AL26" s="63">
        <f ca="1">IF($C26="あり",IF($AD26&gt;=7,N26/$AQ26,0),IF($AD26&gt;=7,$AO26*($AD26-6),0))</f>
        <v>0</v>
      </c>
      <c r="AM26" s="64" t="s">
        <v>46</v>
      </c>
      <c r="AN26" s="63">
        <f ca="1">SUM(AE26:AM26)</f>
        <v>0</v>
      </c>
      <c r="AO26" s="68" t="e">
        <f ca="1">1/(AC26+AD26)</f>
        <v>#DIV/0!</v>
      </c>
      <c r="AP26" s="67">
        <v>0</v>
      </c>
      <c r="AQ26" s="68">
        <f ca="1">IF(AC26&gt;=1,G26,0)+SUMIF($H$4:$M$4,"&lt;="&amp;AD26,$H26:$M26)+IF(AD26&gt;=7,N26,0)</f>
        <v>0</v>
      </c>
    </row>
    <row r="27" spans="1:43" x14ac:dyDescent="0.15">
      <c r="A27" s="50"/>
      <c r="B27" s="50"/>
      <c r="C27" s="145">
        <f ca="1">OFFSET(①簡易状況入力!$C$5,MATCH(A25,①簡易状況入力!$C$5:$C$104,0)-1,19)</f>
        <v>0</v>
      </c>
      <c r="D27" s="148" t="s">
        <v>50</v>
      </c>
      <c r="E27" s="56">
        <f t="shared" ref="E27" ca="1" si="72">E26</f>
        <v>0</v>
      </c>
      <c r="F27" s="56">
        <f ca="1">F26</f>
        <v>0</v>
      </c>
      <c r="G27" s="104"/>
      <c r="H27" s="104"/>
      <c r="I27" s="104"/>
      <c r="J27" s="104"/>
      <c r="K27" s="104"/>
      <c r="L27" s="104"/>
      <c r="M27" s="104"/>
      <c r="N27" s="104"/>
      <c r="O27" s="106"/>
      <c r="Q27" s="50"/>
      <c r="R27" s="58"/>
      <c r="S27" s="165" t="s">
        <v>28</v>
      </c>
      <c r="T27" s="146" t="s">
        <v>35</v>
      </c>
      <c r="U27" s="35">
        <f ca="1">OFFSET(①簡易状況入力!$C$5,MATCH(A25,①簡易状況入力!$C$5:$C$104,0)-1,2)</f>
        <v>0</v>
      </c>
      <c r="V27" s="58"/>
      <c r="W27" s="146" t="s">
        <v>33</v>
      </c>
      <c r="X27" s="37">
        <f ca="1">OFFSET(①簡易状況入力!$C$5,MATCH(A25,①簡易状況入力!$C$5:$C$104,0)-1,6)</f>
        <v>0</v>
      </c>
      <c r="Y27" s="149">
        <f ca="1">OFFSET(①簡易状況入力!$C$5,MATCH(A25,①簡易状況入力!$C$5:$C$104,0)-1,11)</f>
        <v>0</v>
      </c>
      <c r="Z27" s="167">
        <f ca="1">OFFSET(①簡易状況入力!$C$5,MATCH(A25,①簡易状況入力!$C$5:$C$104,0)-1,12)</f>
        <v>0</v>
      </c>
      <c r="AA27" s="168"/>
      <c r="AB27" s="148" t="s">
        <v>50</v>
      </c>
      <c r="AC27" s="56">
        <f t="shared" ref="AC27:AD27" ca="1" si="73">AC26</f>
        <v>0</v>
      </c>
      <c r="AD27" s="56">
        <f t="shared" ca="1" si="73"/>
        <v>0</v>
      </c>
      <c r="AE27" s="63">
        <f ca="1">IF($C27="あり",IF(AC27&gt;=1,G27/AQ27,0),IF(AC27&gt;=1,AO27*AC27,0))</f>
        <v>0</v>
      </c>
      <c r="AF27" s="63">
        <f t="shared" ca="1" si="66"/>
        <v>0</v>
      </c>
      <c r="AG27" s="63">
        <f t="shared" ca="1" si="67"/>
        <v>0</v>
      </c>
      <c r="AH27" s="63">
        <f t="shared" ca="1" si="68"/>
        <v>0</v>
      </c>
      <c r="AI27" s="63">
        <f t="shared" ca="1" si="69"/>
        <v>0</v>
      </c>
      <c r="AJ27" s="63">
        <f t="shared" ca="1" si="70"/>
        <v>0</v>
      </c>
      <c r="AK27" s="63">
        <f t="shared" ca="1" si="71"/>
        <v>0</v>
      </c>
      <c r="AL27" s="63">
        <f ca="1">IF($C27="あり",IF($AD27&gt;=7,N27/$AQ27,0),IF($AD27&gt;=7,$AO27*($AD27-6),0))</f>
        <v>0</v>
      </c>
      <c r="AM27" s="65">
        <f ca="1">IF(C27="あり",O27/AQ27,AP27)</f>
        <v>0</v>
      </c>
      <c r="AN27" s="63">
        <f ca="1">SUM(AE27:AM27)</f>
        <v>0</v>
      </c>
      <c r="AO27" s="68" t="e">
        <f ca="1">1/(AC27+AD27)</f>
        <v>#DIV/0!</v>
      </c>
      <c r="AP27" s="67">
        <v>0</v>
      </c>
      <c r="AQ27" s="68">
        <f ca="1">IF(AC27&gt;=1,G27,0)+SUMIF($H$4:$M$4,"&lt;="&amp;AD27,$H27:$M27)+IF(AD27&gt;=7,N27,0)+O27</f>
        <v>0</v>
      </c>
    </row>
    <row r="28" spans="1:43" x14ac:dyDescent="0.15">
      <c r="A28" s="50"/>
      <c r="B28" s="50"/>
      <c r="C28" s="145">
        <f ca="1">OFFSET(①簡易状況入力!$C$5,MATCH(A25,①簡易状況入力!$C$5:$C$104,0)-1,20)</f>
        <v>0</v>
      </c>
      <c r="D28" s="148" t="s">
        <v>51</v>
      </c>
      <c r="E28" s="56">
        <f t="shared" ref="E28:F28" ca="1" si="74">E27</f>
        <v>0</v>
      </c>
      <c r="F28" s="56">
        <f t="shared" ca="1" si="74"/>
        <v>0</v>
      </c>
      <c r="G28" s="104"/>
      <c r="H28" s="104"/>
      <c r="I28" s="104"/>
      <c r="J28" s="104"/>
      <c r="K28" s="104"/>
      <c r="L28" s="104"/>
      <c r="M28" s="104"/>
      <c r="N28" s="104"/>
      <c r="O28" s="106"/>
      <c r="Q28" s="50"/>
      <c r="R28" s="58"/>
      <c r="S28" s="166"/>
      <c r="T28" s="146" t="s">
        <v>34</v>
      </c>
      <c r="U28" s="35">
        <f ca="1">OFFSET(①簡易状況入力!$C$5,MATCH(A25,①簡易状況入力!$C$5:$C$104,0)-1,3)</f>
        <v>0</v>
      </c>
      <c r="V28" s="58"/>
      <c r="W28" s="146" t="s">
        <v>118</v>
      </c>
      <c r="X28" s="37">
        <f ca="1">OFFSET(①簡易状況入力!$C$5,MATCH(A25,①簡易状況入力!$C$5:$C$104,0)-1,7)</f>
        <v>0</v>
      </c>
      <c r="Y28" s="149">
        <f ca="1">OFFSET(①簡易状況入力!$C$5,MATCH(A25,①簡易状況入力!$C$5:$C$104,0)-1,13)</f>
        <v>0</v>
      </c>
      <c r="Z28" s="167">
        <f ca="1">OFFSET(①簡易状況入力!$C$5,MATCH(A25,①簡易状況入力!$C$5:$C$104,0)-1,14)</f>
        <v>0</v>
      </c>
      <c r="AA28" s="168"/>
      <c r="AB28" s="148" t="s">
        <v>51</v>
      </c>
      <c r="AC28" s="56">
        <f t="shared" ref="AC28:AD28" ca="1" si="75">AC27</f>
        <v>0</v>
      </c>
      <c r="AD28" s="56">
        <f t="shared" ca="1" si="75"/>
        <v>0</v>
      </c>
      <c r="AE28" s="63">
        <f ca="1">IF($C28="あり",IF(AC28&gt;=1,G28/AQ28,0),IF(AC28&gt;=1,AO28*AC28,0))</f>
        <v>0</v>
      </c>
      <c r="AF28" s="63">
        <f t="shared" ca="1" si="66"/>
        <v>0</v>
      </c>
      <c r="AG28" s="63">
        <f t="shared" ca="1" si="67"/>
        <v>0</v>
      </c>
      <c r="AH28" s="63">
        <f t="shared" ca="1" si="68"/>
        <v>0</v>
      </c>
      <c r="AI28" s="63">
        <f t="shared" ca="1" si="69"/>
        <v>0</v>
      </c>
      <c r="AJ28" s="63">
        <f t="shared" ca="1" si="70"/>
        <v>0</v>
      </c>
      <c r="AK28" s="63">
        <f t="shared" ca="1" si="71"/>
        <v>0</v>
      </c>
      <c r="AL28" s="63">
        <f ca="1">IF($C28="あり",IF($AD28&gt;=7,N28/$AQ28,0),IF($AD28&gt;=7,$AO28*($AD28-6),0))</f>
        <v>0</v>
      </c>
      <c r="AM28" s="65">
        <f ca="1">IF(C28="あり",O28/AQ28,AP28)</f>
        <v>0</v>
      </c>
      <c r="AN28" s="63">
        <f ca="1">SUM(AE28:AM28)</f>
        <v>0</v>
      </c>
      <c r="AO28" s="68" t="e">
        <f ca="1">1/(AC28+AD28)</f>
        <v>#DIV/0!</v>
      </c>
      <c r="AP28" s="67">
        <v>0</v>
      </c>
      <c r="AQ28" s="68">
        <f ca="1">IF(AC28&gt;=1,G28,0)+SUMIF($H$4:$M$4,"&lt;="&amp;AD28,$H28:$M28)+IF(AD28&gt;=7,N28,0)+O28</f>
        <v>0</v>
      </c>
    </row>
    <row r="29" spans="1:43" x14ac:dyDescent="0.15">
      <c r="G29" s="107"/>
      <c r="H29" s="107"/>
      <c r="I29" s="107"/>
      <c r="J29" s="107"/>
      <c r="K29" s="107"/>
      <c r="L29" s="107"/>
      <c r="M29" s="107"/>
      <c r="N29" s="107"/>
      <c r="O29" s="107"/>
    </row>
    <row r="30" spans="1:43" x14ac:dyDescent="0.15">
      <c r="A30" s="59" t="s">
        <v>186</v>
      </c>
      <c r="B30" s="60">
        <f ca="1">OFFSET(①簡易状況入力!$C$5,MATCH(A30,①簡易状況入力!$C$5:$C$104,0)-1,1)</f>
        <v>0</v>
      </c>
      <c r="C30" s="145">
        <f ca="1">OFFSET(①簡易状況入力!$C$5,MATCH(A30,①簡易状況入力!$C$5:$C$104,0)-1,17)</f>
        <v>0</v>
      </c>
      <c r="D30" s="148" t="s">
        <v>47</v>
      </c>
      <c r="E30" s="56">
        <f ca="1">U33</f>
        <v>0</v>
      </c>
      <c r="F30" s="56">
        <f ca="1">U32</f>
        <v>0</v>
      </c>
      <c r="G30" s="102"/>
      <c r="H30" s="103"/>
      <c r="I30" s="103"/>
      <c r="J30" s="103"/>
      <c r="K30" s="103"/>
      <c r="L30" s="103"/>
      <c r="M30" s="103"/>
      <c r="N30" s="103"/>
      <c r="O30" s="103"/>
      <c r="Q30" s="57">
        <f ca="1">OFFSET(①簡易状況入力!$C$5,MATCH(A30,①簡易状況入力!$C$5:$C$104,0)-1,15)</f>
        <v>0</v>
      </c>
      <c r="R30" s="58"/>
      <c r="S30" s="58"/>
      <c r="T30" s="58"/>
      <c r="U30" s="58"/>
      <c r="V30" s="58"/>
      <c r="W30" s="58"/>
      <c r="X30" s="58"/>
      <c r="Y30" s="58"/>
      <c r="Z30" s="58"/>
      <c r="AA30" s="58"/>
      <c r="AB30" s="148" t="s">
        <v>47</v>
      </c>
      <c r="AC30" s="56">
        <f ca="1">U33</f>
        <v>0</v>
      </c>
      <c r="AD30" s="56">
        <f ca="1">U32</f>
        <v>0</v>
      </c>
      <c r="AE30" s="62" t="s">
        <v>46</v>
      </c>
      <c r="AF30" s="62" t="str">
        <f t="shared" ref="AF30" ca="1" si="76">IF($C30="あり",IF(AF$4&lt;=$AD30,H30,"-"),IF(AF$4&lt;=$AD30,$AO30,"-"))</f>
        <v>-</v>
      </c>
      <c r="AG30" s="62" t="str">
        <f t="shared" ref="AG30" ca="1" si="77">IF($C30="あり",IF(AG$4&lt;=$AD30,I30,"-"),IF(AG$4&lt;=$AD30,$AO30,"-"))</f>
        <v>-</v>
      </c>
      <c r="AH30" s="62" t="str">
        <f t="shared" ref="AH30" ca="1" si="78">IF($C30="あり",IF(AH$4&lt;=$AD30,J30,"-"),IF(AH$4&lt;=$AD30,$AO30,"-"))</f>
        <v>-</v>
      </c>
      <c r="AI30" s="62" t="str">
        <f t="shared" ref="AI30" ca="1" si="79">IF($C30="あり",IF(AI$4&lt;=$AD30,K30,"-"),IF(AI$4&lt;=$AD30,$AO30,"-"))</f>
        <v>-</v>
      </c>
      <c r="AJ30" s="62" t="str">
        <f t="shared" ref="AJ30" ca="1" si="80">IF($C30="あり",IF(AJ$4&lt;=$AD30,L30,"-"),IF(AJ$4&lt;=$AD30,$AO30,"-"))</f>
        <v>-</v>
      </c>
      <c r="AK30" s="62" t="str">
        <f t="shared" ref="AK30" ca="1" si="81">IF($C30="あり",IF(AK$4&lt;=$AD30,M30,"-"),IF(AK$4&lt;=$AD30,$AO30,"-"))</f>
        <v>-</v>
      </c>
      <c r="AL30" s="62" t="str">
        <f ca="1">IF($C30="あり",IF(7&lt;=$AD30,N30,"-"),IF(7&lt;=$AD30,$AO30*($AD30-6),"-"))</f>
        <v>-</v>
      </c>
      <c r="AM30" s="62">
        <f ca="1">IF(C30="あり",O30,AP30)</f>
        <v>0</v>
      </c>
      <c r="AN30" s="62">
        <f ca="1">SUM(U31,AF30:AM30)</f>
        <v>0</v>
      </c>
      <c r="AO30" s="42">
        <f ca="1">OFFSET(【DB】被害率係数!$A$4,MATCH(②詳細状況入力!$Y31,【DB】被害率係数!$A$4:$A$19,0)-1,16)</f>
        <v>0</v>
      </c>
      <c r="AP30" s="42">
        <f ca="1">OFFSET(【DB】被害率係数!$A$4,MATCH(②詳細状況入力!$Y31,【DB】被害率係数!$A$4:$A$19,0)-1,17)</f>
        <v>0</v>
      </c>
      <c r="AQ30" s="42"/>
    </row>
    <row r="31" spans="1:43" x14ac:dyDescent="0.15">
      <c r="A31" s="50"/>
      <c r="B31" s="50"/>
      <c r="C31" s="145">
        <f ca="1">OFFSET(①簡易状況入力!$C$5,MATCH(A30,①簡易状況入力!$C$5:$C$104,0)-1,18)</f>
        <v>0</v>
      </c>
      <c r="D31" s="148" t="s">
        <v>52</v>
      </c>
      <c r="E31" s="56">
        <f t="shared" ref="E31:F31" ca="1" si="82">E30</f>
        <v>0</v>
      </c>
      <c r="F31" s="56">
        <f t="shared" ca="1" si="82"/>
        <v>0</v>
      </c>
      <c r="G31" s="104"/>
      <c r="H31" s="104"/>
      <c r="I31" s="104"/>
      <c r="J31" s="104"/>
      <c r="K31" s="104"/>
      <c r="L31" s="104"/>
      <c r="M31" s="104"/>
      <c r="N31" s="104"/>
      <c r="O31" s="105"/>
      <c r="Q31" s="57">
        <f ca="1">OFFSET(①簡易状況入力!$C$5,MATCH(A30,①簡易状況入力!$C$5:$C$104,0)-1,16)</f>
        <v>0</v>
      </c>
      <c r="R31" s="58"/>
      <c r="S31" s="146" t="s">
        <v>115</v>
      </c>
      <c r="T31" s="146" t="s">
        <v>116</v>
      </c>
      <c r="U31" s="36">
        <f ca="1">OFFSET(①簡易状況入力!$C$5,MATCH(A30,①簡易状況入力!$C$5:$C$104,0)-1,4)</f>
        <v>0</v>
      </c>
      <c r="V31" s="58"/>
      <c r="W31" s="146" t="s">
        <v>30</v>
      </c>
      <c r="X31" s="37">
        <f ca="1">OFFSET(①簡易状況入力!$C$5,MATCH(A30,①簡易状況入力!$C$5:$C$104,0)-1,5)</f>
        <v>0</v>
      </c>
      <c r="Y31" s="149">
        <f ca="1">OFFSET(①簡易状況入力!$C$5,MATCH(A30,①簡易状況入力!$C$5:$C$104,0)-1,8)</f>
        <v>0</v>
      </c>
      <c r="Z31" s="149">
        <f ca="1">OFFSET(①簡易状況入力!$C$5,MATCH(A30,①簡易状況入力!$C$5:$C$104,0)-1,9)</f>
        <v>0</v>
      </c>
      <c r="AA31" s="149">
        <f ca="1">OFFSET(①簡易状況入力!$C$5,MATCH(A30,①簡易状況入力!$C$5:$C$104,0)-1,10)</f>
        <v>0</v>
      </c>
      <c r="AB31" s="148" t="s">
        <v>52</v>
      </c>
      <c r="AC31" s="56">
        <f t="shared" ref="AC31:AD31" ca="1" si="83">AC30</f>
        <v>0</v>
      </c>
      <c r="AD31" s="56">
        <f t="shared" ca="1" si="83"/>
        <v>0</v>
      </c>
      <c r="AE31" s="63">
        <f ca="1">IF($C31="あり",IF(AC31&gt;=1,G31/AQ31,0),IF(AC31&gt;=1,AO31*AC31,0))</f>
        <v>0</v>
      </c>
      <c r="AF31" s="63">
        <f t="shared" ref="AF31:AF33" ca="1" si="84">IF($C31="あり",IF($AD31&gt;=AF$4,H31/$AQ31,0),IF($AD31&gt;=AF$4,$AO31,0))</f>
        <v>0</v>
      </c>
      <c r="AG31" s="63">
        <f t="shared" ref="AG31:AG33" ca="1" si="85">IF($C31="あり",IF($AD31&gt;=AG$4,I31/$AQ31,0),IF($AD31&gt;=AG$4,$AO31,0))</f>
        <v>0</v>
      </c>
      <c r="AH31" s="63">
        <f t="shared" ref="AH31:AH33" ca="1" si="86">IF($C31="あり",IF($AD31&gt;=AH$4,J31/$AQ31,0),IF($AD31&gt;=AH$4,$AO31,0))</f>
        <v>0</v>
      </c>
      <c r="AI31" s="63">
        <f t="shared" ref="AI31:AI33" ca="1" si="87">IF($C31="あり",IF($AD31&gt;=AI$4,K31/$AQ31,0),IF($AD31&gt;=AI$4,$AO31,0))</f>
        <v>0</v>
      </c>
      <c r="AJ31" s="63">
        <f t="shared" ref="AJ31:AJ33" ca="1" si="88">IF($C31="あり",IF($AD31&gt;=AJ$4,L31/$AQ31,0),IF($AD31&gt;=AJ$4,$AO31,0))</f>
        <v>0</v>
      </c>
      <c r="AK31" s="63">
        <f t="shared" ref="AK31:AK33" ca="1" si="89">IF($C31="あり",IF($AD31&gt;=AK$4,M31/$AQ31,0),IF($AD31&gt;=AK$4,$AO31,0))</f>
        <v>0</v>
      </c>
      <c r="AL31" s="63">
        <f ca="1">IF($C31="あり",IF($AD31&gt;=7,N31/$AQ31,0),IF($AD31&gt;=7,$AO31*($AD31-6),0))</f>
        <v>0</v>
      </c>
      <c r="AM31" s="64" t="s">
        <v>46</v>
      </c>
      <c r="AN31" s="63">
        <f ca="1">SUM(AE31:AM31)</f>
        <v>0</v>
      </c>
      <c r="AO31" s="68" t="e">
        <f ca="1">1/(AC31+AD31)</f>
        <v>#DIV/0!</v>
      </c>
      <c r="AP31" s="67">
        <v>0</v>
      </c>
      <c r="AQ31" s="68">
        <f ca="1">IF(AC31&gt;=1,G31,0)+SUMIF($H$4:$M$4,"&lt;="&amp;AD31,$H31:$M31)+IF(AD31&gt;=7,N31,0)</f>
        <v>0</v>
      </c>
    </row>
    <row r="32" spans="1:43" x14ac:dyDescent="0.15">
      <c r="A32" s="50"/>
      <c r="B32" s="50"/>
      <c r="C32" s="145">
        <f ca="1">OFFSET(①簡易状況入力!$C$5,MATCH(A30,①簡易状況入力!$C$5:$C$104,0)-1,19)</f>
        <v>0</v>
      </c>
      <c r="D32" s="148" t="s">
        <v>50</v>
      </c>
      <c r="E32" s="56">
        <f t="shared" ref="E32" ca="1" si="90">E31</f>
        <v>0</v>
      </c>
      <c r="F32" s="56">
        <f ca="1">F31</f>
        <v>0</v>
      </c>
      <c r="G32" s="104"/>
      <c r="H32" s="104"/>
      <c r="I32" s="104"/>
      <c r="J32" s="104"/>
      <c r="K32" s="104"/>
      <c r="L32" s="104"/>
      <c r="M32" s="104"/>
      <c r="N32" s="104"/>
      <c r="O32" s="106"/>
      <c r="Q32" s="50"/>
      <c r="R32" s="58"/>
      <c r="S32" s="165" t="s">
        <v>28</v>
      </c>
      <c r="T32" s="146" t="s">
        <v>35</v>
      </c>
      <c r="U32" s="35">
        <f ca="1">OFFSET(①簡易状況入力!$C$5,MATCH(A30,①簡易状況入力!$C$5:$C$104,0)-1,2)</f>
        <v>0</v>
      </c>
      <c r="V32" s="58"/>
      <c r="W32" s="146" t="s">
        <v>33</v>
      </c>
      <c r="X32" s="37">
        <f ca="1">OFFSET(①簡易状況入力!$C$5,MATCH(A30,①簡易状況入力!$C$5:$C$104,0)-1,6)</f>
        <v>0</v>
      </c>
      <c r="Y32" s="149">
        <f ca="1">OFFSET(①簡易状況入力!$C$5,MATCH(A30,①簡易状況入力!$C$5:$C$104,0)-1,11)</f>
        <v>0</v>
      </c>
      <c r="Z32" s="167">
        <f ca="1">OFFSET(①簡易状況入力!$C$5,MATCH(A30,①簡易状況入力!$C$5:$C$104,0)-1,12)</f>
        <v>0</v>
      </c>
      <c r="AA32" s="168"/>
      <c r="AB32" s="148" t="s">
        <v>50</v>
      </c>
      <c r="AC32" s="56">
        <f t="shared" ref="AC32:AD32" ca="1" si="91">AC31</f>
        <v>0</v>
      </c>
      <c r="AD32" s="56">
        <f t="shared" ca="1" si="91"/>
        <v>0</v>
      </c>
      <c r="AE32" s="63">
        <f ca="1">IF($C32="あり",IF(AC32&gt;=1,G32/AQ32,0),IF(AC32&gt;=1,AO32*AC32,0))</f>
        <v>0</v>
      </c>
      <c r="AF32" s="63">
        <f t="shared" ca="1" si="84"/>
        <v>0</v>
      </c>
      <c r="AG32" s="63">
        <f t="shared" ca="1" si="85"/>
        <v>0</v>
      </c>
      <c r="AH32" s="63">
        <f t="shared" ca="1" si="86"/>
        <v>0</v>
      </c>
      <c r="AI32" s="63">
        <f t="shared" ca="1" si="87"/>
        <v>0</v>
      </c>
      <c r="AJ32" s="63">
        <f t="shared" ca="1" si="88"/>
        <v>0</v>
      </c>
      <c r="AK32" s="63">
        <f t="shared" ca="1" si="89"/>
        <v>0</v>
      </c>
      <c r="AL32" s="63">
        <f ca="1">IF($C32="あり",IF($AD32&gt;=7,N32/$AQ32,0),IF($AD32&gt;=7,$AO32*($AD32-6),0))</f>
        <v>0</v>
      </c>
      <c r="AM32" s="65">
        <f ca="1">IF(C32="あり",O32/AQ32,AP32)</f>
        <v>0</v>
      </c>
      <c r="AN32" s="63">
        <f ca="1">SUM(AE32:AM32)</f>
        <v>0</v>
      </c>
      <c r="AO32" s="68" t="e">
        <f ca="1">1/(AC32+AD32)</f>
        <v>#DIV/0!</v>
      </c>
      <c r="AP32" s="67">
        <v>0</v>
      </c>
      <c r="AQ32" s="68">
        <f ca="1">IF(AC32&gt;=1,G32,0)+SUMIF($H$4:$M$4,"&lt;="&amp;AD32,$H32:$M32)+IF(AD32&gt;=7,N32,0)+O32</f>
        <v>0</v>
      </c>
    </row>
    <row r="33" spans="1:43" x14ac:dyDescent="0.15">
      <c r="A33" s="50"/>
      <c r="B33" s="50"/>
      <c r="C33" s="145">
        <f ca="1">OFFSET(①簡易状況入力!$C$5,MATCH(A30,①簡易状況入力!$C$5:$C$104,0)-1,20)</f>
        <v>0</v>
      </c>
      <c r="D33" s="148" t="s">
        <v>51</v>
      </c>
      <c r="E33" s="56">
        <f t="shared" ref="E33:F33" ca="1" si="92">E32</f>
        <v>0</v>
      </c>
      <c r="F33" s="56">
        <f t="shared" ca="1" si="92"/>
        <v>0</v>
      </c>
      <c r="G33" s="104"/>
      <c r="H33" s="104"/>
      <c r="I33" s="104"/>
      <c r="J33" s="104"/>
      <c r="K33" s="104"/>
      <c r="L33" s="104"/>
      <c r="M33" s="104"/>
      <c r="N33" s="104"/>
      <c r="O33" s="106"/>
      <c r="Q33" s="50"/>
      <c r="R33" s="58"/>
      <c r="S33" s="166"/>
      <c r="T33" s="146" t="s">
        <v>34</v>
      </c>
      <c r="U33" s="35">
        <f ca="1">OFFSET(①簡易状況入力!$C$5,MATCH(A30,①簡易状況入力!$C$5:$C$104,0)-1,3)</f>
        <v>0</v>
      </c>
      <c r="V33" s="58"/>
      <c r="W33" s="146" t="s">
        <v>118</v>
      </c>
      <c r="X33" s="37">
        <f ca="1">OFFSET(①簡易状況入力!$C$5,MATCH(A30,①簡易状況入力!$C$5:$C$104,0)-1,7)</f>
        <v>0</v>
      </c>
      <c r="Y33" s="149">
        <f ca="1">OFFSET(①簡易状況入力!$C$5,MATCH(A30,①簡易状況入力!$C$5:$C$104,0)-1,13)</f>
        <v>0</v>
      </c>
      <c r="Z33" s="167">
        <f ca="1">OFFSET(①簡易状況入力!$C$5,MATCH(A30,①簡易状況入力!$C$5:$C$104,0)-1,14)</f>
        <v>0</v>
      </c>
      <c r="AA33" s="168"/>
      <c r="AB33" s="148" t="s">
        <v>51</v>
      </c>
      <c r="AC33" s="56">
        <f t="shared" ref="AC33:AD33" ca="1" si="93">AC32</f>
        <v>0</v>
      </c>
      <c r="AD33" s="56">
        <f t="shared" ca="1" si="93"/>
        <v>0</v>
      </c>
      <c r="AE33" s="63">
        <f ca="1">IF($C33="あり",IF(AC33&gt;=1,G33/AQ33,0),IF(AC33&gt;=1,AO33*AC33,0))</f>
        <v>0</v>
      </c>
      <c r="AF33" s="63">
        <f t="shared" ca="1" si="84"/>
        <v>0</v>
      </c>
      <c r="AG33" s="63">
        <f t="shared" ca="1" si="85"/>
        <v>0</v>
      </c>
      <c r="AH33" s="63">
        <f t="shared" ca="1" si="86"/>
        <v>0</v>
      </c>
      <c r="AI33" s="63">
        <f t="shared" ca="1" si="87"/>
        <v>0</v>
      </c>
      <c r="AJ33" s="63">
        <f t="shared" ca="1" si="88"/>
        <v>0</v>
      </c>
      <c r="AK33" s="63">
        <f t="shared" ca="1" si="89"/>
        <v>0</v>
      </c>
      <c r="AL33" s="63">
        <f ca="1">IF($C33="あり",IF($AD33&gt;=7,N33/$AQ33,0),IF($AD33&gt;=7,$AO33*($AD33-6),0))</f>
        <v>0</v>
      </c>
      <c r="AM33" s="65">
        <f ca="1">IF(C33="あり",O33/AQ33,AP33)</f>
        <v>0</v>
      </c>
      <c r="AN33" s="63">
        <f ca="1">SUM(AE33:AM33)</f>
        <v>0</v>
      </c>
      <c r="AO33" s="68" t="e">
        <f ca="1">1/(AC33+AD33)</f>
        <v>#DIV/0!</v>
      </c>
      <c r="AP33" s="67">
        <v>0</v>
      </c>
      <c r="AQ33" s="68">
        <f ca="1">IF(AC33&gt;=1,G33,0)+SUMIF($H$4:$M$4,"&lt;="&amp;AD33,$H33:$M33)+IF(AD33&gt;=7,N33,0)+O33</f>
        <v>0</v>
      </c>
    </row>
    <row r="34" spans="1:43" x14ac:dyDescent="0.15">
      <c r="G34" s="107"/>
      <c r="H34" s="107"/>
      <c r="I34" s="107"/>
      <c r="J34" s="107"/>
      <c r="K34" s="107"/>
      <c r="L34" s="107"/>
      <c r="M34" s="107"/>
      <c r="N34" s="107"/>
      <c r="O34" s="107"/>
    </row>
    <row r="35" spans="1:43" x14ac:dyDescent="0.15">
      <c r="A35" s="59" t="s">
        <v>187</v>
      </c>
      <c r="B35" s="60">
        <f ca="1">OFFSET(①簡易状況入力!$C$5,MATCH(A35,①簡易状況入力!$C$5:$C$104,0)-1,1)</f>
        <v>0</v>
      </c>
      <c r="C35" s="145">
        <f ca="1">OFFSET(①簡易状況入力!$C$5,MATCH(A35,①簡易状況入力!$C$5:$C$104,0)-1,17)</f>
        <v>0</v>
      </c>
      <c r="D35" s="148" t="s">
        <v>47</v>
      </c>
      <c r="E35" s="56">
        <f ca="1">U38</f>
        <v>0</v>
      </c>
      <c r="F35" s="56">
        <f ca="1">U37</f>
        <v>0</v>
      </c>
      <c r="G35" s="102"/>
      <c r="H35" s="103"/>
      <c r="I35" s="103"/>
      <c r="J35" s="103"/>
      <c r="K35" s="103"/>
      <c r="L35" s="103"/>
      <c r="M35" s="103"/>
      <c r="N35" s="103"/>
      <c r="O35" s="103"/>
      <c r="Q35" s="57">
        <f ca="1">OFFSET(①簡易状況入力!$C$5,MATCH(A35,①簡易状況入力!$C$5:$C$104,0)-1,15)</f>
        <v>0</v>
      </c>
      <c r="R35" s="58"/>
      <c r="S35" s="58"/>
      <c r="T35" s="58"/>
      <c r="U35" s="58"/>
      <c r="V35" s="58"/>
      <c r="W35" s="58"/>
      <c r="X35" s="58"/>
      <c r="Y35" s="58"/>
      <c r="Z35" s="58"/>
      <c r="AA35" s="58"/>
      <c r="AB35" s="148" t="s">
        <v>47</v>
      </c>
      <c r="AC35" s="56">
        <f ca="1">U38</f>
        <v>0</v>
      </c>
      <c r="AD35" s="56">
        <f ca="1">U37</f>
        <v>0</v>
      </c>
      <c r="AE35" s="62" t="s">
        <v>46</v>
      </c>
      <c r="AF35" s="62" t="str">
        <f t="shared" ref="AF35" ca="1" si="94">IF($C35="あり",IF(AF$4&lt;=$AD35,H35,"-"),IF(AF$4&lt;=$AD35,$AO35,"-"))</f>
        <v>-</v>
      </c>
      <c r="AG35" s="62" t="str">
        <f t="shared" ref="AG35" ca="1" si="95">IF($C35="あり",IF(AG$4&lt;=$AD35,I35,"-"),IF(AG$4&lt;=$AD35,$AO35,"-"))</f>
        <v>-</v>
      </c>
      <c r="AH35" s="62" t="str">
        <f t="shared" ref="AH35" ca="1" si="96">IF($C35="あり",IF(AH$4&lt;=$AD35,J35,"-"),IF(AH$4&lt;=$AD35,$AO35,"-"))</f>
        <v>-</v>
      </c>
      <c r="AI35" s="62" t="str">
        <f t="shared" ref="AI35" ca="1" si="97">IF($C35="あり",IF(AI$4&lt;=$AD35,K35,"-"),IF(AI$4&lt;=$AD35,$AO35,"-"))</f>
        <v>-</v>
      </c>
      <c r="AJ35" s="62" t="str">
        <f t="shared" ref="AJ35" ca="1" si="98">IF($C35="あり",IF(AJ$4&lt;=$AD35,L35,"-"),IF(AJ$4&lt;=$AD35,$AO35,"-"))</f>
        <v>-</v>
      </c>
      <c r="AK35" s="62" t="str">
        <f t="shared" ref="AK35" ca="1" si="99">IF($C35="あり",IF(AK$4&lt;=$AD35,M35,"-"),IF(AK$4&lt;=$AD35,$AO35,"-"))</f>
        <v>-</v>
      </c>
      <c r="AL35" s="62" t="str">
        <f ca="1">IF($C35="あり",IF(7&lt;=$AD35,N35,"-"),IF(7&lt;=$AD35,$AO35*($AD35-6),"-"))</f>
        <v>-</v>
      </c>
      <c r="AM35" s="62">
        <f ca="1">IF(C35="あり",O35,AP35)</f>
        <v>0</v>
      </c>
      <c r="AN35" s="62">
        <f ca="1">SUM(U36,AF35:AM35)</f>
        <v>0</v>
      </c>
      <c r="AO35" s="42">
        <f ca="1">OFFSET(【DB】被害率係数!$A$4,MATCH(②詳細状況入力!$Y36,【DB】被害率係数!$A$4:$A$19,0)-1,16)</f>
        <v>0</v>
      </c>
      <c r="AP35" s="42">
        <f ca="1">OFFSET(【DB】被害率係数!$A$4,MATCH(②詳細状況入力!$Y36,【DB】被害率係数!$A$4:$A$19,0)-1,17)</f>
        <v>0</v>
      </c>
      <c r="AQ35" s="42"/>
    </row>
    <row r="36" spans="1:43" x14ac:dyDescent="0.15">
      <c r="A36" s="50"/>
      <c r="B36" s="50"/>
      <c r="C36" s="145">
        <f ca="1">OFFSET(①簡易状況入力!$C$5,MATCH(A35,①簡易状況入力!$C$5:$C$104,0)-1,18)</f>
        <v>0</v>
      </c>
      <c r="D36" s="148" t="s">
        <v>52</v>
      </c>
      <c r="E36" s="56">
        <f t="shared" ref="E36:F36" ca="1" si="100">E35</f>
        <v>0</v>
      </c>
      <c r="F36" s="56">
        <f t="shared" ca="1" si="100"/>
        <v>0</v>
      </c>
      <c r="G36" s="104"/>
      <c r="H36" s="104"/>
      <c r="I36" s="104"/>
      <c r="J36" s="104"/>
      <c r="K36" s="104"/>
      <c r="L36" s="104"/>
      <c r="M36" s="104"/>
      <c r="N36" s="104"/>
      <c r="O36" s="105"/>
      <c r="Q36" s="57">
        <f ca="1">OFFSET(①簡易状況入力!$C$5,MATCH(A35,①簡易状況入力!$C$5:$C$104,0)-1,16)</f>
        <v>0</v>
      </c>
      <c r="R36" s="58"/>
      <c r="S36" s="146" t="s">
        <v>115</v>
      </c>
      <c r="T36" s="146" t="s">
        <v>116</v>
      </c>
      <c r="U36" s="36">
        <f ca="1">OFFSET(①簡易状況入力!$C$5,MATCH(A35,①簡易状況入力!$C$5:$C$104,0)-1,4)</f>
        <v>0</v>
      </c>
      <c r="V36" s="58"/>
      <c r="W36" s="146" t="s">
        <v>30</v>
      </c>
      <c r="X36" s="37">
        <f ca="1">OFFSET(①簡易状況入力!$C$5,MATCH(A35,①簡易状況入力!$C$5:$C$104,0)-1,5)</f>
        <v>0</v>
      </c>
      <c r="Y36" s="149">
        <f ca="1">OFFSET(①簡易状況入力!$C$5,MATCH(A35,①簡易状況入力!$C$5:$C$104,0)-1,8)</f>
        <v>0</v>
      </c>
      <c r="Z36" s="149">
        <f ca="1">OFFSET(①簡易状況入力!$C$5,MATCH(A35,①簡易状況入力!$C$5:$C$104,0)-1,9)</f>
        <v>0</v>
      </c>
      <c r="AA36" s="149">
        <f ca="1">OFFSET(①簡易状況入力!$C$5,MATCH(A35,①簡易状況入力!$C$5:$C$104,0)-1,10)</f>
        <v>0</v>
      </c>
      <c r="AB36" s="148" t="s">
        <v>52</v>
      </c>
      <c r="AC36" s="56">
        <f t="shared" ref="AC36:AD36" ca="1" si="101">AC35</f>
        <v>0</v>
      </c>
      <c r="AD36" s="56">
        <f t="shared" ca="1" si="101"/>
        <v>0</v>
      </c>
      <c r="AE36" s="63">
        <f ca="1">IF($C36="あり",IF(AC36&gt;=1,G36/AQ36,0),IF(AC36&gt;=1,AO36*AC36,0))</f>
        <v>0</v>
      </c>
      <c r="AF36" s="63">
        <f t="shared" ref="AF36:AF38" ca="1" si="102">IF($C36="あり",IF($AD36&gt;=AF$4,H36/$AQ36,0),IF($AD36&gt;=AF$4,$AO36,0))</f>
        <v>0</v>
      </c>
      <c r="AG36" s="63">
        <f t="shared" ref="AG36:AG38" ca="1" si="103">IF($C36="あり",IF($AD36&gt;=AG$4,I36/$AQ36,0),IF($AD36&gt;=AG$4,$AO36,0))</f>
        <v>0</v>
      </c>
      <c r="AH36" s="63">
        <f t="shared" ref="AH36:AH38" ca="1" si="104">IF($C36="あり",IF($AD36&gt;=AH$4,J36/$AQ36,0),IF($AD36&gt;=AH$4,$AO36,0))</f>
        <v>0</v>
      </c>
      <c r="AI36" s="63">
        <f t="shared" ref="AI36:AI38" ca="1" si="105">IF($C36="あり",IF($AD36&gt;=AI$4,K36/$AQ36,0),IF($AD36&gt;=AI$4,$AO36,0))</f>
        <v>0</v>
      </c>
      <c r="AJ36" s="63">
        <f t="shared" ref="AJ36:AJ38" ca="1" si="106">IF($C36="あり",IF($AD36&gt;=AJ$4,L36/$AQ36,0),IF($AD36&gt;=AJ$4,$AO36,0))</f>
        <v>0</v>
      </c>
      <c r="AK36" s="63">
        <f t="shared" ref="AK36:AK38" ca="1" si="107">IF($C36="あり",IF($AD36&gt;=AK$4,M36/$AQ36,0),IF($AD36&gt;=AK$4,$AO36,0))</f>
        <v>0</v>
      </c>
      <c r="AL36" s="63">
        <f ca="1">IF($C36="あり",IF($AD36&gt;=7,N36/$AQ36,0),IF($AD36&gt;=7,$AO36*($AD36-6),0))</f>
        <v>0</v>
      </c>
      <c r="AM36" s="64" t="s">
        <v>46</v>
      </c>
      <c r="AN36" s="63">
        <f ca="1">SUM(AE36:AM36)</f>
        <v>0</v>
      </c>
      <c r="AO36" s="68" t="e">
        <f ca="1">1/(AC36+AD36)</f>
        <v>#DIV/0!</v>
      </c>
      <c r="AP36" s="67">
        <v>0</v>
      </c>
      <c r="AQ36" s="68">
        <f ca="1">IF(AC36&gt;=1,G36,0)+SUMIF($H$4:$M$4,"&lt;="&amp;AD36,$H36:$M36)+IF(AD36&gt;=7,N36,0)</f>
        <v>0</v>
      </c>
    </row>
    <row r="37" spans="1:43" x14ac:dyDescent="0.15">
      <c r="A37" s="50"/>
      <c r="B37" s="50"/>
      <c r="C37" s="145">
        <f ca="1">OFFSET(①簡易状況入力!$C$5,MATCH(A35,①簡易状況入力!$C$5:$C$104,0)-1,19)</f>
        <v>0</v>
      </c>
      <c r="D37" s="148" t="s">
        <v>50</v>
      </c>
      <c r="E37" s="56">
        <f t="shared" ref="E37" ca="1" si="108">E36</f>
        <v>0</v>
      </c>
      <c r="F37" s="56">
        <f ca="1">F36</f>
        <v>0</v>
      </c>
      <c r="G37" s="104"/>
      <c r="H37" s="104"/>
      <c r="I37" s="104"/>
      <c r="J37" s="104"/>
      <c r="K37" s="104"/>
      <c r="L37" s="104"/>
      <c r="M37" s="104"/>
      <c r="N37" s="104"/>
      <c r="O37" s="106"/>
      <c r="Q37" s="50"/>
      <c r="R37" s="58"/>
      <c r="S37" s="165" t="s">
        <v>28</v>
      </c>
      <c r="T37" s="146" t="s">
        <v>35</v>
      </c>
      <c r="U37" s="35">
        <f ca="1">OFFSET(①簡易状況入力!$C$5,MATCH(A35,①簡易状況入力!$C$5:$C$104,0)-1,2)</f>
        <v>0</v>
      </c>
      <c r="V37" s="58"/>
      <c r="W37" s="146" t="s">
        <v>33</v>
      </c>
      <c r="X37" s="37">
        <f ca="1">OFFSET(①簡易状況入力!$C$5,MATCH(A35,①簡易状況入力!$C$5:$C$104,0)-1,6)</f>
        <v>0</v>
      </c>
      <c r="Y37" s="149">
        <f ca="1">OFFSET(①簡易状況入力!$C$5,MATCH(A35,①簡易状況入力!$C$5:$C$104,0)-1,11)</f>
        <v>0</v>
      </c>
      <c r="Z37" s="167">
        <f ca="1">OFFSET(①簡易状況入力!$C$5,MATCH(A35,①簡易状況入力!$C$5:$C$104,0)-1,12)</f>
        <v>0</v>
      </c>
      <c r="AA37" s="168"/>
      <c r="AB37" s="148" t="s">
        <v>50</v>
      </c>
      <c r="AC37" s="56">
        <f t="shared" ref="AC37:AD37" ca="1" si="109">AC36</f>
        <v>0</v>
      </c>
      <c r="AD37" s="56">
        <f t="shared" ca="1" si="109"/>
        <v>0</v>
      </c>
      <c r="AE37" s="63">
        <f ca="1">IF($C37="あり",IF(AC37&gt;=1,G37/AQ37,0),IF(AC37&gt;=1,AO37*AC37,0))</f>
        <v>0</v>
      </c>
      <c r="AF37" s="63">
        <f t="shared" ca="1" si="102"/>
        <v>0</v>
      </c>
      <c r="AG37" s="63">
        <f t="shared" ca="1" si="103"/>
        <v>0</v>
      </c>
      <c r="AH37" s="63">
        <f t="shared" ca="1" si="104"/>
        <v>0</v>
      </c>
      <c r="AI37" s="63">
        <f t="shared" ca="1" si="105"/>
        <v>0</v>
      </c>
      <c r="AJ37" s="63">
        <f t="shared" ca="1" si="106"/>
        <v>0</v>
      </c>
      <c r="AK37" s="63">
        <f t="shared" ca="1" si="107"/>
        <v>0</v>
      </c>
      <c r="AL37" s="63">
        <f ca="1">IF($C37="あり",IF($AD37&gt;=7,N37/$AQ37,0),IF($AD37&gt;=7,$AO37*($AD37-6),0))</f>
        <v>0</v>
      </c>
      <c r="AM37" s="65">
        <f ca="1">IF(C37="あり",O37/AQ37,AP37)</f>
        <v>0</v>
      </c>
      <c r="AN37" s="63">
        <f ca="1">SUM(AE37:AM37)</f>
        <v>0</v>
      </c>
      <c r="AO37" s="68" t="e">
        <f ca="1">1/(AC37+AD37)</f>
        <v>#DIV/0!</v>
      </c>
      <c r="AP37" s="67">
        <v>0</v>
      </c>
      <c r="AQ37" s="68">
        <f ca="1">IF(AC37&gt;=1,G37,0)+SUMIF($H$4:$M$4,"&lt;="&amp;AD37,$H37:$M37)+IF(AD37&gt;=7,N37,0)+O37</f>
        <v>0</v>
      </c>
    </row>
    <row r="38" spans="1:43" x14ac:dyDescent="0.15">
      <c r="A38" s="50"/>
      <c r="B38" s="50"/>
      <c r="C38" s="145">
        <f ca="1">OFFSET(①簡易状況入力!$C$5,MATCH(A35,①簡易状況入力!$C$5:$C$104,0)-1,20)</f>
        <v>0</v>
      </c>
      <c r="D38" s="148" t="s">
        <v>51</v>
      </c>
      <c r="E38" s="56">
        <f t="shared" ref="E38:F38" ca="1" si="110">E37</f>
        <v>0</v>
      </c>
      <c r="F38" s="56">
        <f t="shared" ca="1" si="110"/>
        <v>0</v>
      </c>
      <c r="G38" s="104"/>
      <c r="H38" s="104"/>
      <c r="I38" s="104"/>
      <c r="J38" s="104"/>
      <c r="K38" s="104"/>
      <c r="L38" s="104"/>
      <c r="M38" s="104"/>
      <c r="N38" s="104"/>
      <c r="O38" s="106"/>
      <c r="Q38" s="50"/>
      <c r="R38" s="58"/>
      <c r="S38" s="166"/>
      <c r="T38" s="146" t="s">
        <v>34</v>
      </c>
      <c r="U38" s="35">
        <f ca="1">OFFSET(①簡易状況入力!$C$5,MATCH(A35,①簡易状況入力!$C$5:$C$104,0)-1,3)</f>
        <v>0</v>
      </c>
      <c r="V38" s="58"/>
      <c r="W38" s="146" t="s">
        <v>118</v>
      </c>
      <c r="X38" s="37">
        <f ca="1">OFFSET(①簡易状況入力!$C$5,MATCH(A35,①簡易状況入力!$C$5:$C$104,0)-1,7)</f>
        <v>0</v>
      </c>
      <c r="Y38" s="149">
        <f ca="1">OFFSET(①簡易状況入力!$C$5,MATCH(A35,①簡易状況入力!$C$5:$C$104,0)-1,13)</f>
        <v>0</v>
      </c>
      <c r="Z38" s="167">
        <f ca="1">OFFSET(①簡易状況入力!$C$5,MATCH(A35,①簡易状況入力!$C$5:$C$104,0)-1,14)</f>
        <v>0</v>
      </c>
      <c r="AA38" s="168"/>
      <c r="AB38" s="148" t="s">
        <v>51</v>
      </c>
      <c r="AC38" s="56">
        <f t="shared" ref="AC38:AD38" ca="1" si="111">AC37</f>
        <v>0</v>
      </c>
      <c r="AD38" s="56">
        <f t="shared" ca="1" si="111"/>
        <v>0</v>
      </c>
      <c r="AE38" s="63">
        <f ca="1">IF($C38="あり",IF(AC38&gt;=1,G38/AQ38,0),IF(AC38&gt;=1,AO38*AC38,0))</f>
        <v>0</v>
      </c>
      <c r="AF38" s="63">
        <f t="shared" ca="1" si="102"/>
        <v>0</v>
      </c>
      <c r="AG38" s="63">
        <f t="shared" ca="1" si="103"/>
        <v>0</v>
      </c>
      <c r="AH38" s="63">
        <f t="shared" ca="1" si="104"/>
        <v>0</v>
      </c>
      <c r="AI38" s="63">
        <f t="shared" ca="1" si="105"/>
        <v>0</v>
      </c>
      <c r="AJ38" s="63">
        <f t="shared" ca="1" si="106"/>
        <v>0</v>
      </c>
      <c r="AK38" s="63">
        <f t="shared" ca="1" si="107"/>
        <v>0</v>
      </c>
      <c r="AL38" s="63">
        <f ca="1">IF($C38="あり",IF($AD38&gt;=7,N38/$AQ38,0),IF($AD38&gt;=7,$AO38*($AD38-6),0))</f>
        <v>0</v>
      </c>
      <c r="AM38" s="65">
        <f ca="1">IF(C38="あり",O38/AQ38,AP38)</f>
        <v>0</v>
      </c>
      <c r="AN38" s="63">
        <f ca="1">SUM(AE38:AM38)</f>
        <v>0</v>
      </c>
      <c r="AO38" s="68" t="e">
        <f ca="1">1/(AC38+AD38)</f>
        <v>#DIV/0!</v>
      </c>
      <c r="AP38" s="67">
        <v>0</v>
      </c>
      <c r="AQ38" s="68">
        <f ca="1">IF(AC38&gt;=1,G38,0)+SUMIF($H$4:$M$4,"&lt;="&amp;AD38,$H38:$M38)+IF(AD38&gt;=7,N38,0)+O38</f>
        <v>0</v>
      </c>
    </row>
    <row r="39" spans="1:43" x14ac:dyDescent="0.15">
      <c r="G39" s="107"/>
      <c r="H39" s="107"/>
      <c r="I39" s="107"/>
      <c r="J39" s="107"/>
      <c r="K39" s="107"/>
      <c r="L39" s="107"/>
      <c r="M39" s="107"/>
      <c r="N39" s="107"/>
      <c r="O39" s="107"/>
    </row>
    <row r="40" spans="1:43" x14ac:dyDescent="0.15">
      <c r="A40" s="59" t="s">
        <v>188</v>
      </c>
      <c r="B40" s="60">
        <f ca="1">OFFSET(①簡易状況入力!$C$5,MATCH(A40,①簡易状況入力!$C$5:$C$104,0)-1,1)</f>
        <v>0</v>
      </c>
      <c r="C40" s="145">
        <f ca="1">OFFSET(①簡易状況入力!$C$5,MATCH(A40,①簡易状況入力!$C$5:$C$104,0)-1,17)</f>
        <v>0</v>
      </c>
      <c r="D40" s="148" t="s">
        <v>47</v>
      </c>
      <c r="E40" s="56">
        <f ca="1">U43</f>
        <v>0</v>
      </c>
      <c r="F40" s="56">
        <f ca="1">U42</f>
        <v>0</v>
      </c>
      <c r="G40" s="102"/>
      <c r="H40" s="103"/>
      <c r="I40" s="103"/>
      <c r="J40" s="103"/>
      <c r="K40" s="103"/>
      <c r="L40" s="103"/>
      <c r="M40" s="103"/>
      <c r="N40" s="103"/>
      <c r="O40" s="103"/>
      <c r="Q40" s="57">
        <f ca="1">OFFSET(①簡易状況入力!$C$5,MATCH(A40,①簡易状況入力!$C$5:$C$104,0)-1,15)</f>
        <v>0</v>
      </c>
      <c r="R40" s="58"/>
      <c r="S40" s="58"/>
      <c r="T40" s="58"/>
      <c r="U40" s="58"/>
      <c r="V40" s="58"/>
      <c r="W40" s="58"/>
      <c r="X40" s="58"/>
      <c r="Y40" s="58"/>
      <c r="Z40" s="58"/>
      <c r="AA40" s="58"/>
      <c r="AB40" s="148" t="s">
        <v>47</v>
      </c>
      <c r="AC40" s="56">
        <f ca="1">U43</f>
        <v>0</v>
      </c>
      <c r="AD40" s="56">
        <f ca="1">U42</f>
        <v>0</v>
      </c>
      <c r="AE40" s="62" t="s">
        <v>46</v>
      </c>
      <c r="AF40" s="62" t="str">
        <f t="shared" ref="AF40" ca="1" si="112">IF($C40="あり",IF(AF$4&lt;=$AD40,H40,"-"),IF(AF$4&lt;=$AD40,$AO40,"-"))</f>
        <v>-</v>
      </c>
      <c r="AG40" s="62" t="str">
        <f t="shared" ref="AG40" ca="1" si="113">IF($C40="あり",IF(AG$4&lt;=$AD40,I40,"-"),IF(AG$4&lt;=$AD40,$AO40,"-"))</f>
        <v>-</v>
      </c>
      <c r="AH40" s="62" t="str">
        <f t="shared" ref="AH40" ca="1" si="114">IF($C40="あり",IF(AH$4&lt;=$AD40,J40,"-"),IF(AH$4&lt;=$AD40,$AO40,"-"))</f>
        <v>-</v>
      </c>
      <c r="AI40" s="62" t="str">
        <f t="shared" ref="AI40" ca="1" si="115">IF($C40="あり",IF(AI$4&lt;=$AD40,K40,"-"),IF(AI$4&lt;=$AD40,$AO40,"-"))</f>
        <v>-</v>
      </c>
      <c r="AJ40" s="62" t="str">
        <f t="shared" ref="AJ40" ca="1" si="116">IF($C40="あり",IF(AJ$4&lt;=$AD40,L40,"-"),IF(AJ$4&lt;=$AD40,$AO40,"-"))</f>
        <v>-</v>
      </c>
      <c r="AK40" s="62" t="str">
        <f t="shared" ref="AK40" ca="1" si="117">IF($C40="あり",IF(AK$4&lt;=$AD40,M40,"-"),IF(AK$4&lt;=$AD40,$AO40,"-"))</f>
        <v>-</v>
      </c>
      <c r="AL40" s="62" t="str">
        <f ca="1">IF($C40="あり",IF(7&lt;=$AD40,N40,"-"),IF(7&lt;=$AD40,$AO40*($AD40-6),"-"))</f>
        <v>-</v>
      </c>
      <c r="AM40" s="62">
        <f ca="1">IF(C40="あり",O40,AP40)</f>
        <v>0</v>
      </c>
      <c r="AN40" s="62">
        <f ca="1">SUM(U41,AF40:AM40)</f>
        <v>0</v>
      </c>
      <c r="AO40" s="42">
        <f ca="1">OFFSET(【DB】被害率係数!$A$4,MATCH(②詳細状況入力!$Y41,【DB】被害率係数!$A$4:$A$19,0)-1,16)</f>
        <v>0</v>
      </c>
      <c r="AP40" s="42">
        <f ca="1">OFFSET(【DB】被害率係数!$A$4,MATCH(②詳細状況入力!$Y41,【DB】被害率係数!$A$4:$A$19,0)-1,17)</f>
        <v>0</v>
      </c>
      <c r="AQ40" s="42"/>
    </row>
    <row r="41" spans="1:43" x14ac:dyDescent="0.15">
      <c r="A41" s="50"/>
      <c r="B41" s="50"/>
      <c r="C41" s="145">
        <f ca="1">OFFSET(①簡易状況入力!$C$5,MATCH(A40,①簡易状況入力!$C$5:$C$104,0)-1,18)</f>
        <v>0</v>
      </c>
      <c r="D41" s="148" t="s">
        <v>52</v>
      </c>
      <c r="E41" s="56">
        <f t="shared" ref="E41:F41" ca="1" si="118">E40</f>
        <v>0</v>
      </c>
      <c r="F41" s="56">
        <f t="shared" ca="1" si="118"/>
        <v>0</v>
      </c>
      <c r="G41" s="104"/>
      <c r="H41" s="104"/>
      <c r="I41" s="104"/>
      <c r="J41" s="104"/>
      <c r="K41" s="104"/>
      <c r="L41" s="104"/>
      <c r="M41" s="104"/>
      <c r="N41" s="104"/>
      <c r="O41" s="105"/>
      <c r="Q41" s="57">
        <f ca="1">OFFSET(①簡易状況入力!$C$5,MATCH(A40,①簡易状況入力!$C$5:$C$104,0)-1,16)</f>
        <v>0</v>
      </c>
      <c r="R41" s="58"/>
      <c r="S41" s="146" t="s">
        <v>115</v>
      </c>
      <c r="T41" s="146" t="s">
        <v>116</v>
      </c>
      <c r="U41" s="36">
        <f ca="1">OFFSET(①簡易状況入力!$C$5,MATCH(A40,①簡易状況入力!$C$5:$C$104,0)-1,4)</f>
        <v>0</v>
      </c>
      <c r="V41" s="58"/>
      <c r="W41" s="146" t="s">
        <v>30</v>
      </c>
      <c r="X41" s="37">
        <f ca="1">OFFSET(①簡易状況入力!$C$5,MATCH(A40,①簡易状況入力!$C$5:$C$104,0)-1,5)</f>
        <v>0</v>
      </c>
      <c r="Y41" s="149">
        <f ca="1">OFFSET(①簡易状況入力!$C$5,MATCH(A40,①簡易状況入力!$C$5:$C$104,0)-1,8)</f>
        <v>0</v>
      </c>
      <c r="Z41" s="149">
        <f ca="1">OFFSET(①簡易状況入力!$C$5,MATCH(A40,①簡易状況入力!$C$5:$C$104,0)-1,9)</f>
        <v>0</v>
      </c>
      <c r="AA41" s="149">
        <f ca="1">OFFSET(①簡易状況入力!$C$5,MATCH(A40,①簡易状況入力!$C$5:$C$104,0)-1,10)</f>
        <v>0</v>
      </c>
      <c r="AB41" s="148" t="s">
        <v>52</v>
      </c>
      <c r="AC41" s="56">
        <f t="shared" ref="AC41:AD41" ca="1" si="119">AC40</f>
        <v>0</v>
      </c>
      <c r="AD41" s="56">
        <f t="shared" ca="1" si="119"/>
        <v>0</v>
      </c>
      <c r="AE41" s="63">
        <f ca="1">IF($C41="あり",IF(AC41&gt;=1,G41/AQ41,0),IF(AC41&gt;=1,AO41*AC41,0))</f>
        <v>0</v>
      </c>
      <c r="AF41" s="63">
        <f t="shared" ref="AF41:AF43" ca="1" si="120">IF($C41="あり",IF($AD41&gt;=AF$4,H41/$AQ41,0),IF($AD41&gt;=AF$4,$AO41,0))</f>
        <v>0</v>
      </c>
      <c r="AG41" s="63">
        <f t="shared" ref="AG41:AG43" ca="1" si="121">IF($C41="あり",IF($AD41&gt;=AG$4,I41/$AQ41,0),IF($AD41&gt;=AG$4,$AO41,0))</f>
        <v>0</v>
      </c>
      <c r="AH41" s="63">
        <f t="shared" ref="AH41:AH43" ca="1" si="122">IF($C41="あり",IF($AD41&gt;=AH$4,J41/$AQ41,0),IF($AD41&gt;=AH$4,$AO41,0))</f>
        <v>0</v>
      </c>
      <c r="AI41" s="63">
        <f t="shared" ref="AI41:AI43" ca="1" si="123">IF($C41="あり",IF($AD41&gt;=AI$4,K41/$AQ41,0),IF($AD41&gt;=AI$4,$AO41,0))</f>
        <v>0</v>
      </c>
      <c r="AJ41" s="63">
        <f t="shared" ref="AJ41:AJ43" ca="1" si="124">IF($C41="あり",IF($AD41&gt;=AJ$4,L41/$AQ41,0),IF($AD41&gt;=AJ$4,$AO41,0))</f>
        <v>0</v>
      </c>
      <c r="AK41" s="63">
        <f t="shared" ref="AK41:AK43" ca="1" si="125">IF($C41="あり",IF($AD41&gt;=AK$4,M41/$AQ41,0),IF($AD41&gt;=AK$4,$AO41,0))</f>
        <v>0</v>
      </c>
      <c r="AL41" s="63">
        <f ca="1">IF($C41="あり",IF($AD41&gt;=7,N41/$AQ41,0),IF($AD41&gt;=7,$AO41*($AD41-6),0))</f>
        <v>0</v>
      </c>
      <c r="AM41" s="64" t="s">
        <v>46</v>
      </c>
      <c r="AN41" s="63">
        <f ca="1">SUM(AE41:AM41)</f>
        <v>0</v>
      </c>
      <c r="AO41" s="68" t="e">
        <f ca="1">1/(AC41+AD41)</f>
        <v>#DIV/0!</v>
      </c>
      <c r="AP41" s="67">
        <v>0</v>
      </c>
      <c r="AQ41" s="68">
        <f ca="1">IF(AC41&gt;=1,G41,0)+SUMIF($H$4:$M$4,"&lt;="&amp;AD41,$H41:$M41)+IF(AD41&gt;=7,N41,0)</f>
        <v>0</v>
      </c>
    </row>
    <row r="42" spans="1:43" x14ac:dyDescent="0.15">
      <c r="A42" s="50"/>
      <c r="B42" s="50"/>
      <c r="C42" s="145">
        <f ca="1">OFFSET(①簡易状況入力!$C$5,MATCH(A40,①簡易状況入力!$C$5:$C$104,0)-1,19)</f>
        <v>0</v>
      </c>
      <c r="D42" s="148" t="s">
        <v>50</v>
      </c>
      <c r="E42" s="56">
        <f t="shared" ref="E42" ca="1" si="126">E41</f>
        <v>0</v>
      </c>
      <c r="F42" s="56">
        <f ca="1">F41</f>
        <v>0</v>
      </c>
      <c r="G42" s="104"/>
      <c r="H42" s="104"/>
      <c r="I42" s="104"/>
      <c r="J42" s="104"/>
      <c r="K42" s="104"/>
      <c r="L42" s="104"/>
      <c r="M42" s="104"/>
      <c r="N42" s="104"/>
      <c r="O42" s="106"/>
      <c r="Q42" s="50"/>
      <c r="R42" s="58"/>
      <c r="S42" s="165" t="s">
        <v>28</v>
      </c>
      <c r="T42" s="146" t="s">
        <v>35</v>
      </c>
      <c r="U42" s="35">
        <f ca="1">OFFSET(①簡易状況入力!$C$5,MATCH(A40,①簡易状況入力!$C$5:$C$104,0)-1,2)</f>
        <v>0</v>
      </c>
      <c r="V42" s="58"/>
      <c r="W42" s="146" t="s">
        <v>33</v>
      </c>
      <c r="X42" s="37">
        <f ca="1">OFFSET(①簡易状況入力!$C$5,MATCH(A40,①簡易状況入力!$C$5:$C$104,0)-1,6)</f>
        <v>0</v>
      </c>
      <c r="Y42" s="149">
        <f ca="1">OFFSET(①簡易状況入力!$C$5,MATCH(A40,①簡易状況入力!$C$5:$C$104,0)-1,11)</f>
        <v>0</v>
      </c>
      <c r="Z42" s="167">
        <f ca="1">OFFSET(①簡易状況入力!$C$5,MATCH(A40,①簡易状況入力!$C$5:$C$104,0)-1,12)</f>
        <v>0</v>
      </c>
      <c r="AA42" s="168"/>
      <c r="AB42" s="148" t="s">
        <v>50</v>
      </c>
      <c r="AC42" s="56">
        <f t="shared" ref="AC42:AD42" ca="1" si="127">AC41</f>
        <v>0</v>
      </c>
      <c r="AD42" s="56">
        <f t="shared" ca="1" si="127"/>
        <v>0</v>
      </c>
      <c r="AE42" s="63">
        <f ca="1">IF($C42="あり",IF(AC42&gt;=1,G42/AQ42,0),IF(AC42&gt;=1,AO42*AC42,0))</f>
        <v>0</v>
      </c>
      <c r="AF42" s="63">
        <f t="shared" ca="1" si="120"/>
        <v>0</v>
      </c>
      <c r="AG42" s="63">
        <f t="shared" ca="1" si="121"/>
        <v>0</v>
      </c>
      <c r="AH42" s="63">
        <f t="shared" ca="1" si="122"/>
        <v>0</v>
      </c>
      <c r="AI42" s="63">
        <f t="shared" ca="1" si="123"/>
        <v>0</v>
      </c>
      <c r="AJ42" s="63">
        <f t="shared" ca="1" si="124"/>
        <v>0</v>
      </c>
      <c r="AK42" s="63">
        <f t="shared" ca="1" si="125"/>
        <v>0</v>
      </c>
      <c r="AL42" s="63">
        <f ca="1">IF($C42="あり",IF($AD42&gt;=7,N42/$AQ42,0),IF($AD42&gt;=7,$AO42*($AD42-6),0))</f>
        <v>0</v>
      </c>
      <c r="AM42" s="65">
        <f ca="1">IF(C42="あり",O42/AQ42,AP42)</f>
        <v>0</v>
      </c>
      <c r="AN42" s="63">
        <f ca="1">SUM(AE42:AM42)</f>
        <v>0</v>
      </c>
      <c r="AO42" s="68" t="e">
        <f ca="1">1/(AC42+AD42)</f>
        <v>#DIV/0!</v>
      </c>
      <c r="AP42" s="67">
        <v>0</v>
      </c>
      <c r="AQ42" s="68">
        <f ca="1">IF(AC42&gt;=1,G42,0)+SUMIF($H$4:$M$4,"&lt;="&amp;AD42,$H42:$M42)+IF(AD42&gt;=7,N42,0)+O42</f>
        <v>0</v>
      </c>
    </row>
    <row r="43" spans="1:43" x14ac:dyDescent="0.15">
      <c r="A43" s="50"/>
      <c r="B43" s="50"/>
      <c r="C43" s="145">
        <f ca="1">OFFSET(①簡易状況入力!$C$5,MATCH(A40,①簡易状況入力!$C$5:$C$104,0)-1,20)</f>
        <v>0</v>
      </c>
      <c r="D43" s="148" t="s">
        <v>51</v>
      </c>
      <c r="E43" s="56">
        <f t="shared" ref="E43:F43" ca="1" si="128">E42</f>
        <v>0</v>
      </c>
      <c r="F43" s="56">
        <f t="shared" ca="1" si="128"/>
        <v>0</v>
      </c>
      <c r="G43" s="104"/>
      <c r="H43" s="104"/>
      <c r="I43" s="104"/>
      <c r="J43" s="104"/>
      <c r="K43" s="104"/>
      <c r="L43" s="104"/>
      <c r="M43" s="104"/>
      <c r="N43" s="104"/>
      <c r="O43" s="106"/>
      <c r="Q43" s="50"/>
      <c r="R43" s="58"/>
      <c r="S43" s="166"/>
      <c r="T43" s="146" t="s">
        <v>34</v>
      </c>
      <c r="U43" s="35">
        <f ca="1">OFFSET(①簡易状況入力!$C$5,MATCH(A40,①簡易状況入力!$C$5:$C$104,0)-1,3)</f>
        <v>0</v>
      </c>
      <c r="V43" s="58"/>
      <c r="W43" s="146" t="s">
        <v>118</v>
      </c>
      <c r="X43" s="37">
        <f ca="1">OFFSET(①簡易状況入力!$C$5,MATCH(A40,①簡易状況入力!$C$5:$C$104,0)-1,7)</f>
        <v>0</v>
      </c>
      <c r="Y43" s="149">
        <f ca="1">OFFSET(①簡易状況入力!$C$5,MATCH(A40,①簡易状況入力!$C$5:$C$104,0)-1,13)</f>
        <v>0</v>
      </c>
      <c r="Z43" s="167">
        <f ca="1">OFFSET(①簡易状況入力!$C$5,MATCH(A40,①簡易状況入力!$C$5:$C$104,0)-1,14)</f>
        <v>0</v>
      </c>
      <c r="AA43" s="168"/>
      <c r="AB43" s="148" t="s">
        <v>51</v>
      </c>
      <c r="AC43" s="56">
        <f t="shared" ref="AC43:AD43" ca="1" si="129">AC42</f>
        <v>0</v>
      </c>
      <c r="AD43" s="56">
        <f t="shared" ca="1" si="129"/>
        <v>0</v>
      </c>
      <c r="AE43" s="63">
        <f ca="1">IF($C43="あり",IF(AC43&gt;=1,G43/AQ43,0),IF(AC43&gt;=1,AO43*AC43,0))</f>
        <v>0</v>
      </c>
      <c r="AF43" s="63">
        <f t="shared" ca="1" si="120"/>
        <v>0</v>
      </c>
      <c r="AG43" s="63">
        <f t="shared" ca="1" si="121"/>
        <v>0</v>
      </c>
      <c r="AH43" s="63">
        <f t="shared" ca="1" si="122"/>
        <v>0</v>
      </c>
      <c r="AI43" s="63">
        <f t="shared" ca="1" si="123"/>
        <v>0</v>
      </c>
      <c r="AJ43" s="63">
        <f t="shared" ca="1" si="124"/>
        <v>0</v>
      </c>
      <c r="AK43" s="63">
        <f t="shared" ca="1" si="125"/>
        <v>0</v>
      </c>
      <c r="AL43" s="63">
        <f ca="1">IF($C43="あり",IF($AD43&gt;=7,N43/$AQ43,0),IF($AD43&gt;=7,$AO43*($AD43-6),0))</f>
        <v>0</v>
      </c>
      <c r="AM43" s="65">
        <f ca="1">IF(C43="あり",O43/AQ43,AP43)</f>
        <v>0</v>
      </c>
      <c r="AN43" s="63">
        <f ca="1">SUM(AE43:AM43)</f>
        <v>0</v>
      </c>
      <c r="AO43" s="68" t="e">
        <f ca="1">1/(AC43+AD43)</f>
        <v>#DIV/0!</v>
      </c>
      <c r="AP43" s="67">
        <v>0</v>
      </c>
      <c r="AQ43" s="68">
        <f ca="1">IF(AC43&gt;=1,G43,0)+SUMIF($H$4:$M$4,"&lt;="&amp;AD43,$H43:$M43)+IF(AD43&gt;=7,N43,0)+O43</f>
        <v>0</v>
      </c>
    </row>
    <row r="44" spans="1:43" x14ac:dyDescent="0.15">
      <c r="G44" s="107"/>
      <c r="H44" s="107"/>
      <c r="I44" s="107"/>
      <c r="J44" s="107"/>
      <c r="K44" s="107"/>
      <c r="L44" s="107"/>
      <c r="M44" s="107"/>
      <c r="N44" s="107"/>
      <c r="O44" s="107"/>
    </row>
    <row r="45" spans="1:43" x14ac:dyDescent="0.15">
      <c r="A45" s="59" t="s">
        <v>189</v>
      </c>
      <c r="B45" s="60">
        <f ca="1">OFFSET(①簡易状況入力!$C$5,MATCH(A45,①簡易状況入力!$C$5:$C$104,0)-1,1)</f>
        <v>0</v>
      </c>
      <c r="C45" s="145">
        <f ca="1">OFFSET(①簡易状況入力!$C$5,MATCH(A45,①簡易状況入力!$C$5:$C$104,0)-1,17)</f>
        <v>0</v>
      </c>
      <c r="D45" s="148" t="s">
        <v>47</v>
      </c>
      <c r="E45" s="56">
        <f ca="1">U48</f>
        <v>0</v>
      </c>
      <c r="F45" s="56">
        <f ca="1">U47</f>
        <v>0</v>
      </c>
      <c r="G45" s="102"/>
      <c r="H45" s="103"/>
      <c r="I45" s="103"/>
      <c r="J45" s="103"/>
      <c r="K45" s="103"/>
      <c r="L45" s="103"/>
      <c r="M45" s="103"/>
      <c r="N45" s="103"/>
      <c r="O45" s="103"/>
      <c r="Q45" s="57">
        <f ca="1">OFFSET(①簡易状況入力!$C$5,MATCH(A45,①簡易状況入力!$C$5:$C$104,0)-1,15)</f>
        <v>0</v>
      </c>
      <c r="R45" s="58"/>
      <c r="S45" s="58"/>
      <c r="T45" s="58"/>
      <c r="U45" s="58"/>
      <c r="V45" s="58"/>
      <c r="W45" s="58"/>
      <c r="X45" s="58"/>
      <c r="Y45" s="58"/>
      <c r="Z45" s="58"/>
      <c r="AA45" s="58"/>
      <c r="AB45" s="148" t="s">
        <v>47</v>
      </c>
      <c r="AC45" s="56">
        <f ca="1">U48</f>
        <v>0</v>
      </c>
      <c r="AD45" s="56">
        <f ca="1">U47</f>
        <v>0</v>
      </c>
      <c r="AE45" s="62" t="s">
        <v>46</v>
      </c>
      <c r="AF45" s="62" t="str">
        <f t="shared" ref="AF45" ca="1" si="130">IF($C45="あり",IF(AF$4&lt;=$AD45,H45,"-"),IF(AF$4&lt;=$AD45,$AO45,"-"))</f>
        <v>-</v>
      </c>
      <c r="AG45" s="62" t="str">
        <f t="shared" ref="AG45" ca="1" si="131">IF($C45="あり",IF(AG$4&lt;=$AD45,I45,"-"),IF(AG$4&lt;=$AD45,$AO45,"-"))</f>
        <v>-</v>
      </c>
      <c r="AH45" s="62" t="str">
        <f t="shared" ref="AH45" ca="1" si="132">IF($C45="あり",IF(AH$4&lt;=$AD45,J45,"-"),IF(AH$4&lt;=$AD45,$AO45,"-"))</f>
        <v>-</v>
      </c>
      <c r="AI45" s="62" t="str">
        <f t="shared" ref="AI45" ca="1" si="133">IF($C45="あり",IF(AI$4&lt;=$AD45,K45,"-"),IF(AI$4&lt;=$AD45,$AO45,"-"))</f>
        <v>-</v>
      </c>
      <c r="AJ45" s="62" t="str">
        <f t="shared" ref="AJ45" ca="1" si="134">IF($C45="あり",IF(AJ$4&lt;=$AD45,L45,"-"),IF(AJ$4&lt;=$AD45,$AO45,"-"))</f>
        <v>-</v>
      </c>
      <c r="AK45" s="62" t="str">
        <f t="shared" ref="AK45" ca="1" si="135">IF($C45="あり",IF(AK$4&lt;=$AD45,M45,"-"),IF(AK$4&lt;=$AD45,$AO45,"-"))</f>
        <v>-</v>
      </c>
      <c r="AL45" s="62" t="str">
        <f ca="1">IF($C45="あり",IF(7&lt;=$AD45,N45,"-"),IF(7&lt;=$AD45,$AO45*($AD45-6),"-"))</f>
        <v>-</v>
      </c>
      <c r="AM45" s="62">
        <f ca="1">IF(C45="あり",O45,AP45)</f>
        <v>0</v>
      </c>
      <c r="AN45" s="62">
        <f ca="1">SUM(U46,AF45:AM45)</f>
        <v>0</v>
      </c>
      <c r="AO45" s="42">
        <f ca="1">OFFSET(【DB】被害率係数!$A$4,MATCH(②詳細状況入力!$Y46,【DB】被害率係数!$A$4:$A$19,0)-1,16)</f>
        <v>0</v>
      </c>
      <c r="AP45" s="42">
        <f ca="1">OFFSET(【DB】被害率係数!$A$4,MATCH(②詳細状況入力!$Y46,【DB】被害率係数!$A$4:$A$19,0)-1,17)</f>
        <v>0</v>
      </c>
      <c r="AQ45" s="42"/>
    </row>
    <row r="46" spans="1:43" x14ac:dyDescent="0.15">
      <c r="A46" s="50"/>
      <c r="B46" s="50"/>
      <c r="C46" s="145">
        <f ca="1">OFFSET(①簡易状況入力!$C$5,MATCH(A45,①簡易状況入力!$C$5:$C$104,0)-1,18)</f>
        <v>0</v>
      </c>
      <c r="D46" s="148" t="s">
        <v>52</v>
      </c>
      <c r="E46" s="56">
        <f t="shared" ref="E46:F46" ca="1" si="136">E45</f>
        <v>0</v>
      </c>
      <c r="F46" s="56">
        <f t="shared" ca="1" si="136"/>
        <v>0</v>
      </c>
      <c r="G46" s="104"/>
      <c r="H46" s="104"/>
      <c r="I46" s="104"/>
      <c r="J46" s="104"/>
      <c r="K46" s="104"/>
      <c r="L46" s="104"/>
      <c r="M46" s="104"/>
      <c r="N46" s="104"/>
      <c r="O46" s="105"/>
      <c r="Q46" s="57">
        <f ca="1">OFFSET(①簡易状況入力!$C$5,MATCH(A45,①簡易状況入力!$C$5:$C$104,0)-1,16)</f>
        <v>0</v>
      </c>
      <c r="R46" s="58"/>
      <c r="S46" s="146" t="s">
        <v>115</v>
      </c>
      <c r="T46" s="146" t="s">
        <v>116</v>
      </c>
      <c r="U46" s="36">
        <f ca="1">OFFSET(①簡易状況入力!$C$5,MATCH(A45,①簡易状況入力!$C$5:$C$104,0)-1,4)</f>
        <v>0</v>
      </c>
      <c r="V46" s="58"/>
      <c r="W46" s="146" t="s">
        <v>30</v>
      </c>
      <c r="X46" s="37">
        <f ca="1">OFFSET(①簡易状況入力!$C$5,MATCH(A45,①簡易状況入力!$C$5:$C$104,0)-1,5)</f>
        <v>0</v>
      </c>
      <c r="Y46" s="149">
        <f ca="1">OFFSET(①簡易状況入力!$C$5,MATCH(A45,①簡易状況入力!$C$5:$C$104,0)-1,8)</f>
        <v>0</v>
      </c>
      <c r="Z46" s="149">
        <f ca="1">OFFSET(①簡易状況入力!$C$5,MATCH(A45,①簡易状況入力!$C$5:$C$104,0)-1,9)</f>
        <v>0</v>
      </c>
      <c r="AA46" s="149">
        <f ca="1">OFFSET(①簡易状況入力!$C$5,MATCH(A45,①簡易状況入力!$C$5:$C$104,0)-1,10)</f>
        <v>0</v>
      </c>
      <c r="AB46" s="148" t="s">
        <v>52</v>
      </c>
      <c r="AC46" s="56">
        <f t="shared" ref="AC46:AD46" ca="1" si="137">AC45</f>
        <v>0</v>
      </c>
      <c r="AD46" s="56">
        <f t="shared" ca="1" si="137"/>
        <v>0</v>
      </c>
      <c r="AE46" s="63">
        <f ca="1">IF($C46="あり",IF(AC46&gt;=1,G46/AQ46,0),IF(AC46&gt;=1,AO46*AC46,0))</f>
        <v>0</v>
      </c>
      <c r="AF46" s="63">
        <f t="shared" ref="AF46:AF48" ca="1" si="138">IF($C46="あり",IF($AD46&gt;=AF$4,H46/$AQ46,0),IF($AD46&gt;=AF$4,$AO46,0))</f>
        <v>0</v>
      </c>
      <c r="AG46" s="63">
        <f t="shared" ref="AG46:AG48" ca="1" si="139">IF($C46="あり",IF($AD46&gt;=AG$4,I46/$AQ46,0),IF($AD46&gt;=AG$4,$AO46,0))</f>
        <v>0</v>
      </c>
      <c r="AH46" s="63">
        <f t="shared" ref="AH46:AH48" ca="1" si="140">IF($C46="あり",IF($AD46&gt;=AH$4,J46/$AQ46,0),IF($AD46&gt;=AH$4,$AO46,0))</f>
        <v>0</v>
      </c>
      <c r="AI46" s="63">
        <f t="shared" ref="AI46:AI48" ca="1" si="141">IF($C46="あり",IF($AD46&gt;=AI$4,K46/$AQ46,0),IF($AD46&gt;=AI$4,$AO46,0))</f>
        <v>0</v>
      </c>
      <c r="AJ46" s="63">
        <f t="shared" ref="AJ46:AJ48" ca="1" si="142">IF($C46="あり",IF($AD46&gt;=AJ$4,L46/$AQ46,0),IF($AD46&gt;=AJ$4,$AO46,0))</f>
        <v>0</v>
      </c>
      <c r="AK46" s="63">
        <f t="shared" ref="AK46:AK48" ca="1" si="143">IF($C46="あり",IF($AD46&gt;=AK$4,M46/$AQ46,0),IF($AD46&gt;=AK$4,$AO46,0))</f>
        <v>0</v>
      </c>
      <c r="AL46" s="63">
        <f ca="1">IF($C46="あり",IF($AD46&gt;=7,N46/$AQ46,0),IF($AD46&gt;=7,$AO46*($AD46-6),0))</f>
        <v>0</v>
      </c>
      <c r="AM46" s="64" t="s">
        <v>46</v>
      </c>
      <c r="AN46" s="63">
        <f ca="1">SUM(AE46:AM46)</f>
        <v>0</v>
      </c>
      <c r="AO46" s="68" t="e">
        <f ca="1">1/(AC46+AD46)</f>
        <v>#DIV/0!</v>
      </c>
      <c r="AP46" s="67">
        <v>0</v>
      </c>
      <c r="AQ46" s="68">
        <f ca="1">IF(AC46&gt;=1,G46,0)+SUMIF($H$4:$M$4,"&lt;="&amp;AD46,$H46:$M46)+IF(AD46&gt;=7,N46,0)</f>
        <v>0</v>
      </c>
    </row>
    <row r="47" spans="1:43" x14ac:dyDescent="0.15">
      <c r="A47" s="50"/>
      <c r="B47" s="50"/>
      <c r="C47" s="145">
        <f ca="1">OFFSET(①簡易状況入力!$C$5,MATCH(A45,①簡易状況入力!$C$5:$C$104,0)-1,19)</f>
        <v>0</v>
      </c>
      <c r="D47" s="148" t="s">
        <v>50</v>
      </c>
      <c r="E47" s="56">
        <f t="shared" ref="E47" ca="1" si="144">E46</f>
        <v>0</v>
      </c>
      <c r="F47" s="56">
        <f ca="1">F46</f>
        <v>0</v>
      </c>
      <c r="G47" s="104"/>
      <c r="H47" s="104"/>
      <c r="I47" s="104"/>
      <c r="J47" s="104"/>
      <c r="K47" s="104"/>
      <c r="L47" s="104"/>
      <c r="M47" s="104"/>
      <c r="N47" s="104"/>
      <c r="O47" s="106"/>
      <c r="Q47" s="50"/>
      <c r="R47" s="58"/>
      <c r="S47" s="165" t="s">
        <v>28</v>
      </c>
      <c r="T47" s="146" t="s">
        <v>35</v>
      </c>
      <c r="U47" s="35">
        <f ca="1">OFFSET(①簡易状況入力!$C$5,MATCH(A45,①簡易状況入力!$C$5:$C$104,0)-1,2)</f>
        <v>0</v>
      </c>
      <c r="V47" s="58"/>
      <c r="W47" s="146" t="s">
        <v>33</v>
      </c>
      <c r="X47" s="37">
        <f ca="1">OFFSET(①簡易状況入力!$C$5,MATCH(A45,①簡易状況入力!$C$5:$C$104,0)-1,6)</f>
        <v>0</v>
      </c>
      <c r="Y47" s="149">
        <f ca="1">OFFSET(①簡易状況入力!$C$5,MATCH(A45,①簡易状況入力!$C$5:$C$104,0)-1,11)</f>
        <v>0</v>
      </c>
      <c r="Z47" s="167">
        <f ca="1">OFFSET(①簡易状況入力!$C$5,MATCH(A45,①簡易状況入力!$C$5:$C$104,0)-1,12)</f>
        <v>0</v>
      </c>
      <c r="AA47" s="168"/>
      <c r="AB47" s="148" t="s">
        <v>50</v>
      </c>
      <c r="AC47" s="56">
        <f t="shared" ref="AC47:AD47" ca="1" si="145">AC46</f>
        <v>0</v>
      </c>
      <c r="AD47" s="56">
        <f t="shared" ca="1" si="145"/>
        <v>0</v>
      </c>
      <c r="AE47" s="63">
        <f ca="1">IF($C47="あり",IF(AC47&gt;=1,G47/AQ47,0),IF(AC47&gt;=1,AO47*AC47,0))</f>
        <v>0</v>
      </c>
      <c r="AF47" s="63">
        <f t="shared" ca="1" si="138"/>
        <v>0</v>
      </c>
      <c r="AG47" s="63">
        <f t="shared" ca="1" si="139"/>
        <v>0</v>
      </c>
      <c r="AH47" s="63">
        <f t="shared" ca="1" si="140"/>
        <v>0</v>
      </c>
      <c r="AI47" s="63">
        <f t="shared" ca="1" si="141"/>
        <v>0</v>
      </c>
      <c r="AJ47" s="63">
        <f t="shared" ca="1" si="142"/>
        <v>0</v>
      </c>
      <c r="AK47" s="63">
        <f t="shared" ca="1" si="143"/>
        <v>0</v>
      </c>
      <c r="AL47" s="63">
        <f ca="1">IF($C47="あり",IF($AD47&gt;=7,N47/$AQ47,0),IF($AD47&gt;=7,$AO47*($AD47-6),0))</f>
        <v>0</v>
      </c>
      <c r="AM47" s="65">
        <f ca="1">IF(C47="あり",O47/AQ47,AP47)</f>
        <v>0</v>
      </c>
      <c r="AN47" s="63">
        <f ca="1">SUM(AE47:AM47)</f>
        <v>0</v>
      </c>
      <c r="AO47" s="68" t="e">
        <f ca="1">1/(AC47+AD47)</f>
        <v>#DIV/0!</v>
      </c>
      <c r="AP47" s="67">
        <v>0</v>
      </c>
      <c r="AQ47" s="68">
        <f ca="1">IF(AC47&gt;=1,G47,0)+SUMIF($H$4:$M$4,"&lt;="&amp;AD47,$H47:$M47)+IF(AD47&gt;=7,N47,0)+O47</f>
        <v>0</v>
      </c>
    </row>
    <row r="48" spans="1:43" x14ac:dyDescent="0.15">
      <c r="A48" s="50"/>
      <c r="B48" s="50"/>
      <c r="C48" s="145">
        <f ca="1">OFFSET(①簡易状況入力!$C$5,MATCH(A45,①簡易状況入力!$C$5:$C$104,0)-1,20)</f>
        <v>0</v>
      </c>
      <c r="D48" s="148" t="s">
        <v>51</v>
      </c>
      <c r="E48" s="56">
        <f t="shared" ref="E48:F48" ca="1" si="146">E47</f>
        <v>0</v>
      </c>
      <c r="F48" s="56">
        <f t="shared" ca="1" si="146"/>
        <v>0</v>
      </c>
      <c r="G48" s="104"/>
      <c r="H48" s="104"/>
      <c r="I48" s="104"/>
      <c r="J48" s="104"/>
      <c r="K48" s="104"/>
      <c r="L48" s="104"/>
      <c r="M48" s="104"/>
      <c r="N48" s="104"/>
      <c r="O48" s="106"/>
      <c r="Q48" s="50"/>
      <c r="R48" s="58"/>
      <c r="S48" s="166"/>
      <c r="T48" s="146" t="s">
        <v>34</v>
      </c>
      <c r="U48" s="35">
        <f ca="1">OFFSET(①簡易状況入力!$C$5,MATCH(A45,①簡易状況入力!$C$5:$C$104,0)-1,3)</f>
        <v>0</v>
      </c>
      <c r="V48" s="58"/>
      <c r="W48" s="146" t="s">
        <v>118</v>
      </c>
      <c r="X48" s="37">
        <f ca="1">OFFSET(①簡易状況入力!$C$5,MATCH(A45,①簡易状況入力!$C$5:$C$104,0)-1,7)</f>
        <v>0</v>
      </c>
      <c r="Y48" s="149">
        <f ca="1">OFFSET(①簡易状況入力!$C$5,MATCH(A45,①簡易状況入力!$C$5:$C$104,0)-1,13)</f>
        <v>0</v>
      </c>
      <c r="Z48" s="167">
        <f ca="1">OFFSET(①簡易状況入力!$C$5,MATCH(A45,①簡易状況入力!$C$5:$C$104,0)-1,14)</f>
        <v>0</v>
      </c>
      <c r="AA48" s="168"/>
      <c r="AB48" s="148" t="s">
        <v>51</v>
      </c>
      <c r="AC48" s="56">
        <f t="shared" ref="AC48:AD48" ca="1" si="147">AC47</f>
        <v>0</v>
      </c>
      <c r="AD48" s="56">
        <f t="shared" ca="1" si="147"/>
        <v>0</v>
      </c>
      <c r="AE48" s="63">
        <f ca="1">IF($C48="あり",IF(AC48&gt;=1,G48/AQ48,0),IF(AC48&gt;=1,AO48*AC48,0))</f>
        <v>0</v>
      </c>
      <c r="AF48" s="63">
        <f t="shared" ca="1" si="138"/>
        <v>0</v>
      </c>
      <c r="AG48" s="63">
        <f t="shared" ca="1" si="139"/>
        <v>0</v>
      </c>
      <c r="AH48" s="63">
        <f t="shared" ca="1" si="140"/>
        <v>0</v>
      </c>
      <c r="AI48" s="63">
        <f t="shared" ca="1" si="141"/>
        <v>0</v>
      </c>
      <c r="AJ48" s="63">
        <f t="shared" ca="1" si="142"/>
        <v>0</v>
      </c>
      <c r="AK48" s="63">
        <f t="shared" ca="1" si="143"/>
        <v>0</v>
      </c>
      <c r="AL48" s="63">
        <f ca="1">IF($C48="あり",IF($AD48&gt;=7,N48/$AQ48,0),IF($AD48&gt;=7,$AO48*($AD48-6),0))</f>
        <v>0</v>
      </c>
      <c r="AM48" s="65">
        <f ca="1">IF(C48="あり",O48/AQ48,AP48)</f>
        <v>0</v>
      </c>
      <c r="AN48" s="63">
        <f ca="1">SUM(AE48:AM48)</f>
        <v>0</v>
      </c>
      <c r="AO48" s="68" t="e">
        <f ca="1">1/(AC48+AD48)</f>
        <v>#DIV/0!</v>
      </c>
      <c r="AP48" s="67">
        <v>0</v>
      </c>
      <c r="AQ48" s="68">
        <f ca="1">IF(AC48&gt;=1,G48,0)+SUMIF($H$4:$M$4,"&lt;="&amp;AD48,$H48:$M48)+IF(AD48&gt;=7,N48,0)+O48</f>
        <v>0</v>
      </c>
    </row>
    <row r="49" spans="1:43" x14ac:dyDescent="0.15">
      <c r="G49" s="107"/>
      <c r="H49" s="107"/>
      <c r="I49" s="107"/>
      <c r="J49" s="107"/>
      <c r="K49" s="107"/>
      <c r="L49" s="107"/>
      <c r="M49" s="107"/>
      <c r="N49" s="107"/>
      <c r="O49" s="107"/>
    </row>
    <row r="50" spans="1:43" x14ac:dyDescent="0.15">
      <c r="A50" s="59" t="s">
        <v>190</v>
      </c>
      <c r="B50" s="60">
        <f ca="1">OFFSET(①簡易状況入力!$C$5,MATCH(A50,①簡易状況入力!$C$5:$C$104,0)-1,1)</f>
        <v>0</v>
      </c>
      <c r="C50" s="145">
        <f ca="1">OFFSET(①簡易状況入力!$C$5,MATCH(A50,①簡易状況入力!$C$5:$C$104,0)-1,17)</f>
        <v>0</v>
      </c>
      <c r="D50" s="148" t="s">
        <v>47</v>
      </c>
      <c r="E50" s="56">
        <f ca="1">U53</f>
        <v>0</v>
      </c>
      <c r="F50" s="56">
        <f ca="1">U52</f>
        <v>0</v>
      </c>
      <c r="G50" s="102"/>
      <c r="H50" s="103"/>
      <c r="I50" s="103"/>
      <c r="J50" s="103"/>
      <c r="K50" s="103"/>
      <c r="L50" s="103"/>
      <c r="M50" s="103"/>
      <c r="N50" s="103"/>
      <c r="O50" s="103"/>
      <c r="Q50" s="57">
        <f ca="1">OFFSET(①簡易状況入力!$C$5,MATCH(A50,①簡易状況入力!$C$5:$C$104,0)-1,15)</f>
        <v>0</v>
      </c>
      <c r="R50" s="58"/>
      <c r="S50" s="58"/>
      <c r="T50" s="58"/>
      <c r="U50" s="58"/>
      <c r="V50" s="58"/>
      <c r="W50" s="58"/>
      <c r="X50" s="58"/>
      <c r="Y50" s="58"/>
      <c r="Z50" s="58"/>
      <c r="AA50" s="58"/>
      <c r="AB50" s="148" t="s">
        <v>47</v>
      </c>
      <c r="AC50" s="56">
        <f ca="1">U53</f>
        <v>0</v>
      </c>
      <c r="AD50" s="56">
        <f ca="1">U52</f>
        <v>0</v>
      </c>
      <c r="AE50" s="62" t="s">
        <v>46</v>
      </c>
      <c r="AF50" s="62" t="str">
        <f t="shared" ref="AF50" ca="1" si="148">IF($C50="あり",IF(AF$4&lt;=$AD50,H50,"-"),IF(AF$4&lt;=$AD50,$AO50,"-"))</f>
        <v>-</v>
      </c>
      <c r="AG50" s="62" t="str">
        <f t="shared" ref="AG50" ca="1" si="149">IF($C50="あり",IF(AG$4&lt;=$AD50,I50,"-"),IF(AG$4&lt;=$AD50,$AO50,"-"))</f>
        <v>-</v>
      </c>
      <c r="AH50" s="62" t="str">
        <f t="shared" ref="AH50" ca="1" si="150">IF($C50="あり",IF(AH$4&lt;=$AD50,J50,"-"),IF(AH$4&lt;=$AD50,$AO50,"-"))</f>
        <v>-</v>
      </c>
      <c r="AI50" s="62" t="str">
        <f t="shared" ref="AI50" ca="1" si="151">IF($C50="あり",IF(AI$4&lt;=$AD50,K50,"-"),IF(AI$4&lt;=$AD50,$AO50,"-"))</f>
        <v>-</v>
      </c>
      <c r="AJ50" s="62" t="str">
        <f t="shared" ref="AJ50" ca="1" si="152">IF($C50="あり",IF(AJ$4&lt;=$AD50,L50,"-"),IF(AJ$4&lt;=$AD50,$AO50,"-"))</f>
        <v>-</v>
      </c>
      <c r="AK50" s="62" t="str">
        <f t="shared" ref="AK50" ca="1" si="153">IF($C50="あり",IF(AK$4&lt;=$AD50,M50,"-"),IF(AK$4&lt;=$AD50,$AO50,"-"))</f>
        <v>-</v>
      </c>
      <c r="AL50" s="62" t="str">
        <f ca="1">IF($C50="あり",IF(7&lt;=$AD50,N50,"-"),IF(7&lt;=$AD50,$AO50*($AD50-6),"-"))</f>
        <v>-</v>
      </c>
      <c r="AM50" s="62">
        <f ca="1">IF(C50="あり",O50,AP50)</f>
        <v>0</v>
      </c>
      <c r="AN50" s="62">
        <f ca="1">SUM(U51,AF50:AM50)</f>
        <v>0</v>
      </c>
      <c r="AO50" s="42">
        <f ca="1">OFFSET(【DB】被害率係数!$A$4,MATCH(②詳細状況入力!$Y51,【DB】被害率係数!$A$4:$A$19,0)-1,16)</f>
        <v>0</v>
      </c>
      <c r="AP50" s="42">
        <f ca="1">OFFSET(【DB】被害率係数!$A$4,MATCH(②詳細状況入力!$Y51,【DB】被害率係数!$A$4:$A$19,0)-1,17)</f>
        <v>0</v>
      </c>
      <c r="AQ50" s="42"/>
    </row>
    <row r="51" spans="1:43" x14ac:dyDescent="0.15">
      <c r="A51" s="50"/>
      <c r="B51" s="50"/>
      <c r="C51" s="145">
        <f ca="1">OFFSET(①簡易状況入力!$C$5,MATCH(A50,①簡易状況入力!$C$5:$C$104,0)-1,18)</f>
        <v>0</v>
      </c>
      <c r="D51" s="148" t="s">
        <v>52</v>
      </c>
      <c r="E51" s="56">
        <f t="shared" ref="E51:F51" ca="1" si="154">E50</f>
        <v>0</v>
      </c>
      <c r="F51" s="56">
        <f t="shared" ca="1" si="154"/>
        <v>0</v>
      </c>
      <c r="G51" s="104"/>
      <c r="H51" s="104"/>
      <c r="I51" s="104"/>
      <c r="J51" s="104"/>
      <c r="K51" s="104"/>
      <c r="L51" s="104"/>
      <c r="M51" s="104"/>
      <c r="N51" s="104"/>
      <c r="O51" s="105"/>
      <c r="Q51" s="57">
        <f ca="1">OFFSET(①簡易状況入力!$C$5,MATCH(A50,①簡易状況入力!$C$5:$C$104,0)-1,16)</f>
        <v>0</v>
      </c>
      <c r="R51" s="58"/>
      <c r="S51" s="146" t="s">
        <v>115</v>
      </c>
      <c r="T51" s="146" t="s">
        <v>116</v>
      </c>
      <c r="U51" s="36">
        <f ca="1">OFFSET(①簡易状況入力!$C$5,MATCH(A50,①簡易状況入力!$C$5:$C$104,0)-1,4)</f>
        <v>0</v>
      </c>
      <c r="V51" s="58"/>
      <c r="W51" s="146" t="s">
        <v>30</v>
      </c>
      <c r="X51" s="37">
        <f ca="1">OFFSET(①簡易状況入力!$C$5,MATCH(A50,①簡易状況入力!$C$5:$C$104,0)-1,5)</f>
        <v>0</v>
      </c>
      <c r="Y51" s="149">
        <f ca="1">OFFSET(①簡易状況入力!$C$5,MATCH(A50,①簡易状況入力!$C$5:$C$104,0)-1,8)</f>
        <v>0</v>
      </c>
      <c r="Z51" s="149">
        <f ca="1">OFFSET(①簡易状況入力!$C$5,MATCH(A50,①簡易状況入力!$C$5:$C$104,0)-1,9)</f>
        <v>0</v>
      </c>
      <c r="AA51" s="149">
        <f ca="1">OFFSET(①簡易状況入力!$C$5,MATCH(A50,①簡易状況入力!$C$5:$C$104,0)-1,10)</f>
        <v>0</v>
      </c>
      <c r="AB51" s="148" t="s">
        <v>52</v>
      </c>
      <c r="AC51" s="56">
        <f t="shared" ref="AC51:AD51" ca="1" si="155">AC50</f>
        <v>0</v>
      </c>
      <c r="AD51" s="56">
        <f t="shared" ca="1" si="155"/>
        <v>0</v>
      </c>
      <c r="AE51" s="63">
        <f ca="1">IF($C51="あり",IF(AC51&gt;=1,G51/AQ51,0),IF(AC51&gt;=1,AO51*AC51,0))</f>
        <v>0</v>
      </c>
      <c r="AF51" s="63">
        <f t="shared" ref="AF51:AF53" ca="1" si="156">IF($C51="あり",IF($AD51&gt;=AF$4,H51/$AQ51,0),IF($AD51&gt;=AF$4,$AO51,0))</f>
        <v>0</v>
      </c>
      <c r="AG51" s="63">
        <f t="shared" ref="AG51:AG53" ca="1" si="157">IF($C51="あり",IF($AD51&gt;=AG$4,I51/$AQ51,0),IF($AD51&gt;=AG$4,$AO51,0))</f>
        <v>0</v>
      </c>
      <c r="AH51" s="63">
        <f t="shared" ref="AH51:AH53" ca="1" si="158">IF($C51="あり",IF($AD51&gt;=AH$4,J51/$AQ51,0),IF($AD51&gt;=AH$4,$AO51,0))</f>
        <v>0</v>
      </c>
      <c r="AI51" s="63">
        <f t="shared" ref="AI51:AI53" ca="1" si="159">IF($C51="あり",IF($AD51&gt;=AI$4,K51/$AQ51,0),IF($AD51&gt;=AI$4,$AO51,0))</f>
        <v>0</v>
      </c>
      <c r="AJ51" s="63">
        <f t="shared" ref="AJ51:AJ53" ca="1" si="160">IF($C51="あり",IF($AD51&gt;=AJ$4,L51/$AQ51,0),IF($AD51&gt;=AJ$4,$AO51,0))</f>
        <v>0</v>
      </c>
      <c r="AK51" s="63">
        <f t="shared" ref="AK51:AK53" ca="1" si="161">IF($C51="あり",IF($AD51&gt;=AK$4,M51/$AQ51,0),IF($AD51&gt;=AK$4,$AO51,0))</f>
        <v>0</v>
      </c>
      <c r="AL51" s="63">
        <f ca="1">IF($C51="あり",IF($AD51&gt;=7,N51/$AQ51,0),IF($AD51&gt;=7,$AO51*($AD51-6),0))</f>
        <v>0</v>
      </c>
      <c r="AM51" s="64" t="s">
        <v>46</v>
      </c>
      <c r="AN51" s="63">
        <f ca="1">SUM(AE51:AM51)</f>
        <v>0</v>
      </c>
      <c r="AO51" s="68" t="e">
        <f ca="1">1/(AC51+AD51)</f>
        <v>#DIV/0!</v>
      </c>
      <c r="AP51" s="67">
        <v>0</v>
      </c>
      <c r="AQ51" s="68">
        <f ca="1">IF(AC51&gt;=1,G51,0)+SUMIF($H$4:$M$4,"&lt;="&amp;AD51,$H51:$M51)+IF(AD51&gt;=7,N51,0)</f>
        <v>0</v>
      </c>
    </row>
    <row r="52" spans="1:43" x14ac:dyDescent="0.15">
      <c r="A52" s="50"/>
      <c r="B52" s="50"/>
      <c r="C52" s="145">
        <f ca="1">OFFSET(①簡易状況入力!$C$5,MATCH(A50,①簡易状況入力!$C$5:$C$104,0)-1,19)</f>
        <v>0</v>
      </c>
      <c r="D52" s="148" t="s">
        <v>50</v>
      </c>
      <c r="E52" s="56">
        <f t="shared" ref="E52" ca="1" si="162">E51</f>
        <v>0</v>
      </c>
      <c r="F52" s="56">
        <f ca="1">F51</f>
        <v>0</v>
      </c>
      <c r="G52" s="104"/>
      <c r="H52" s="104"/>
      <c r="I52" s="104"/>
      <c r="J52" s="104"/>
      <c r="K52" s="104"/>
      <c r="L52" s="104"/>
      <c r="M52" s="104"/>
      <c r="N52" s="104"/>
      <c r="O52" s="106"/>
      <c r="Q52" s="50"/>
      <c r="R52" s="58"/>
      <c r="S52" s="165" t="s">
        <v>28</v>
      </c>
      <c r="T52" s="146" t="s">
        <v>35</v>
      </c>
      <c r="U52" s="35">
        <f ca="1">OFFSET(①簡易状況入力!$C$5,MATCH(A50,①簡易状況入力!$C$5:$C$104,0)-1,2)</f>
        <v>0</v>
      </c>
      <c r="V52" s="58"/>
      <c r="W52" s="146" t="s">
        <v>33</v>
      </c>
      <c r="X52" s="37">
        <f ca="1">OFFSET(①簡易状況入力!$C$5,MATCH(A50,①簡易状況入力!$C$5:$C$104,0)-1,6)</f>
        <v>0</v>
      </c>
      <c r="Y52" s="149">
        <f ca="1">OFFSET(①簡易状況入力!$C$5,MATCH(A50,①簡易状況入力!$C$5:$C$104,0)-1,11)</f>
        <v>0</v>
      </c>
      <c r="Z52" s="167">
        <f ca="1">OFFSET(①簡易状況入力!$C$5,MATCH(A50,①簡易状況入力!$C$5:$C$104,0)-1,12)</f>
        <v>0</v>
      </c>
      <c r="AA52" s="168"/>
      <c r="AB52" s="148" t="s">
        <v>50</v>
      </c>
      <c r="AC52" s="56">
        <f t="shared" ref="AC52:AD52" ca="1" si="163">AC51</f>
        <v>0</v>
      </c>
      <c r="AD52" s="56">
        <f t="shared" ca="1" si="163"/>
        <v>0</v>
      </c>
      <c r="AE52" s="63">
        <f ca="1">IF($C52="あり",IF(AC52&gt;=1,G52/AQ52,0),IF(AC52&gt;=1,AO52*AC52,0))</f>
        <v>0</v>
      </c>
      <c r="AF52" s="63">
        <f t="shared" ca="1" si="156"/>
        <v>0</v>
      </c>
      <c r="AG52" s="63">
        <f t="shared" ca="1" si="157"/>
        <v>0</v>
      </c>
      <c r="AH52" s="63">
        <f t="shared" ca="1" si="158"/>
        <v>0</v>
      </c>
      <c r="AI52" s="63">
        <f t="shared" ca="1" si="159"/>
        <v>0</v>
      </c>
      <c r="AJ52" s="63">
        <f t="shared" ca="1" si="160"/>
        <v>0</v>
      </c>
      <c r="AK52" s="63">
        <f t="shared" ca="1" si="161"/>
        <v>0</v>
      </c>
      <c r="AL52" s="63">
        <f ca="1">IF($C52="あり",IF($AD52&gt;=7,N52/$AQ52,0),IF($AD52&gt;=7,$AO52*($AD52-6),0))</f>
        <v>0</v>
      </c>
      <c r="AM52" s="65">
        <f ca="1">IF(C52="あり",O52/AQ52,AP52)</f>
        <v>0</v>
      </c>
      <c r="AN52" s="63">
        <f ca="1">SUM(AE52:AM52)</f>
        <v>0</v>
      </c>
      <c r="AO52" s="68" t="e">
        <f ca="1">1/(AC52+AD52)</f>
        <v>#DIV/0!</v>
      </c>
      <c r="AP52" s="67">
        <v>0</v>
      </c>
      <c r="AQ52" s="68">
        <f ca="1">IF(AC52&gt;=1,G52,0)+SUMIF($H$4:$M$4,"&lt;="&amp;AD52,$H52:$M52)+IF(AD52&gt;=7,N52,0)+O52</f>
        <v>0</v>
      </c>
    </row>
    <row r="53" spans="1:43" x14ac:dyDescent="0.15">
      <c r="A53" s="50"/>
      <c r="B53" s="50"/>
      <c r="C53" s="145">
        <f ca="1">OFFSET(①簡易状況入力!$C$5,MATCH(A50,①簡易状況入力!$C$5:$C$104,0)-1,20)</f>
        <v>0</v>
      </c>
      <c r="D53" s="148" t="s">
        <v>51</v>
      </c>
      <c r="E53" s="56">
        <f t="shared" ref="E53:F53" ca="1" si="164">E52</f>
        <v>0</v>
      </c>
      <c r="F53" s="56">
        <f t="shared" ca="1" si="164"/>
        <v>0</v>
      </c>
      <c r="G53" s="104"/>
      <c r="H53" s="104"/>
      <c r="I53" s="104"/>
      <c r="J53" s="104"/>
      <c r="K53" s="104"/>
      <c r="L53" s="104"/>
      <c r="M53" s="104"/>
      <c r="N53" s="104"/>
      <c r="O53" s="106"/>
      <c r="Q53" s="50"/>
      <c r="R53" s="58"/>
      <c r="S53" s="166"/>
      <c r="T53" s="146" t="s">
        <v>34</v>
      </c>
      <c r="U53" s="35">
        <f ca="1">OFFSET(①簡易状況入力!$C$5,MATCH(A50,①簡易状況入力!$C$5:$C$104,0)-1,3)</f>
        <v>0</v>
      </c>
      <c r="V53" s="58"/>
      <c r="W53" s="146" t="s">
        <v>118</v>
      </c>
      <c r="X53" s="37">
        <f ca="1">OFFSET(①簡易状況入力!$C$5,MATCH(A50,①簡易状況入力!$C$5:$C$104,0)-1,7)</f>
        <v>0</v>
      </c>
      <c r="Y53" s="149">
        <f ca="1">OFFSET(①簡易状況入力!$C$5,MATCH(A50,①簡易状況入力!$C$5:$C$104,0)-1,13)</f>
        <v>0</v>
      </c>
      <c r="Z53" s="167">
        <f ca="1">OFFSET(①簡易状況入力!$C$5,MATCH(A50,①簡易状況入力!$C$5:$C$104,0)-1,14)</f>
        <v>0</v>
      </c>
      <c r="AA53" s="168"/>
      <c r="AB53" s="148" t="s">
        <v>51</v>
      </c>
      <c r="AC53" s="56">
        <f t="shared" ref="AC53:AD53" ca="1" si="165">AC52</f>
        <v>0</v>
      </c>
      <c r="AD53" s="56">
        <f t="shared" ca="1" si="165"/>
        <v>0</v>
      </c>
      <c r="AE53" s="63">
        <f ca="1">IF($C53="あり",IF(AC53&gt;=1,G53/AQ53,0),IF(AC53&gt;=1,AO53*AC53,0))</f>
        <v>0</v>
      </c>
      <c r="AF53" s="63">
        <f t="shared" ca="1" si="156"/>
        <v>0</v>
      </c>
      <c r="AG53" s="63">
        <f t="shared" ca="1" si="157"/>
        <v>0</v>
      </c>
      <c r="AH53" s="63">
        <f t="shared" ca="1" si="158"/>
        <v>0</v>
      </c>
      <c r="AI53" s="63">
        <f t="shared" ca="1" si="159"/>
        <v>0</v>
      </c>
      <c r="AJ53" s="63">
        <f t="shared" ca="1" si="160"/>
        <v>0</v>
      </c>
      <c r="AK53" s="63">
        <f t="shared" ca="1" si="161"/>
        <v>0</v>
      </c>
      <c r="AL53" s="63">
        <f ca="1">IF($C53="あり",IF($AD53&gt;=7,N53/$AQ53,0),IF($AD53&gt;=7,$AO53*($AD53-6),0))</f>
        <v>0</v>
      </c>
      <c r="AM53" s="65">
        <f ca="1">IF(C53="あり",O53/AQ53,AP53)</f>
        <v>0</v>
      </c>
      <c r="AN53" s="63">
        <f ca="1">SUM(AE53:AM53)</f>
        <v>0</v>
      </c>
      <c r="AO53" s="68" t="e">
        <f ca="1">1/(AC53+AD53)</f>
        <v>#DIV/0!</v>
      </c>
      <c r="AP53" s="67">
        <v>0</v>
      </c>
      <c r="AQ53" s="68">
        <f ca="1">IF(AC53&gt;=1,G53,0)+SUMIF($H$4:$M$4,"&lt;="&amp;AD53,$H53:$M53)+IF(AD53&gt;=7,N53,0)+O53</f>
        <v>0</v>
      </c>
    </row>
    <row r="54" spans="1:43" x14ac:dyDescent="0.15">
      <c r="G54" s="107"/>
      <c r="H54" s="107"/>
      <c r="I54" s="107"/>
      <c r="J54" s="107"/>
      <c r="K54" s="107"/>
      <c r="L54" s="107"/>
      <c r="M54" s="107"/>
      <c r="N54" s="107"/>
      <c r="O54" s="107"/>
    </row>
    <row r="55" spans="1:43" x14ac:dyDescent="0.15">
      <c r="A55" s="59" t="s">
        <v>191</v>
      </c>
      <c r="B55" s="60">
        <f ca="1">OFFSET(①簡易状況入力!$C$5,MATCH(A55,①簡易状況入力!$C$5:$C$104,0)-1,1)</f>
        <v>0</v>
      </c>
      <c r="C55" s="145">
        <f ca="1">OFFSET(①簡易状況入力!$C$5,MATCH(A55,①簡易状況入力!$C$5:$C$104,0)-1,17)</f>
        <v>0</v>
      </c>
      <c r="D55" s="148" t="s">
        <v>47</v>
      </c>
      <c r="E55" s="56">
        <f ca="1">U58</f>
        <v>0</v>
      </c>
      <c r="F55" s="56">
        <f ca="1">U57</f>
        <v>0</v>
      </c>
      <c r="G55" s="102"/>
      <c r="H55" s="103"/>
      <c r="I55" s="103"/>
      <c r="J55" s="103"/>
      <c r="K55" s="103"/>
      <c r="L55" s="103"/>
      <c r="M55" s="103"/>
      <c r="N55" s="103"/>
      <c r="O55" s="103"/>
      <c r="Q55" s="57">
        <f ca="1">OFFSET(①簡易状況入力!$C$5,MATCH(A55,①簡易状況入力!$C$5:$C$104,0)-1,15)</f>
        <v>0</v>
      </c>
      <c r="R55" s="58"/>
      <c r="S55" s="58"/>
      <c r="T55" s="58"/>
      <c r="U55" s="58"/>
      <c r="V55" s="58"/>
      <c r="W55" s="58"/>
      <c r="X55" s="58"/>
      <c r="Y55" s="58"/>
      <c r="Z55" s="58"/>
      <c r="AA55" s="58"/>
      <c r="AB55" s="148" t="s">
        <v>47</v>
      </c>
      <c r="AC55" s="56">
        <f ca="1">U58</f>
        <v>0</v>
      </c>
      <c r="AD55" s="56">
        <f ca="1">U57</f>
        <v>0</v>
      </c>
      <c r="AE55" s="62" t="s">
        <v>46</v>
      </c>
      <c r="AF55" s="62" t="str">
        <f t="shared" ref="AF55" ca="1" si="166">IF($C55="あり",IF(AF$4&lt;=$AD55,H55,"-"),IF(AF$4&lt;=$AD55,$AO55,"-"))</f>
        <v>-</v>
      </c>
      <c r="AG55" s="62" t="str">
        <f t="shared" ref="AG55" ca="1" si="167">IF($C55="あり",IF(AG$4&lt;=$AD55,I55,"-"),IF(AG$4&lt;=$AD55,$AO55,"-"))</f>
        <v>-</v>
      </c>
      <c r="AH55" s="62" t="str">
        <f t="shared" ref="AH55" ca="1" si="168">IF($C55="あり",IF(AH$4&lt;=$AD55,J55,"-"),IF(AH$4&lt;=$AD55,$AO55,"-"))</f>
        <v>-</v>
      </c>
      <c r="AI55" s="62" t="str">
        <f t="shared" ref="AI55" ca="1" si="169">IF($C55="あり",IF(AI$4&lt;=$AD55,K55,"-"),IF(AI$4&lt;=$AD55,$AO55,"-"))</f>
        <v>-</v>
      </c>
      <c r="AJ55" s="62" t="str">
        <f t="shared" ref="AJ55" ca="1" si="170">IF($C55="あり",IF(AJ$4&lt;=$AD55,L55,"-"),IF(AJ$4&lt;=$AD55,$AO55,"-"))</f>
        <v>-</v>
      </c>
      <c r="AK55" s="62" t="str">
        <f t="shared" ref="AK55" ca="1" si="171">IF($C55="あり",IF(AK$4&lt;=$AD55,M55,"-"),IF(AK$4&lt;=$AD55,$AO55,"-"))</f>
        <v>-</v>
      </c>
      <c r="AL55" s="62" t="str">
        <f ca="1">IF($C55="あり",IF(7&lt;=$AD55,N55,"-"),IF(7&lt;=$AD55,$AO55*($AD55-6),"-"))</f>
        <v>-</v>
      </c>
      <c r="AM55" s="62">
        <f ca="1">IF(C55="あり",O55,AP55)</f>
        <v>0</v>
      </c>
      <c r="AN55" s="62">
        <f ca="1">SUM(U56,AF55:AM55)</f>
        <v>0</v>
      </c>
      <c r="AO55" s="42">
        <f ca="1">OFFSET(【DB】被害率係数!$A$4,MATCH(②詳細状況入力!$Y56,【DB】被害率係数!$A$4:$A$19,0)-1,16)</f>
        <v>0</v>
      </c>
      <c r="AP55" s="42">
        <f ca="1">OFFSET(【DB】被害率係数!$A$4,MATCH(②詳細状況入力!$Y56,【DB】被害率係数!$A$4:$A$19,0)-1,17)</f>
        <v>0</v>
      </c>
      <c r="AQ55" s="42"/>
    </row>
    <row r="56" spans="1:43" x14ac:dyDescent="0.15">
      <c r="A56" s="50"/>
      <c r="B56" s="50"/>
      <c r="C56" s="145">
        <f ca="1">OFFSET(①簡易状況入力!$C$5,MATCH(A55,①簡易状況入力!$C$5:$C$104,0)-1,18)</f>
        <v>0</v>
      </c>
      <c r="D56" s="148" t="s">
        <v>52</v>
      </c>
      <c r="E56" s="56">
        <f t="shared" ref="E56:F56" ca="1" si="172">E55</f>
        <v>0</v>
      </c>
      <c r="F56" s="56">
        <f t="shared" ca="1" si="172"/>
        <v>0</v>
      </c>
      <c r="G56" s="104"/>
      <c r="H56" s="104"/>
      <c r="I56" s="104"/>
      <c r="J56" s="104"/>
      <c r="K56" s="104"/>
      <c r="L56" s="104"/>
      <c r="M56" s="104"/>
      <c r="N56" s="104"/>
      <c r="O56" s="105"/>
      <c r="Q56" s="57">
        <f ca="1">OFFSET(①簡易状況入力!$C$5,MATCH(A55,①簡易状況入力!$C$5:$C$104,0)-1,16)</f>
        <v>0</v>
      </c>
      <c r="R56" s="58"/>
      <c r="S56" s="146" t="s">
        <v>115</v>
      </c>
      <c r="T56" s="146" t="s">
        <v>116</v>
      </c>
      <c r="U56" s="36">
        <f ca="1">OFFSET(①簡易状況入力!$C$5,MATCH(A55,①簡易状況入力!$C$5:$C$104,0)-1,4)</f>
        <v>0</v>
      </c>
      <c r="V56" s="58"/>
      <c r="W56" s="146" t="s">
        <v>30</v>
      </c>
      <c r="X56" s="37">
        <f ca="1">OFFSET(①簡易状況入力!$C$5,MATCH(A55,①簡易状況入力!$C$5:$C$104,0)-1,5)</f>
        <v>0</v>
      </c>
      <c r="Y56" s="149">
        <f ca="1">OFFSET(①簡易状況入力!$C$5,MATCH(A55,①簡易状況入力!$C$5:$C$104,0)-1,8)</f>
        <v>0</v>
      </c>
      <c r="Z56" s="149">
        <f ca="1">OFFSET(①簡易状況入力!$C$5,MATCH(A55,①簡易状況入力!$C$5:$C$104,0)-1,9)</f>
        <v>0</v>
      </c>
      <c r="AA56" s="149">
        <f ca="1">OFFSET(①簡易状況入力!$C$5,MATCH(A55,①簡易状況入力!$C$5:$C$104,0)-1,10)</f>
        <v>0</v>
      </c>
      <c r="AB56" s="148" t="s">
        <v>52</v>
      </c>
      <c r="AC56" s="56">
        <f t="shared" ref="AC56:AD56" ca="1" si="173">AC55</f>
        <v>0</v>
      </c>
      <c r="AD56" s="56">
        <f t="shared" ca="1" si="173"/>
        <v>0</v>
      </c>
      <c r="AE56" s="63">
        <f ca="1">IF($C56="あり",IF(AC56&gt;=1,G56/AQ56,0),IF(AC56&gt;=1,AO56*AC56,0))</f>
        <v>0</v>
      </c>
      <c r="AF56" s="63">
        <f t="shared" ref="AF56:AF58" ca="1" si="174">IF($C56="あり",IF($AD56&gt;=AF$4,H56/$AQ56,0),IF($AD56&gt;=AF$4,$AO56,0))</f>
        <v>0</v>
      </c>
      <c r="AG56" s="63">
        <f t="shared" ref="AG56:AG58" ca="1" si="175">IF($C56="あり",IF($AD56&gt;=AG$4,I56/$AQ56,0),IF($AD56&gt;=AG$4,$AO56,0))</f>
        <v>0</v>
      </c>
      <c r="AH56" s="63">
        <f t="shared" ref="AH56:AH58" ca="1" si="176">IF($C56="あり",IF($AD56&gt;=AH$4,J56/$AQ56,0),IF($AD56&gt;=AH$4,$AO56,0))</f>
        <v>0</v>
      </c>
      <c r="AI56" s="63">
        <f t="shared" ref="AI56:AI58" ca="1" si="177">IF($C56="あり",IF($AD56&gt;=AI$4,K56/$AQ56,0),IF($AD56&gt;=AI$4,$AO56,0))</f>
        <v>0</v>
      </c>
      <c r="AJ56" s="63">
        <f t="shared" ref="AJ56:AJ58" ca="1" si="178">IF($C56="あり",IF($AD56&gt;=AJ$4,L56/$AQ56,0),IF($AD56&gt;=AJ$4,$AO56,0))</f>
        <v>0</v>
      </c>
      <c r="AK56" s="63">
        <f t="shared" ref="AK56:AK58" ca="1" si="179">IF($C56="あり",IF($AD56&gt;=AK$4,M56/$AQ56,0),IF($AD56&gt;=AK$4,$AO56,0))</f>
        <v>0</v>
      </c>
      <c r="AL56" s="63">
        <f ca="1">IF($C56="あり",IF($AD56&gt;=7,N56/$AQ56,0),IF($AD56&gt;=7,$AO56*($AD56-6),0))</f>
        <v>0</v>
      </c>
      <c r="AM56" s="64" t="s">
        <v>46</v>
      </c>
      <c r="AN56" s="63">
        <f ca="1">SUM(AE56:AM56)</f>
        <v>0</v>
      </c>
      <c r="AO56" s="68" t="e">
        <f ca="1">1/(AC56+AD56)</f>
        <v>#DIV/0!</v>
      </c>
      <c r="AP56" s="67">
        <v>0</v>
      </c>
      <c r="AQ56" s="68">
        <f ca="1">IF(AC56&gt;=1,G56,0)+SUMIF($H$4:$M$4,"&lt;="&amp;AD56,$H56:$M56)+IF(AD56&gt;=7,N56,0)</f>
        <v>0</v>
      </c>
    </row>
    <row r="57" spans="1:43" x14ac:dyDescent="0.15">
      <c r="A57" s="50"/>
      <c r="B57" s="50"/>
      <c r="C57" s="145">
        <f ca="1">OFFSET(①簡易状況入力!$C$5,MATCH(A55,①簡易状況入力!$C$5:$C$104,0)-1,19)</f>
        <v>0</v>
      </c>
      <c r="D57" s="148" t="s">
        <v>50</v>
      </c>
      <c r="E57" s="56">
        <f t="shared" ref="E57" ca="1" si="180">E56</f>
        <v>0</v>
      </c>
      <c r="F57" s="56">
        <f ca="1">F56</f>
        <v>0</v>
      </c>
      <c r="G57" s="104"/>
      <c r="H57" s="104"/>
      <c r="I57" s="104"/>
      <c r="J57" s="104"/>
      <c r="K57" s="104"/>
      <c r="L57" s="104"/>
      <c r="M57" s="104"/>
      <c r="N57" s="104"/>
      <c r="O57" s="106"/>
      <c r="Q57" s="50"/>
      <c r="R57" s="58"/>
      <c r="S57" s="165" t="s">
        <v>28</v>
      </c>
      <c r="T57" s="146" t="s">
        <v>35</v>
      </c>
      <c r="U57" s="35">
        <f ca="1">OFFSET(①簡易状況入力!$C$5,MATCH(A55,①簡易状況入力!$C$5:$C$104,0)-1,2)</f>
        <v>0</v>
      </c>
      <c r="V57" s="58"/>
      <c r="W57" s="146" t="s">
        <v>33</v>
      </c>
      <c r="X57" s="37">
        <f ca="1">OFFSET(①簡易状況入力!$C$5,MATCH(A55,①簡易状況入力!$C$5:$C$104,0)-1,6)</f>
        <v>0</v>
      </c>
      <c r="Y57" s="149">
        <f ca="1">OFFSET(①簡易状況入力!$C$5,MATCH(A55,①簡易状況入力!$C$5:$C$104,0)-1,11)</f>
        <v>0</v>
      </c>
      <c r="Z57" s="167">
        <f ca="1">OFFSET(①簡易状況入力!$C$5,MATCH(A55,①簡易状況入力!$C$5:$C$104,0)-1,12)</f>
        <v>0</v>
      </c>
      <c r="AA57" s="168"/>
      <c r="AB57" s="148" t="s">
        <v>50</v>
      </c>
      <c r="AC57" s="56">
        <f t="shared" ref="AC57:AD57" ca="1" si="181">AC56</f>
        <v>0</v>
      </c>
      <c r="AD57" s="56">
        <f t="shared" ca="1" si="181"/>
        <v>0</v>
      </c>
      <c r="AE57" s="63">
        <f ca="1">IF($C57="あり",IF(AC57&gt;=1,G57/AQ57,0),IF(AC57&gt;=1,AO57*AC57,0))</f>
        <v>0</v>
      </c>
      <c r="AF57" s="63">
        <f t="shared" ca="1" si="174"/>
        <v>0</v>
      </c>
      <c r="AG57" s="63">
        <f t="shared" ca="1" si="175"/>
        <v>0</v>
      </c>
      <c r="AH57" s="63">
        <f t="shared" ca="1" si="176"/>
        <v>0</v>
      </c>
      <c r="AI57" s="63">
        <f t="shared" ca="1" si="177"/>
        <v>0</v>
      </c>
      <c r="AJ57" s="63">
        <f t="shared" ca="1" si="178"/>
        <v>0</v>
      </c>
      <c r="AK57" s="63">
        <f t="shared" ca="1" si="179"/>
        <v>0</v>
      </c>
      <c r="AL57" s="63">
        <f ca="1">IF($C57="あり",IF($AD57&gt;=7,N57/$AQ57,0),IF($AD57&gt;=7,$AO57*($AD57-6),0))</f>
        <v>0</v>
      </c>
      <c r="AM57" s="65">
        <f ca="1">IF(C57="あり",O57/AQ57,AP57)</f>
        <v>0</v>
      </c>
      <c r="AN57" s="63">
        <f ca="1">SUM(AE57:AM57)</f>
        <v>0</v>
      </c>
      <c r="AO57" s="68" t="e">
        <f ca="1">1/(AC57+AD57)</f>
        <v>#DIV/0!</v>
      </c>
      <c r="AP57" s="67">
        <v>0</v>
      </c>
      <c r="AQ57" s="68">
        <f ca="1">IF(AC57&gt;=1,G57,0)+SUMIF($H$4:$M$4,"&lt;="&amp;AD57,$H57:$M57)+IF(AD57&gt;=7,N57,0)+O57</f>
        <v>0</v>
      </c>
    </row>
    <row r="58" spans="1:43" x14ac:dyDescent="0.15">
      <c r="A58" s="50"/>
      <c r="B58" s="50"/>
      <c r="C58" s="145">
        <f ca="1">OFFSET(①簡易状況入力!$C$5,MATCH(A55,①簡易状況入力!$C$5:$C$104,0)-1,20)</f>
        <v>0</v>
      </c>
      <c r="D58" s="148" t="s">
        <v>51</v>
      </c>
      <c r="E58" s="56">
        <f t="shared" ref="E58:F58" ca="1" si="182">E57</f>
        <v>0</v>
      </c>
      <c r="F58" s="56">
        <f t="shared" ca="1" si="182"/>
        <v>0</v>
      </c>
      <c r="G58" s="104"/>
      <c r="H58" s="104"/>
      <c r="I58" s="104"/>
      <c r="J58" s="104"/>
      <c r="K58" s="104"/>
      <c r="L58" s="104"/>
      <c r="M58" s="104"/>
      <c r="N58" s="104"/>
      <c r="O58" s="106"/>
      <c r="Q58" s="50"/>
      <c r="R58" s="58"/>
      <c r="S58" s="166"/>
      <c r="T58" s="146" t="s">
        <v>34</v>
      </c>
      <c r="U58" s="35">
        <f ca="1">OFFSET(①簡易状況入力!$C$5,MATCH(A55,①簡易状況入力!$C$5:$C$104,0)-1,3)</f>
        <v>0</v>
      </c>
      <c r="V58" s="58"/>
      <c r="W58" s="146" t="s">
        <v>118</v>
      </c>
      <c r="X58" s="37">
        <f ca="1">OFFSET(①簡易状況入力!$C$5,MATCH(A55,①簡易状況入力!$C$5:$C$104,0)-1,7)</f>
        <v>0</v>
      </c>
      <c r="Y58" s="149">
        <f ca="1">OFFSET(①簡易状況入力!$C$5,MATCH(A55,①簡易状況入力!$C$5:$C$104,0)-1,13)</f>
        <v>0</v>
      </c>
      <c r="Z58" s="167">
        <f ca="1">OFFSET(①簡易状況入力!$C$5,MATCH(A55,①簡易状況入力!$C$5:$C$104,0)-1,14)</f>
        <v>0</v>
      </c>
      <c r="AA58" s="168"/>
      <c r="AB58" s="148" t="s">
        <v>51</v>
      </c>
      <c r="AC58" s="56">
        <f t="shared" ref="AC58:AD58" ca="1" si="183">AC57</f>
        <v>0</v>
      </c>
      <c r="AD58" s="56">
        <f t="shared" ca="1" si="183"/>
        <v>0</v>
      </c>
      <c r="AE58" s="63">
        <f ca="1">IF($C58="あり",IF(AC58&gt;=1,G58/AQ58,0),IF(AC58&gt;=1,AO58*AC58,0))</f>
        <v>0</v>
      </c>
      <c r="AF58" s="63">
        <f t="shared" ca="1" si="174"/>
        <v>0</v>
      </c>
      <c r="AG58" s="63">
        <f t="shared" ca="1" si="175"/>
        <v>0</v>
      </c>
      <c r="AH58" s="63">
        <f t="shared" ca="1" si="176"/>
        <v>0</v>
      </c>
      <c r="AI58" s="63">
        <f t="shared" ca="1" si="177"/>
        <v>0</v>
      </c>
      <c r="AJ58" s="63">
        <f t="shared" ca="1" si="178"/>
        <v>0</v>
      </c>
      <c r="AK58" s="63">
        <f t="shared" ca="1" si="179"/>
        <v>0</v>
      </c>
      <c r="AL58" s="63">
        <f ca="1">IF($C58="あり",IF($AD58&gt;=7,N58/$AQ58,0),IF($AD58&gt;=7,$AO58*($AD58-6),0))</f>
        <v>0</v>
      </c>
      <c r="AM58" s="65">
        <f ca="1">IF(C58="あり",O58/AQ58,AP58)</f>
        <v>0</v>
      </c>
      <c r="AN58" s="63">
        <f ca="1">SUM(AE58:AM58)</f>
        <v>0</v>
      </c>
      <c r="AO58" s="68" t="e">
        <f ca="1">1/(AC58+AD58)</f>
        <v>#DIV/0!</v>
      </c>
      <c r="AP58" s="67">
        <v>0</v>
      </c>
      <c r="AQ58" s="68">
        <f ca="1">IF(AC58&gt;=1,G58,0)+SUMIF($H$4:$M$4,"&lt;="&amp;AD58,$H58:$M58)+IF(AD58&gt;=7,N58,0)+O58</f>
        <v>0</v>
      </c>
    </row>
    <row r="59" spans="1:43" x14ac:dyDescent="0.15">
      <c r="G59" s="107"/>
      <c r="H59" s="107"/>
      <c r="I59" s="107"/>
      <c r="J59" s="107"/>
      <c r="K59" s="107"/>
      <c r="L59" s="107"/>
      <c r="M59" s="107"/>
      <c r="N59" s="107"/>
      <c r="O59" s="107"/>
    </row>
    <row r="60" spans="1:43" x14ac:dyDescent="0.15">
      <c r="A60" s="59" t="s">
        <v>192</v>
      </c>
      <c r="B60" s="60">
        <f ca="1">OFFSET(①簡易状況入力!$C$5,MATCH(A60,①簡易状況入力!$C$5:$C$104,0)-1,1)</f>
        <v>0</v>
      </c>
      <c r="C60" s="145">
        <f ca="1">OFFSET(①簡易状況入力!$C$5,MATCH(A60,①簡易状況入力!$C$5:$C$104,0)-1,17)</f>
        <v>0</v>
      </c>
      <c r="D60" s="148" t="s">
        <v>47</v>
      </c>
      <c r="E60" s="56">
        <f ca="1">U63</f>
        <v>0</v>
      </c>
      <c r="F60" s="56">
        <f ca="1">U62</f>
        <v>0</v>
      </c>
      <c r="G60" s="102"/>
      <c r="H60" s="103"/>
      <c r="I60" s="103"/>
      <c r="J60" s="103"/>
      <c r="K60" s="103"/>
      <c r="L60" s="103"/>
      <c r="M60" s="103"/>
      <c r="N60" s="103"/>
      <c r="O60" s="103"/>
      <c r="Q60" s="57">
        <f ca="1">OFFSET(①簡易状況入力!$C$5,MATCH(A60,①簡易状況入力!$C$5:$C$104,0)-1,15)</f>
        <v>0</v>
      </c>
      <c r="R60" s="58"/>
      <c r="S60" s="58"/>
      <c r="T60" s="58"/>
      <c r="U60" s="58"/>
      <c r="V60" s="58"/>
      <c r="W60" s="58"/>
      <c r="X60" s="58"/>
      <c r="Y60" s="58"/>
      <c r="Z60" s="58"/>
      <c r="AA60" s="58"/>
      <c r="AB60" s="148" t="s">
        <v>47</v>
      </c>
      <c r="AC60" s="56">
        <f ca="1">U63</f>
        <v>0</v>
      </c>
      <c r="AD60" s="56">
        <f ca="1">U62</f>
        <v>0</v>
      </c>
      <c r="AE60" s="62" t="s">
        <v>46</v>
      </c>
      <c r="AF60" s="62" t="str">
        <f t="shared" ref="AF60" ca="1" si="184">IF($C60="あり",IF(AF$4&lt;=$AD60,H60,"-"),IF(AF$4&lt;=$AD60,$AO60,"-"))</f>
        <v>-</v>
      </c>
      <c r="AG60" s="62" t="str">
        <f t="shared" ref="AG60" ca="1" si="185">IF($C60="あり",IF(AG$4&lt;=$AD60,I60,"-"),IF(AG$4&lt;=$AD60,$AO60,"-"))</f>
        <v>-</v>
      </c>
      <c r="AH60" s="62" t="str">
        <f t="shared" ref="AH60" ca="1" si="186">IF($C60="あり",IF(AH$4&lt;=$AD60,J60,"-"),IF(AH$4&lt;=$AD60,$AO60,"-"))</f>
        <v>-</v>
      </c>
      <c r="AI60" s="62" t="str">
        <f t="shared" ref="AI60" ca="1" si="187">IF($C60="あり",IF(AI$4&lt;=$AD60,K60,"-"),IF(AI$4&lt;=$AD60,$AO60,"-"))</f>
        <v>-</v>
      </c>
      <c r="AJ60" s="62" t="str">
        <f t="shared" ref="AJ60" ca="1" si="188">IF($C60="あり",IF(AJ$4&lt;=$AD60,L60,"-"),IF(AJ$4&lt;=$AD60,$AO60,"-"))</f>
        <v>-</v>
      </c>
      <c r="AK60" s="62" t="str">
        <f t="shared" ref="AK60" ca="1" si="189">IF($C60="あり",IF(AK$4&lt;=$AD60,M60,"-"),IF(AK$4&lt;=$AD60,$AO60,"-"))</f>
        <v>-</v>
      </c>
      <c r="AL60" s="62" t="str">
        <f ca="1">IF($C60="あり",IF(7&lt;=$AD60,N60,"-"),IF(7&lt;=$AD60,$AO60*($AD60-6),"-"))</f>
        <v>-</v>
      </c>
      <c r="AM60" s="62">
        <f ca="1">IF(C60="あり",O60,AP60)</f>
        <v>0</v>
      </c>
      <c r="AN60" s="62">
        <f ca="1">SUM(U61,AF60:AM60)</f>
        <v>0</v>
      </c>
      <c r="AO60" s="42">
        <f ca="1">OFFSET(【DB】被害率係数!$A$4,MATCH(②詳細状況入力!$Y61,【DB】被害率係数!$A$4:$A$19,0)-1,16)</f>
        <v>0</v>
      </c>
      <c r="AP60" s="42">
        <f ca="1">OFFSET(【DB】被害率係数!$A$4,MATCH(②詳細状況入力!$Y61,【DB】被害率係数!$A$4:$A$19,0)-1,17)</f>
        <v>0</v>
      </c>
      <c r="AQ60" s="42"/>
    </row>
    <row r="61" spans="1:43" x14ac:dyDescent="0.15">
      <c r="A61" s="50"/>
      <c r="B61" s="50"/>
      <c r="C61" s="145">
        <f ca="1">OFFSET(①簡易状況入力!$C$5,MATCH(A60,①簡易状況入力!$C$5:$C$104,0)-1,18)</f>
        <v>0</v>
      </c>
      <c r="D61" s="148" t="s">
        <v>52</v>
      </c>
      <c r="E61" s="56">
        <f t="shared" ref="E61:F61" ca="1" si="190">E60</f>
        <v>0</v>
      </c>
      <c r="F61" s="56">
        <f t="shared" ca="1" si="190"/>
        <v>0</v>
      </c>
      <c r="G61" s="104"/>
      <c r="H61" s="104"/>
      <c r="I61" s="104"/>
      <c r="J61" s="104"/>
      <c r="K61" s="104"/>
      <c r="L61" s="104"/>
      <c r="M61" s="104"/>
      <c r="N61" s="104"/>
      <c r="O61" s="105"/>
      <c r="Q61" s="57">
        <f ca="1">OFFSET(①簡易状況入力!$C$5,MATCH(A60,①簡易状況入力!$C$5:$C$104,0)-1,16)</f>
        <v>0</v>
      </c>
      <c r="R61" s="58"/>
      <c r="S61" s="146" t="s">
        <v>115</v>
      </c>
      <c r="T61" s="146" t="s">
        <v>116</v>
      </c>
      <c r="U61" s="36">
        <f ca="1">OFFSET(①簡易状況入力!$C$5,MATCH(A60,①簡易状況入力!$C$5:$C$104,0)-1,4)</f>
        <v>0</v>
      </c>
      <c r="V61" s="58"/>
      <c r="W61" s="146" t="s">
        <v>30</v>
      </c>
      <c r="X61" s="37">
        <f ca="1">OFFSET(①簡易状況入力!$C$5,MATCH(A60,①簡易状況入力!$C$5:$C$104,0)-1,5)</f>
        <v>0</v>
      </c>
      <c r="Y61" s="149">
        <f ca="1">OFFSET(①簡易状況入力!$C$5,MATCH(A60,①簡易状況入力!$C$5:$C$104,0)-1,8)</f>
        <v>0</v>
      </c>
      <c r="Z61" s="149">
        <f ca="1">OFFSET(①簡易状況入力!$C$5,MATCH(A60,①簡易状況入力!$C$5:$C$104,0)-1,9)</f>
        <v>0</v>
      </c>
      <c r="AA61" s="149">
        <f ca="1">OFFSET(①簡易状況入力!$C$5,MATCH(A60,①簡易状況入力!$C$5:$C$104,0)-1,10)</f>
        <v>0</v>
      </c>
      <c r="AB61" s="148" t="s">
        <v>52</v>
      </c>
      <c r="AC61" s="56">
        <f t="shared" ref="AC61:AD61" ca="1" si="191">AC60</f>
        <v>0</v>
      </c>
      <c r="AD61" s="56">
        <f t="shared" ca="1" si="191"/>
        <v>0</v>
      </c>
      <c r="AE61" s="63">
        <f ca="1">IF($C61="あり",IF(AC61&gt;=1,G61/AQ61,0),IF(AC61&gt;=1,AO61*AC61,0))</f>
        <v>0</v>
      </c>
      <c r="AF61" s="63">
        <f t="shared" ref="AF61:AF63" ca="1" si="192">IF($C61="あり",IF($AD61&gt;=AF$4,H61/$AQ61,0),IF($AD61&gt;=AF$4,$AO61,0))</f>
        <v>0</v>
      </c>
      <c r="AG61" s="63">
        <f t="shared" ref="AG61:AG63" ca="1" si="193">IF($C61="あり",IF($AD61&gt;=AG$4,I61/$AQ61,0),IF($AD61&gt;=AG$4,$AO61,0))</f>
        <v>0</v>
      </c>
      <c r="AH61" s="63">
        <f t="shared" ref="AH61:AH63" ca="1" si="194">IF($C61="あり",IF($AD61&gt;=AH$4,J61/$AQ61,0),IF($AD61&gt;=AH$4,$AO61,0))</f>
        <v>0</v>
      </c>
      <c r="AI61" s="63">
        <f t="shared" ref="AI61:AI63" ca="1" si="195">IF($C61="あり",IF($AD61&gt;=AI$4,K61/$AQ61,0),IF($AD61&gt;=AI$4,$AO61,0))</f>
        <v>0</v>
      </c>
      <c r="AJ61" s="63">
        <f t="shared" ref="AJ61:AJ63" ca="1" si="196">IF($C61="あり",IF($AD61&gt;=AJ$4,L61/$AQ61,0),IF($AD61&gt;=AJ$4,$AO61,0))</f>
        <v>0</v>
      </c>
      <c r="AK61" s="63">
        <f t="shared" ref="AK61:AK63" ca="1" si="197">IF($C61="あり",IF($AD61&gt;=AK$4,M61/$AQ61,0),IF($AD61&gt;=AK$4,$AO61,0))</f>
        <v>0</v>
      </c>
      <c r="AL61" s="63">
        <f ca="1">IF($C61="あり",IF($AD61&gt;=7,N61/$AQ61,0),IF($AD61&gt;=7,$AO61*($AD61-6),0))</f>
        <v>0</v>
      </c>
      <c r="AM61" s="64" t="s">
        <v>46</v>
      </c>
      <c r="AN61" s="63">
        <f ca="1">SUM(AE61:AM61)</f>
        <v>0</v>
      </c>
      <c r="AO61" s="68" t="e">
        <f ca="1">1/(AC61+AD61)</f>
        <v>#DIV/0!</v>
      </c>
      <c r="AP61" s="67">
        <v>0</v>
      </c>
      <c r="AQ61" s="68">
        <f ca="1">IF(AC61&gt;=1,G61,0)+SUMIF($H$4:$M$4,"&lt;="&amp;AD61,$H61:$M61)+IF(AD61&gt;=7,N61,0)</f>
        <v>0</v>
      </c>
    </row>
    <row r="62" spans="1:43" x14ac:dyDescent="0.15">
      <c r="A62" s="50"/>
      <c r="B62" s="50"/>
      <c r="C62" s="145">
        <f ca="1">OFFSET(①簡易状況入力!$C$5,MATCH(A60,①簡易状況入力!$C$5:$C$104,0)-1,19)</f>
        <v>0</v>
      </c>
      <c r="D62" s="148" t="s">
        <v>50</v>
      </c>
      <c r="E62" s="56">
        <f t="shared" ref="E62" ca="1" si="198">E61</f>
        <v>0</v>
      </c>
      <c r="F62" s="56">
        <f ca="1">F61</f>
        <v>0</v>
      </c>
      <c r="G62" s="104"/>
      <c r="H62" s="104"/>
      <c r="I62" s="104"/>
      <c r="J62" s="104"/>
      <c r="K62" s="104"/>
      <c r="L62" s="104"/>
      <c r="M62" s="104"/>
      <c r="N62" s="104"/>
      <c r="O62" s="106"/>
      <c r="Q62" s="50"/>
      <c r="R62" s="58"/>
      <c r="S62" s="165" t="s">
        <v>28</v>
      </c>
      <c r="T62" s="146" t="s">
        <v>35</v>
      </c>
      <c r="U62" s="35">
        <f ca="1">OFFSET(①簡易状況入力!$C$5,MATCH(A60,①簡易状況入力!$C$5:$C$104,0)-1,2)</f>
        <v>0</v>
      </c>
      <c r="V62" s="58"/>
      <c r="W62" s="146" t="s">
        <v>33</v>
      </c>
      <c r="X62" s="37">
        <f ca="1">OFFSET(①簡易状況入力!$C$5,MATCH(A60,①簡易状況入力!$C$5:$C$104,0)-1,6)</f>
        <v>0</v>
      </c>
      <c r="Y62" s="149">
        <f ca="1">OFFSET(①簡易状況入力!$C$5,MATCH(A60,①簡易状況入力!$C$5:$C$104,0)-1,11)</f>
        <v>0</v>
      </c>
      <c r="Z62" s="167">
        <f ca="1">OFFSET(①簡易状況入力!$C$5,MATCH(A60,①簡易状況入力!$C$5:$C$104,0)-1,12)</f>
        <v>0</v>
      </c>
      <c r="AA62" s="168"/>
      <c r="AB62" s="148" t="s">
        <v>50</v>
      </c>
      <c r="AC62" s="56">
        <f t="shared" ref="AC62:AD62" ca="1" si="199">AC61</f>
        <v>0</v>
      </c>
      <c r="AD62" s="56">
        <f t="shared" ca="1" si="199"/>
        <v>0</v>
      </c>
      <c r="AE62" s="63">
        <f ca="1">IF($C62="あり",IF(AC62&gt;=1,G62/AQ62,0),IF(AC62&gt;=1,AO62*AC62,0))</f>
        <v>0</v>
      </c>
      <c r="AF62" s="63">
        <f t="shared" ca="1" si="192"/>
        <v>0</v>
      </c>
      <c r="AG62" s="63">
        <f t="shared" ca="1" si="193"/>
        <v>0</v>
      </c>
      <c r="AH62" s="63">
        <f t="shared" ca="1" si="194"/>
        <v>0</v>
      </c>
      <c r="AI62" s="63">
        <f t="shared" ca="1" si="195"/>
        <v>0</v>
      </c>
      <c r="AJ62" s="63">
        <f t="shared" ca="1" si="196"/>
        <v>0</v>
      </c>
      <c r="AK62" s="63">
        <f t="shared" ca="1" si="197"/>
        <v>0</v>
      </c>
      <c r="AL62" s="63">
        <f ca="1">IF($C62="あり",IF($AD62&gt;=7,N62/$AQ62,0),IF($AD62&gt;=7,$AO62*($AD62-6),0))</f>
        <v>0</v>
      </c>
      <c r="AM62" s="65">
        <f ca="1">IF(C62="あり",O62/AQ62,AP62)</f>
        <v>0</v>
      </c>
      <c r="AN62" s="63">
        <f ca="1">SUM(AE62:AM62)</f>
        <v>0</v>
      </c>
      <c r="AO62" s="68" t="e">
        <f ca="1">1/(AC62+AD62)</f>
        <v>#DIV/0!</v>
      </c>
      <c r="AP62" s="67">
        <v>0</v>
      </c>
      <c r="AQ62" s="68">
        <f ca="1">IF(AC62&gt;=1,G62,0)+SUMIF($H$4:$M$4,"&lt;="&amp;AD62,$H62:$M62)+IF(AD62&gt;=7,N62,0)+O62</f>
        <v>0</v>
      </c>
    </row>
    <row r="63" spans="1:43" x14ac:dyDescent="0.15">
      <c r="A63" s="50"/>
      <c r="B63" s="50"/>
      <c r="C63" s="145">
        <f ca="1">OFFSET(①簡易状況入力!$C$5,MATCH(A60,①簡易状況入力!$C$5:$C$104,0)-1,20)</f>
        <v>0</v>
      </c>
      <c r="D63" s="148" t="s">
        <v>51</v>
      </c>
      <c r="E63" s="56">
        <f t="shared" ref="E63:F63" ca="1" si="200">E62</f>
        <v>0</v>
      </c>
      <c r="F63" s="56">
        <f t="shared" ca="1" si="200"/>
        <v>0</v>
      </c>
      <c r="G63" s="104"/>
      <c r="H63" s="104"/>
      <c r="I63" s="104"/>
      <c r="J63" s="104"/>
      <c r="K63" s="104"/>
      <c r="L63" s="104"/>
      <c r="M63" s="104"/>
      <c r="N63" s="104"/>
      <c r="O63" s="106"/>
      <c r="Q63" s="50"/>
      <c r="R63" s="58"/>
      <c r="S63" s="166"/>
      <c r="T63" s="146" t="s">
        <v>34</v>
      </c>
      <c r="U63" s="35">
        <f ca="1">OFFSET(①簡易状況入力!$C$5,MATCH(A60,①簡易状況入力!$C$5:$C$104,0)-1,3)</f>
        <v>0</v>
      </c>
      <c r="V63" s="58"/>
      <c r="W63" s="146" t="s">
        <v>118</v>
      </c>
      <c r="X63" s="37">
        <f ca="1">OFFSET(①簡易状況入力!$C$5,MATCH(A60,①簡易状況入力!$C$5:$C$104,0)-1,7)</f>
        <v>0</v>
      </c>
      <c r="Y63" s="149">
        <f ca="1">OFFSET(①簡易状況入力!$C$5,MATCH(A60,①簡易状況入力!$C$5:$C$104,0)-1,13)</f>
        <v>0</v>
      </c>
      <c r="Z63" s="167">
        <f ca="1">OFFSET(①簡易状況入力!$C$5,MATCH(A60,①簡易状況入力!$C$5:$C$104,0)-1,14)</f>
        <v>0</v>
      </c>
      <c r="AA63" s="168"/>
      <c r="AB63" s="148" t="s">
        <v>51</v>
      </c>
      <c r="AC63" s="56">
        <f t="shared" ref="AC63:AD63" ca="1" si="201">AC62</f>
        <v>0</v>
      </c>
      <c r="AD63" s="56">
        <f t="shared" ca="1" si="201"/>
        <v>0</v>
      </c>
      <c r="AE63" s="63">
        <f ca="1">IF($C63="あり",IF(AC63&gt;=1,G63/AQ63,0),IF(AC63&gt;=1,AO63*AC63,0))</f>
        <v>0</v>
      </c>
      <c r="AF63" s="63">
        <f t="shared" ca="1" si="192"/>
        <v>0</v>
      </c>
      <c r="AG63" s="63">
        <f t="shared" ca="1" si="193"/>
        <v>0</v>
      </c>
      <c r="AH63" s="63">
        <f t="shared" ca="1" si="194"/>
        <v>0</v>
      </c>
      <c r="AI63" s="63">
        <f t="shared" ca="1" si="195"/>
        <v>0</v>
      </c>
      <c r="AJ63" s="63">
        <f t="shared" ca="1" si="196"/>
        <v>0</v>
      </c>
      <c r="AK63" s="63">
        <f t="shared" ca="1" si="197"/>
        <v>0</v>
      </c>
      <c r="AL63" s="63">
        <f ca="1">IF($C63="あり",IF($AD63&gt;=7,N63/$AQ63,0),IF($AD63&gt;=7,$AO63*($AD63-6),0))</f>
        <v>0</v>
      </c>
      <c r="AM63" s="65">
        <f ca="1">IF(C63="あり",O63/AQ63,AP63)</f>
        <v>0</v>
      </c>
      <c r="AN63" s="63">
        <f ca="1">SUM(AE63:AM63)</f>
        <v>0</v>
      </c>
      <c r="AO63" s="68" t="e">
        <f ca="1">1/(AC63+AD63)</f>
        <v>#DIV/0!</v>
      </c>
      <c r="AP63" s="67">
        <v>0</v>
      </c>
      <c r="AQ63" s="68">
        <f ca="1">IF(AC63&gt;=1,G63,0)+SUMIF($H$4:$M$4,"&lt;="&amp;AD63,$H63:$M63)+IF(AD63&gt;=7,N63,0)+O63</f>
        <v>0</v>
      </c>
    </row>
    <row r="64" spans="1:43" x14ac:dyDescent="0.15">
      <c r="G64" s="107"/>
      <c r="H64" s="107"/>
      <c r="I64" s="107"/>
      <c r="J64" s="107"/>
      <c r="K64" s="107"/>
      <c r="L64" s="107"/>
      <c r="M64" s="107"/>
      <c r="N64" s="107"/>
      <c r="O64" s="107"/>
    </row>
    <row r="65" spans="1:43" x14ac:dyDescent="0.15">
      <c r="A65" s="59" t="s">
        <v>193</v>
      </c>
      <c r="B65" s="60">
        <f ca="1">OFFSET(①簡易状況入力!$C$5,MATCH(A65,①簡易状況入力!$C$5:$C$104,0)-1,1)</f>
        <v>0</v>
      </c>
      <c r="C65" s="145">
        <f ca="1">OFFSET(①簡易状況入力!$C$5,MATCH(A65,①簡易状況入力!$C$5:$C$104,0)-1,17)</f>
        <v>0</v>
      </c>
      <c r="D65" s="148" t="s">
        <v>47</v>
      </c>
      <c r="E65" s="56">
        <f ca="1">U68</f>
        <v>0</v>
      </c>
      <c r="F65" s="56">
        <f ca="1">U67</f>
        <v>0</v>
      </c>
      <c r="G65" s="102"/>
      <c r="H65" s="103"/>
      <c r="I65" s="103"/>
      <c r="J65" s="103"/>
      <c r="K65" s="103"/>
      <c r="L65" s="103"/>
      <c r="M65" s="103"/>
      <c r="N65" s="103"/>
      <c r="O65" s="103"/>
      <c r="Q65" s="57">
        <f ca="1">OFFSET(①簡易状況入力!$C$5,MATCH(A65,①簡易状況入力!$C$5:$C$104,0)-1,15)</f>
        <v>0</v>
      </c>
      <c r="R65" s="58"/>
      <c r="S65" s="58"/>
      <c r="T65" s="58"/>
      <c r="U65" s="58"/>
      <c r="V65" s="58"/>
      <c r="W65" s="58"/>
      <c r="X65" s="58"/>
      <c r="Y65" s="58"/>
      <c r="Z65" s="58"/>
      <c r="AA65" s="58"/>
      <c r="AB65" s="148" t="s">
        <v>47</v>
      </c>
      <c r="AC65" s="56">
        <f ca="1">U68</f>
        <v>0</v>
      </c>
      <c r="AD65" s="56">
        <f ca="1">U67</f>
        <v>0</v>
      </c>
      <c r="AE65" s="62" t="s">
        <v>46</v>
      </c>
      <c r="AF65" s="62" t="str">
        <f t="shared" ref="AF65" ca="1" si="202">IF($C65="あり",IF(AF$4&lt;=$AD65,H65,"-"),IF(AF$4&lt;=$AD65,$AO65,"-"))</f>
        <v>-</v>
      </c>
      <c r="AG65" s="62" t="str">
        <f t="shared" ref="AG65" ca="1" si="203">IF($C65="あり",IF(AG$4&lt;=$AD65,I65,"-"),IF(AG$4&lt;=$AD65,$AO65,"-"))</f>
        <v>-</v>
      </c>
      <c r="AH65" s="62" t="str">
        <f t="shared" ref="AH65" ca="1" si="204">IF($C65="あり",IF(AH$4&lt;=$AD65,J65,"-"),IF(AH$4&lt;=$AD65,$AO65,"-"))</f>
        <v>-</v>
      </c>
      <c r="AI65" s="62" t="str">
        <f t="shared" ref="AI65" ca="1" si="205">IF($C65="あり",IF(AI$4&lt;=$AD65,K65,"-"),IF(AI$4&lt;=$AD65,$AO65,"-"))</f>
        <v>-</v>
      </c>
      <c r="AJ65" s="62" t="str">
        <f t="shared" ref="AJ65" ca="1" si="206">IF($C65="あり",IF(AJ$4&lt;=$AD65,L65,"-"),IF(AJ$4&lt;=$AD65,$AO65,"-"))</f>
        <v>-</v>
      </c>
      <c r="AK65" s="62" t="str">
        <f t="shared" ref="AK65" ca="1" si="207">IF($C65="あり",IF(AK$4&lt;=$AD65,M65,"-"),IF(AK$4&lt;=$AD65,$AO65,"-"))</f>
        <v>-</v>
      </c>
      <c r="AL65" s="62" t="str">
        <f ca="1">IF($C65="あり",IF(7&lt;=$AD65,N65,"-"),IF(7&lt;=$AD65,$AO65*($AD65-6),"-"))</f>
        <v>-</v>
      </c>
      <c r="AM65" s="62">
        <f ca="1">IF(C65="あり",O65,AP65)</f>
        <v>0</v>
      </c>
      <c r="AN65" s="62">
        <f ca="1">SUM(U66,AF65:AM65)</f>
        <v>0</v>
      </c>
      <c r="AO65" s="42">
        <f ca="1">OFFSET(【DB】被害率係数!$A$4,MATCH(②詳細状況入力!$Y66,【DB】被害率係数!$A$4:$A$19,0)-1,16)</f>
        <v>0</v>
      </c>
      <c r="AP65" s="42">
        <f ca="1">OFFSET(【DB】被害率係数!$A$4,MATCH(②詳細状況入力!$Y66,【DB】被害率係数!$A$4:$A$19,0)-1,17)</f>
        <v>0</v>
      </c>
      <c r="AQ65" s="42"/>
    </row>
    <row r="66" spans="1:43" x14ac:dyDescent="0.15">
      <c r="A66" s="50"/>
      <c r="B66" s="50"/>
      <c r="C66" s="145">
        <f ca="1">OFFSET(①簡易状況入力!$C$5,MATCH(A65,①簡易状況入力!$C$5:$C$104,0)-1,18)</f>
        <v>0</v>
      </c>
      <c r="D66" s="148" t="s">
        <v>52</v>
      </c>
      <c r="E66" s="56">
        <f t="shared" ref="E66:F66" ca="1" si="208">E65</f>
        <v>0</v>
      </c>
      <c r="F66" s="56">
        <f t="shared" ca="1" si="208"/>
        <v>0</v>
      </c>
      <c r="G66" s="104"/>
      <c r="H66" s="104"/>
      <c r="I66" s="104"/>
      <c r="J66" s="104"/>
      <c r="K66" s="104"/>
      <c r="L66" s="104"/>
      <c r="M66" s="104"/>
      <c r="N66" s="104"/>
      <c r="O66" s="105"/>
      <c r="Q66" s="57">
        <f ca="1">OFFSET(①簡易状況入力!$C$5,MATCH(A65,①簡易状況入力!$C$5:$C$104,0)-1,16)</f>
        <v>0</v>
      </c>
      <c r="R66" s="58"/>
      <c r="S66" s="146" t="s">
        <v>115</v>
      </c>
      <c r="T66" s="146" t="s">
        <v>116</v>
      </c>
      <c r="U66" s="36">
        <f ca="1">OFFSET(①簡易状況入力!$C$5,MATCH(A65,①簡易状況入力!$C$5:$C$104,0)-1,4)</f>
        <v>0</v>
      </c>
      <c r="V66" s="58"/>
      <c r="W66" s="146" t="s">
        <v>30</v>
      </c>
      <c r="X66" s="37">
        <f ca="1">OFFSET(①簡易状況入力!$C$5,MATCH(A65,①簡易状況入力!$C$5:$C$104,0)-1,5)</f>
        <v>0</v>
      </c>
      <c r="Y66" s="149">
        <f ca="1">OFFSET(①簡易状況入力!$C$5,MATCH(A65,①簡易状況入力!$C$5:$C$104,0)-1,8)</f>
        <v>0</v>
      </c>
      <c r="Z66" s="149">
        <f ca="1">OFFSET(①簡易状況入力!$C$5,MATCH(A65,①簡易状況入力!$C$5:$C$104,0)-1,9)</f>
        <v>0</v>
      </c>
      <c r="AA66" s="149">
        <f ca="1">OFFSET(①簡易状況入力!$C$5,MATCH(A65,①簡易状況入力!$C$5:$C$104,0)-1,10)</f>
        <v>0</v>
      </c>
      <c r="AB66" s="148" t="s">
        <v>52</v>
      </c>
      <c r="AC66" s="56">
        <f t="shared" ref="AC66:AD66" ca="1" si="209">AC65</f>
        <v>0</v>
      </c>
      <c r="AD66" s="56">
        <f t="shared" ca="1" si="209"/>
        <v>0</v>
      </c>
      <c r="AE66" s="63">
        <f ca="1">IF($C66="あり",IF(AC66&gt;=1,G66/AQ66,0),IF(AC66&gt;=1,AO66*AC66,0))</f>
        <v>0</v>
      </c>
      <c r="AF66" s="63">
        <f t="shared" ref="AF66:AF68" ca="1" si="210">IF($C66="あり",IF($AD66&gt;=AF$4,H66/$AQ66,0),IF($AD66&gt;=AF$4,$AO66,0))</f>
        <v>0</v>
      </c>
      <c r="AG66" s="63">
        <f t="shared" ref="AG66:AG68" ca="1" si="211">IF($C66="あり",IF($AD66&gt;=AG$4,I66/$AQ66,0),IF($AD66&gt;=AG$4,$AO66,0))</f>
        <v>0</v>
      </c>
      <c r="AH66" s="63">
        <f t="shared" ref="AH66:AH68" ca="1" si="212">IF($C66="あり",IF($AD66&gt;=AH$4,J66/$AQ66,0),IF($AD66&gt;=AH$4,$AO66,0))</f>
        <v>0</v>
      </c>
      <c r="AI66" s="63">
        <f t="shared" ref="AI66:AI68" ca="1" si="213">IF($C66="あり",IF($AD66&gt;=AI$4,K66/$AQ66,0),IF($AD66&gt;=AI$4,$AO66,0))</f>
        <v>0</v>
      </c>
      <c r="AJ66" s="63">
        <f t="shared" ref="AJ66:AJ68" ca="1" si="214">IF($C66="あり",IF($AD66&gt;=AJ$4,L66/$AQ66,0),IF($AD66&gt;=AJ$4,$AO66,0))</f>
        <v>0</v>
      </c>
      <c r="AK66" s="63">
        <f t="shared" ref="AK66:AK68" ca="1" si="215">IF($C66="あり",IF($AD66&gt;=AK$4,M66/$AQ66,0),IF($AD66&gt;=AK$4,$AO66,0))</f>
        <v>0</v>
      </c>
      <c r="AL66" s="63">
        <f ca="1">IF($C66="あり",IF($AD66&gt;=7,N66/$AQ66,0),IF($AD66&gt;=7,$AO66*($AD66-6),0))</f>
        <v>0</v>
      </c>
      <c r="AM66" s="64" t="s">
        <v>46</v>
      </c>
      <c r="AN66" s="63">
        <f ca="1">SUM(AE66:AM66)</f>
        <v>0</v>
      </c>
      <c r="AO66" s="68" t="e">
        <f ca="1">1/(AC66+AD66)</f>
        <v>#DIV/0!</v>
      </c>
      <c r="AP66" s="67">
        <v>0</v>
      </c>
      <c r="AQ66" s="68">
        <f ca="1">IF(AC66&gt;=1,G66,0)+SUMIF($H$4:$M$4,"&lt;="&amp;AD66,$H66:$M66)+IF(AD66&gt;=7,N66,0)</f>
        <v>0</v>
      </c>
    </row>
    <row r="67" spans="1:43" x14ac:dyDescent="0.15">
      <c r="A67" s="50"/>
      <c r="B67" s="50"/>
      <c r="C67" s="145">
        <f ca="1">OFFSET(①簡易状況入力!$C$5,MATCH(A65,①簡易状況入力!$C$5:$C$104,0)-1,19)</f>
        <v>0</v>
      </c>
      <c r="D67" s="148" t="s">
        <v>50</v>
      </c>
      <c r="E67" s="56">
        <f t="shared" ref="E67" ca="1" si="216">E66</f>
        <v>0</v>
      </c>
      <c r="F67" s="56">
        <f ca="1">F66</f>
        <v>0</v>
      </c>
      <c r="G67" s="104"/>
      <c r="H67" s="104"/>
      <c r="I67" s="104"/>
      <c r="J67" s="104"/>
      <c r="K67" s="104"/>
      <c r="L67" s="104"/>
      <c r="M67" s="104"/>
      <c r="N67" s="104"/>
      <c r="O67" s="106"/>
      <c r="Q67" s="50"/>
      <c r="R67" s="58"/>
      <c r="S67" s="165" t="s">
        <v>28</v>
      </c>
      <c r="T67" s="146" t="s">
        <v>35</v>
      </c>
      <c r="U67" s="35">
        <f ca="1">OFFSET(①簡易状況入力!$C$5,MATCH(A65,①簡易状況入力!$C$5:$C$104,0)-1,2)</f>
        <v>0</v>
      </c>
      <c r="V67" s="58"/>
      <c r="W67" s="146" t="s">
        <v>33</v>
      </c>
      <c r="X67" s="37">
        <f ca="1">OFFSET(①簡易状況入力!$C$5,MATCH(A65,①簡易状況入力!$C$5:$C$104,0)-1,6)</f>
        <v>0</v>
      </c>
      <c r="Y67" s="149">
        <f ca="1">OFFSET(①簡易状況入力!$C$5,MATCH(A65,①簡易状況入力!$C$5:$C$104,0)-1,11)</f>
        <v>0</v>
      </c>
      <c r="Z67" s="167">
        <f ca="1">OFFSET(①簡易状況入力!$C$5,MATCH(A65,①簡易状況入力!$C$5:$C$104,0)-1,12)</f>
        <v>0</v>
      </c>
      <c r="AA67" s="168"/>
      <c r="AB67" s="148" t="s">
        <v>50</v>
      </c>
      <c r="AC67" s="56">
        <f t="shared" ref="AC67:AD67" ca="1" si="217">AC66</f>
        <v>0</v>
      </c>
      <c r="AD67" s="56">
        <f t="shared" ca="1" si="217"/>
        <v>0</v>
      </c>
      <c r="AE67" s="63">
        <f ca="1">IF($C67="あり",IF(AC67&gt;=1,G67/AQ67,0),IF(AC67&gt;=1,AO67*AC67,0))</f>
        <v>0</v>
      </c>
      <c r="AF67" s="63">
        <f t="shared" ca="1" si="210"/>
        <v>0</v>
      </c>
      <c r="AG67" s="63">
        <f t="shared" ca="1" si="211"/>
        <v>0</v>
      </c>
      <c r="AH67" s="63">
        <f t="shared" ca="1" si="212"/>
        <v>0</v>
      </c>
      <c r="AI67" s="63">
        <f t="shared" ca="1" si="213"/>
        <v>0</v>
      </c>
      <c r="AJ67" s="63">
        <f t="shared" ca="1" si="214"/>
        <v>0</v>
      </c>
      <c r="AK67" s="63">
        <f t="shared" ca="1" si="215"/>
        <v>0</v>
      </c>
      <c r="AL67" s="63">
        <f ca="1">IF($C67="あり",IF($AD67&gt;=7,N67/$AQ67,0),IF($AD67&gt;=7,$AO67*($AD67-6),0))</f>
        <v>0</v>
      </c>
      <c r="AM67" s="65">
        <f ca="1">IF(C67="あり",O67/AQ67,AP67)</f>
        <v>0</v>
      </c>
      <c r="AN67" s="63">
        <f ca="1">SUM(AE67:AM67)</f>
        <v>0</v>
      </c>
      <c r="AO67" s="68" t="e">
        <f ca="1">1/(AC67+AD67)</f>
        <v>#DIV/0!</v>
      </c>
      <c r="AP67" s="67">
        <v>0</v>
      </c>
      <c r="AQ67" s="68">
        <f ca="1">IF(AC67&gt;=1,G67,0)+SUMIF($H$4:$M$4,"&lt;="&amp;AD67,$H67:$M67)+IF(AD67&gt;=7,N67,0)+O67</f>
        <v>0</v>
      </c>
    </row>
    <row r="68" spans="1:43" x14ac:dyDescent="0.15">
      <c r="A68" s="50"/>
      <c r="B68" s="50"/>
      <c r="C68" s="145">
        <f ca="1">OFFSET(①簡易状況入力!$C$5,MATCH(A65,①簡易状況入力!$C$5:$C$104,0)-1,20)</f>
        <v>0</v>
      </c>
      <c r="D68" s="148" t="s">
        <v>51</v>
      </c>
      <c r="E68" s="56">
        <f t="shared" ref="E68:F68" ca="1" si="218">E67</f>
        <v>0</v>
      </c>
      <c r="F68" s="56">
        <f t="shared" ca="1" si="218"/>
        <v>0</v>
      </c>
      <c r="G68" s="104"/>
      <c r="H68" s="104"/>
      <c r="I68" s="104"/>
      <c r="J68" s="104"/>
      <c r="K68" s="104"/>
      <c r="L68" s="104"/>
      <c r="M68" s="104"/>
      <c r="N68" s="104"/>
      <c r="O68" s="106"/>
      <c r="Q68" s="50"/>
      <c r="R68" s="58"/>
      <c r="S68" s="166"/>
      <c r="T68" s="146" t="s">
        <v>34</v>
      </c>
      <c r="U68" s="35">
        <f ca="1">OFFSET(①簡易状況入力!$C$5,MATCH(A65,①簡易状況入力!$C$5:$C$104,0)-1,3)</f>
        <v>0</v>
      </c>
      <c r="V68" s="58"/>
      <c r="W68" s="146" t="s">
        <v>118</v>
      </c>
      <c r="X68" s="37">
        <f ca="1">OFFSET(①簡易状況入力!$C$5,MATCH(A65,①簡易状況入力!$C$5:$C$104,0)-1,7)</f>
        <v>0</v>
      </c>
      <c r="Y68" s="149">
        <f ca="1">OFFSET(①簡易状況入力!$C$5,MATCH(A65,①簡易状況入力!$C$5:$C$104,0)-1,13)</f>
        <v>0</v>
      </c>
      <c r="Z68" s="167">
        <f ca="1">OFFSET(①簡易状況入力!$C$5,MATCH(A65,①簡易状況入力!$C$5:$C$104,0)-1,14)</f>
        <v>0</v>
      </c>
      <c r="AA68" s="168"/>
      <c r="AB68" s="148" t="s">
        <v>51</v>
      </c>
      <c r="AC68" s="56">
        <f t="shared" ref="AC68:AD68" ca="1" si="219">AC67</f>
        <v>0</v>
      </c>
      <c r="AD68" s="56">
        <f t="shared" ca="1" si="219"/>
        <v>0</v>
      </c>
      <c r="AE68" s="63">
        <f ca="1">IF($C68="あり",IF(AC68&gt;=1,G68/AQ68,0),IF(AC68&gt;=1,AO68*AC68,0))</f>
        <v>0</v>
      </c>
      <c r="AF68" s="63">
        <f t="shared" ca="1" si="210"/>
        <v>0</v>
      </c>
      <c r="AG68" s="63">
        <f t="shared" ca="1" si="211"/>
        <v>0</v>
      </c>
      <c r="AH68" s="63">
        <f t="shared" ca="1" si="212"/>
        <v>0</v>
      </c>
      <c r="AI68" s="63">
        <f t="shared" ca="1" si="213"/>
        <v>0</v>
      </c>
      <c r="AJ68" s="63">
        <f t="shared" ca="1" si="214"/>
        <v>0</v>
      </c>
      <c r="AK68" s="63">
        <f t="shared" ca="1" si="215"/>
        <v>0</v>
      </c>
      <c r="AL68" s="63">
        <f ca="1">IF($C68="あり",IF($AD68&gt;=7,N68/$AQ68,0),IF($AD68&gt;=7,$AO68*($AD68-6),0))</f>
        <v>0</v>
      </c>
      <c r="AM68" s="65">
        <f ca="1">IF(C68="あり",O68/AQ68,AP68)</f>
        <v>0</v>
      </c>
      <c r="AN68" s="63">
        <f ca="1">SUM(AE68:AM68)</f>
        <v>0</v>
      </c>
      <c r="AO68" s="68" t="e">
        <f ca="1">1/(AC68+AD68)</f>
        <v>#DIV/0!</v>
      </c>
      <c r="AP68" s="67">
        <v>0</v>
      </c>
      <c r="AQ68" s="68">
        <f ca="1">IF(AC68&gt;=1,G68,0)+SUMIF($H$4:$M$4,"&lt;="&amp;AD68,$H68:$M68)+IF(AD68&gt;=7,N68,0)+O68</f>
        <v>0</v>
      </c>
    </row>
    <row r="69" spans="1:43" x14ac:dyDescent="0.15">
      <c r="G69" s="107"/>
      <c r="H69" s="107"/>
      <c r="I69" s="107"/>
      <c r="J69" s="107"/>
      <c r="K69" s="107"/>
      <c r="L69" s="107"/>
      <c r="M69" s="107"/>
      <c r="N69" s="107"/>
      <c r="O69" s="107"/>
    </row>
    <row r="70" spans="1:43" x14ac:dyDescent="0.15">
      <c r="A70" s="59" t="s">
        <v>194</v>
      </c>
      <c r="B70" s="60">
        <f ca="1">OFFSET(①簡易状況入力!$C$5,MATCH(A70,①簡易状況入力!$C$5:$C$104,0)-1,1)</f>
        <v>0</v>
      </c>
      <c r="C70" s="145">
        <f ca="1">OFFSET(①簡易状況入力!$C$5,MATCH(A70,①簡易状況入力!$C$5:$C$104,0)-1,17)</f>
        <v>0</v>
      </c>
      <c r="D70" s="148" t="s">
        <v>47</v>
      </c>
      <c r="E70" s="56">
        <f ca="1">U73</f>
        <v>0</v>
      </c>
      <c r="F70" s="56">
        <f ca="1">U72</f>
        <v>0</v>
      </c>
      <c r="G70" s="102"/>
      <c r="H70" s="103"/>
      <c r="I70" s="103"/>
      <c r="J70" s="103"/>
      <c r="K70" s="103"/>
      <c r="L70" s="103"/>
      <c r="M70" s="103"/>
      <c r="N70" s="103"/>
      <c r="O70" s="103"/>
      <c r="Q70" s="57">
        <f ca="1">OFFSET(①簡易状況入力!$C$5,MATCH(A70,①簡易状況入力!$C$5:$C$104,0)-1,15)</f>
        <v>0</v>
      </c>
      <c r="R70" s="58"/>
      <c r="S70" s="58"/>
      <c r="T70" s="58"/>
      <c r="U70" s="58"/>
      <c r="V70" s="58"/>
      <c r="W70" s="58"/>
      <c r="X70" s="58"/>
      <c r="Y70" s="58"/>
      <c r="Z70" s="58"/>
      <c r="AA70" s="58"/>
      <c r="AB70" s="148" t="s">
        <v>47</v>
      </c>
      <c r="AC70" s="56">
        <f ca="1">U73</f>
        <v>0</v>
      </c>
      <c r="AD70" s="56">
        <f ca="1">U72</f>
        <v>0</v>
      </c>
      <c r="AE70" s="62" t="s">
        <v>46</v>
      </c>
      <c r="AF70" s="62" t="str">
        <f t="shared" ref="AF70" ca="1" si="220">IF($C70="あり",IF(AF$4&lt;=$AD70,H70,"-"),IF(AF$4&lt;=$AD70,$AO70,"-"))</f>
        <v>-</v>
      </c>
      <c r="AG70" s="62" t="str">
        <f t="shared" ref="AG70" ca="1" si="221">IF($C70="あり",IF(AG$4&lt;=$AD70,I70,"-"),IF(AG$4&lt;=$AD70,$AO70,"-"))</f>
        <v>-</v>
      </c>
      <c r="AH70" s="62" t="str">
        <f t="shared" ref="AH70" ca="1" si="222">IF($C70="あり",IF(AH$4&lt;=$AD70,J70,"-"),IF(AH$4&lt;=$AD70,$AO70,"-"))</f>
        <v>-</v>
      </c>
      <c r="AI70" s="62" t="str">
        <f t="shared" ref="AI70" ca="1" si="223">IF($C70="あり",IF(AI$4&lt;=$AD70,K70,"-"),IF(AI$4&lt;=$AD70,$AO70,"-"))</f>
        <v>-</v>
      </c>
      <c r="AJ70" s="62" t="str">
        <f t="shared" ref="AJ70" ca="1" si="224">IF($C70="あり",IF(AJ$4&lt;=$AD70,L70,"-"),IF(AJ$4&lt;=$AD70,$AO70,"-"))</f>
        <v>-</v>
      </c>
      <c r="AK70" s="62" t="str">
        <f t="shared" ref="AK70" ca="1" si="225">IF($C70="あり",IF(AK$4&lt;=$AD70,M70,"-"),IF(AK$4&lt;=$AD70,$AO70,"-"))</f>
        <v>-</v>
      </c>
      <c r="AL70" s="62" t="str">
        <f ca="1">IF($C70="あり",IF(7&lt;=$AD70,N70,"-"),IF(7&lt;=$AD70,$AO70*($AD70-6),"-"))</f>
        <v>-</v>
      </c>
      <c r="AM70" s="62">
        <f ca="1">IF(C70="あり",O70,AP70)</f>
        <v>0</v>
      </c>
      <c r="AN70" s="62">
        <f ca="1">SUM(U71,AF70:AM70)</f>
        <v>0</v>
      </c>
      <c r="AO70" s="42">
        <f ca="1">OFFSET(【DB】被害率係数!$A$4,MATCH(②詳細状況入力!$Y71,【DB】被害率係数!$A$4:$A$19,0)-1,16)</f>
        <v>0</v>
      </c>
      <c r="AP70" s="42">
        <f ca="1">OFFSET(【DB】被害率係数!$A$4,MATCH(②詳細状況入力!$Y71,【DB】被害率係数!$A$4:$A$19,0)-1,17)</f>
        <v>0</v>
      </c>
      <c r="AQ70" s="42"/>
    </row>
    <row r="71" spans="1:43" x14ac:dyDescent="0.15">
      <c r="A71" s="50"/>
      <c r="B71" s="50"/>
      <c r="C71" s="145">
        <f ca="1">OFFSET(①簡易状況入力!$C$5,MATCH(A70,①簡易状況入力!$C$5:$C$104,0)-1,18)</f>
        <v>0</v>
      </c>
      <c r="D71" s="148" t="s">
        <v>52</v>
      </c>
      <c r="E71" s="56">
        <f t="shared" ref="E71:F71" ca="1" si="226">E70</f>
        <v>0</v>
      </c>
      <c r="F71" s="56">
        <f t="shared" ca="1" si="226"/>
        <v>0</v>
      </c>
      <c r="G71" s="104"/>
      <c r="H71" s="104"/>
      <c r="I71" s="104"/>
      <c r="J71" s="104"/>
      <c r="K71" s="104"/>
      <c r="L71" s="104"/>
      <c r="M71" s="104"/>
      <c r="N71" s="104"/>
      <c r="O71" s="105"/>
      <c r="Q71" s="57">
        <f ca="1">OFFSET(①簡易状況入力!$C$5,MATCH(A70,①簡易状況入力!$C$5:$C$104,0)-1,16)</f>
        <v>0</v>
      </c>
      <c r="R71" s="58"/>
      <c r="S71" s="146" t="s">
        <v>115</v>
      </c>
      <c r="T71" s="146" t="s">
        <v>116</v>
      </c>
      <c r="U71" s="36">
        <f ca="1">OFFSET(①簡易状況入力!$C$5,MATCH(A70,①簡易状況入力!$C$5:$C$104,0)-1,4)</f>
        <v>0</v>
      </c>
      <c r="V71" s="58"/>
      <c r="W71" s="146" t="s">
        <v>30</v>
      </c>
      <c r="X71" s="37">
        <f ca="1">OFFSET(①簡易状況入力!$C$5,MATCH(A70,①簡易状況入力!$C$5:$C$104,0)-1,5)</f>
        <v>0</v>
      </c>
      <c r="Y71" s="149">
        <f ca="1">OFFSET(①簡易状況入力!$C$5,MATCH(A70,①簡易状況入力!$C$5:$C$104,0)-1,8)</f>
        <v>0</v>
      </c>
      <c r="Z71" s="149">
        <f ca="1">OFFSET(①簡易状況入力!$C$5,MATCH(A70,①簡易状況入力!$C$5:$C$104,0)-1,9)</f>
        <v>0</v>
      </c>
      <c r="AA71" s="149">
        <f ca="1">OFFSET(①簡易状況入力!$C$5,MATCH(A70,①簡易状況入力!$C$5:$C$104,0)-1,10)</f>
        <v>0</v>
      </c>
      <c r="AB71" s="148" t="s">
        <v>52</v>
      </c>
      <c r="AC71" s="56">
        <f t="shared" ref="AC71:AD71" ca="1" si="227">AC70</f>
        <v>0</v>
      </c>
      <c r="AD71" s="56">
        <f t="shared" ca="1" si="227"/>
        <v>0</v>
      </c>
      <c r="AE71" s="63">
        <f ca="1">IF($C71="あり",IF(AC71&gt;=1,G71/AQ71,0),IF(AC71&gt;=1,AO71*AC71,0))</f>
        <v>0</v>
      </c>
      <c r="AF71" s="63">
        <f t="shared" ref="AF71:AF73" ca="1" si="228">IF($C71="あり",IF($AD71&gt;=AF$4,H71/$AQ71,0),IF($AD71&gt;=AF$4,$AO71,0))</f>
        <v>0</v>
      </c>
      <c r="AG71" s="63">
        <f t="shared" ref="AG71:AG73" ca="1" si="229">IF($C71="あり",IF($AD71&gt;=AG$4,I71/$AQ71,0),IF($AD71&gt;=AG$4,$AO71,0))</f>
        <v>0</v>
      </c>
      <c r="AH71" s="63">
        <f t="shared" ref="AH71:AH73" ca="1" si="230">IF($C71="あり",IF($AD71&gt;=AH$4,J71/$AQ71,0),IF($AD71&gt;=AH$4,$AO71,0))</f>
        <v>0</v>
      </c>
      <c r="AI71" s="63">
        <f t="shared" ref="AI71:AI73" ca="1" si="231">IF($C71="あり",IF($AD71&gt;=AI$4,K71/$AQ71,0),IF($AD71&gt;=AI$4,$AO71,0))</f>
        <v>0</v>
      </c>
      <c r="AJ71" s="63">
        <f t="shared" ref="AJ71:AJ73" ca="1" si="232">IF($C71="あり",IF($AD71&gt;=AJ$4,L71/$AQ71,0),IF($AD71&gt;=AJ$4,$AO71,0))</f>
        <v>0</v>
      </c>
      <c r="AK71" s="63">
        <f t="shared" ref="AK71:AK73" ca="1" si="233">IF($C71="あり",IF($AD71&gt;=AK$4,M71/$AQ71,0),IF($AD71&gt;=AK$4,$AO71,0))</f>
        <v>0</v>
      </c>
      <c r="AL71" s="63">
        <f ca="1">IF($C71="あり",IF($AD71&gt;=7,N71/$AQ71,0),IF($AD71&gt;=7,$AO71*($AD71-6),0))</f>
        <v>0</v>
      </c>
      <c r="AM71" s="64" t="s">
        <v>46</v>
      </c>
      <c r="AN71" s="63">
        <f ca="1">SUM(AE71:AM71)</f>
        <v>0</v>
      </c>
      <c r="AO71" s="68" t="e">
        <f ca="1">1/(AC71+AD71)</f>
        <v>#DIV/0!</v>
      </c>
      <c r="AP71" s="67">
        <v>0</v>
      </c>
      <c r="AQ71" s="68">
        <f ca="1">IF(AC71&gt;=1,G71,0)+SUMIF($H$4:$M$4,"&lt;="&amp;AD71,$H71:$M71)+IF(AD71&gt;=7,N71,0)</f>
        <v>0</v>
      </c>
    </row>
    <row r="72" spans="1:43" x14ac:dyDescent="0.15">
      <c r="A72" s="50"/>
      <c r="B72" s="50"/>
      <c r="C72" s="145">
        <f ca="1">OFFSET(①簡易状況入力!$C$5,MATCH(A70,①簡易状況入力!$C$5:$C$104,0)-1,19)</f>
        <v>0</v>
      </c>
      <c r="D72" s="148" t="s">
        <v>50</v>
      </c>
      <c r="E72" s="56">
        <f t="shared" ref="E72" ca="1" si="234">E71</f>
        <v>0</v>
      </c>
      <c r="F72" s="56">
        <f ca="1">F71</f>
        <v>0</v>
      </c>
      <c r="G72" s="104"/>
      <c r="H72" s="104"/>
      <c r="I72" s="104"/>
      <c r="J72" s="104"/>
      <c r="K72" s="104"/>
      <c r="L72" s="104"/>
      <c r="M72" s="104"/>
      <c r="N72" s="104"/>
      <c r="O72" s="106"/>
      <c r="Q72" s="50"/>
      <c r="R72" s="58"/>
      <c r="S72" s="165" t="s">
        <v>28</v>
      </c>
      <c r="T72" s="146" t="s">
        <v>35</v>
      </c>
      <c r="U72" s="35">
        <f ca="1">OFFSET(①簡易状況入力!$C$5,MATCH(A70,①簡易状況入力!$C$5:$C$104,0)-1,2)</f>
        <v>0</v>
      </c>
      <c r="V72" s="58"/>
      <c r="W72" s="146" t="s">
        <v>33</v>
      </c>
      <c r="X72" s="37">
        <f ca="1">OFFSET(①簡易状況入力!$C$5,MATCH(A70,①簡易状況入力!$C$5:$C$104,0)-1,6)</f>
        <v>0</v>
      </c>
      <c r="Y72" s="149">
        <f ca="1">OFFSET(①簡易状況入力!$C$5,MATCH(A70,①簡易状況入力!$C$5:$C$104,0)-1,11)</f>
        <v>0</v>
      </c>
      <c r="Z72" s="167">
        <f ca="1">OFFSET(①簡易状況入力!$C$5,MATCH(A70,①簡易状況入力!$C$5:$C$104,0)-1,12)</f>
        <v>0</v>
      </c>
      <c r="AA72" s="168"/>
      <c r="AB72" s="148" t="s">
        <v>50</v>
      </c>
      <c r="AC72" s="56">
        <f t="shared" ref="AC72:AD72" ca="1" si="235">AC71</f>
        <v>0</v>
      </c>
      <c r="AD72" s="56">
        <f t="shared" ca="1" si="235"/>
        <v>0</v>
      </c>
      <c r="AE72" s="63">
        <f ca="1">IF($C72="あり",IF(AC72&gt;=1,G72/AQ72,0),IF(AC72&gt;=1,AO72*AC72,0))</f>
        <v>0</v>
      </c>
      <c r="AF72" s="63">
        <f t="shared" ca="1" si="228"/>
        <v>0</v>
      </c>
      <c r="AG72" s="63">
        <f t="shared" ca="1" si="229"/>
        <v>0</v>
      </c>
      <c r="AH72" s="63">
        <f t="shared" ca="1" si="230"/>
        <v>0</v>
      </c>
      <c r="AI72" s="63">
        <f t="shared" ca="1" si="231"/>
        <v>0</v>
      </c>
      <c r="AJ72" s="63">
        <f t="shared" ca="1" si="232"/>
        <v>0</v>
      </c>
      <c r="AK72" s="63">
        <f t="shared" ca="1" si="233"/>
        <v>0</v>
      </c>
      <c r="AL72" s="63">
        <f ca="1">IF($C72="あり",IF($AD72&gt;=7,N72/$AQ72,0),IF($AD72&gt;=7,$AO72*($AD72-6),0))</f>
        <v>0</v>
      </c>
      <c r="AM72" s="65">
        <f ca="1">IF(C72="あり",O72/AQ72,AP72)</f>
        <v>0</v>
      </c>
      <c r="AN72" s="63">
        <f ca="1">SUM(AE72:AM72)</f>
        <v>0</v>
      </c>
      <c r="AO72" s="68" t="e">
        <f ca="1">1/(AC72+AD72)</f>
        <v>#DIV/0!</v>
      </c>
      <c r="AP72" s="67">
        <v>0</v>
      </c>
      <c r="AQ72" s="68">
        <f ca="1">IF(AC72&gt;=1,G72,0)+SUMIF($H$4:$M$4,"&lt;="&amp;AD72,$H72:$M72)+IF(AD72&gt;=7,N72,0)+O72</f>
        <v>0</v>
      </c>
    </row>
    <row r="73" spans="1:43" x14ac:dyDescent="0.15">
      <c r="A73" s="50"/>
      <c r="B73" s="50"/>
      <c r="C73" s="145">
        <f ca="1">OFFSET(①簡易状況入力!$C$5,MATCH(A70,①簡易状況入力!$C$5:$C$104,0)-1,20)</f>
        <v>0</v>
      </c>
      <c r="D73" s="148" t="s">
        <v>51</v>
      </c>
      <c r="E73" s="56">
        <f t="shared" ref="E73:F73" ca="1" si="236">E72</f>
        <v>0</v>
      </c>
      <c r="F73" s="56">
        <f t="shared" ca="1" si="236"/>
        <v>0</v>
      </c>
      <c r="G73" s="104"/>
      <c r="H73" s="104"/>
      <c r="I73" s="104"/>
      <c r="J73" s="104"/>
      <c r="K73" s="104"/>
      <c r="L73" s="104"/>
      <c r="M73" s="104"/>
      <c r="N73" s="104"/>
      <c r="O73" s="106"/>
      <c r="Q73" s="50"/>
      <c r="R73" s="58"/>
      <c r="S73" s="166"/>
      <c r="T73" s="146" t="s">
        <v>34</v>
      </c>
      <c r="U73" s="35">
        <f ca="1">OFFSET(①簡易状況入力!$C$5,MATCH(A70,①簡易状況入力!$C$5:$C$104,0)-1,3)</f>
        <v>0</v>
      </c>
      <c r="V73" s="58"/>
      <c r="W73" s="146" t="s">
        <v>118</v>
      </c>
      <c r="X73" s="37">
        <f ca="1">OFFSET(①簡易状況入力!$C$5,MATCH(A70,①簡易状況入力!$C$5:$C$104,0)-1,7)</f>
        <v>0</v>
      </c>
      <c r="Y73" s="149">
        <f ca="1">OFFSET(①簡易状況入力!$C$5,MATCH(A70,①簡易状況入力!$C$5:$C$104,0)-1,13)</f>
        <v>0</v>
      </c>
      <c r="Z73" s="167">
        <f ca="1">OFFSET(①簡易状況入力!$C$5,MATCH(A70,①簡易状況入力!$C$5:$C$104,0)-1,14)</f>
        <v>0</v>
      </c>
      <c r="AA73" s="168"/>
      <c r="AB73" s="148" t="s">
        <v>51</v>
      </c>
      <c r="AC73" s="56">
        <f t="shared" ref="AC73:AD73" ca="1" si="237">AC72</f>
        <v>0</v>
      </c>
      <c r="AD73" s="56">
        <f t="shared" ca="1" si="237"/>
        <v>0</v>
      </c>
      <c r="AE73" s="63">
        <f ca="1">IF($C73="あり",IF(AC73&gt;=1,G73/AQ73,0),IF(AC73&gt;=1,AO73*AC73,0))</f>
        <v>0</v>
      </c>
      <c r="AF73" s="63">
        <f t="shared" ca="1" si="228"/>
        <v>0</v>
      </c>
      <c r="AG73" s="63">
        <f t="shared" ca="1" si="229"/>
        <v>0</v>
      </c>
      <c r="AH73" s="63">
        <f t="shared" ca="1" si="230"/>
        <v>0</v>
      </c>
      <c r="AI73" s="63">
        <f t="shared" ca="1" si="231"/>
        <v>0</v>
      </c>
      <c r="AJ73" s="63">
        <f t="shared" ca="1" si="232"/>
        <v>0</v>
      </c>
      <c r="AK73" s="63">
        <f t="shared" ca="1" si="233"/>
        <v>0</v>
      </c>
      <c r="AL73" s="63">
        <f ca="1">IF($C73="あり",IF($AD73&gt;=7,N73/$AQ73,0),IF($AD73&gt;=7,$AO73*($AD73-6),0))</f>
        <v>0</v>
      </c>
      <c r="AM73" s="65">
        <f ca="1">IF(C73="あり",O73/AQ73,AP73)</f>
        <v>0</v>
      </c>
      <c r="AN73" s="63">
        <f ca="1">SUM(AE73:AM73)</f>
        <v>0</v>
      </c>
      <c r="AO73" s="68" t="e">
        <f ca="1">1/(AC73+AD73)</f>
        <v>#DIV/0!</v>
      </c>
      <c r="AP73" s="67">
        <v>0</v>
      </c>
      <c r="AQ73" s="68">
        <f ca="1">IF(AC73&gt;=1,G73,0)+SUMIF($H$4:$M$4,"&lt;="&amp;AD73,$H73:$M73)+IF(AD73&gt;=7,N73,0)+O73</f>
        <v>0</v>
      </c>
    </row>
    <row r="74" spans="1:43" x14ac:dyDescent="0.15">
      <c r="G74" s="107"/>
      <c r="H74" s="107"/>
      <c r="I74" s="107"/>
      <c r="J74" s="107"/>
      <c r="K74" s="107"/>
      <c r="L74" s="107"/>
      <c r="M74" s="107"/>
      <c r="N74" s="107"/>
      <c r="O74" s="107"/>
    </row>
    <row r="75" spans="1:43" x14ac:dyDescent="0.15">
      <c r="A75" s="59" t="s">
        <v>195</v>
      </c>
      <c r="B75" s="60">
        <f ca="1">OFFSET(①簡易状況入力!$C$5,MATCH(A75,①簡易状況入力!$C$5:$C$104,0)-1,1)</f>
        <v>0</v>
      </c>
      <c r="C75" s="145">
        <f ca="1">OFFSET(①簡易状況入力!$C$5,MATCH(A75,①簡易状況入力!$C$5:$C$104,0)-1,17)</f>
        <v>0</v>
      </c>
      <c r="D75" s="148" t="s">
        <v>47</v>
      </c>
      <c r="E75" s="56">
        <f ca="1">U78</f>
        <v>0</v>
      </c>
      <c r="F75" s="56">
        <f ca="1">U77</f>
        <v>0</v>
      </c>
      <c r="G75" s="102"/>
      <c r="H75" s="103"/>
      <c r="I75" s="103"/>
      <c r="J75" s="103"/>
      <c r="K75" s="103"/>
      <c r="L75" s="103"/>
      <c r="M75" s="103"/>
      <c r="N75" s="103"/>
      <c r="O75" s="103"/>
      <c r="Q75" s="57">
        <f ca="1">OFFSET(①簡易状況入力!$C$5,MATCH(A75,①簡易状況入力!$C$5:$C$104,0)-1,15)</f>
        <v>0</v>
      </c>
      <c r="R75" s="58"/>
      <c r="S75" s="58"/>
      <c r="T75" s="58"/>
      <c r="U75" s="58"/>
      <c r="V75" s="58"/>
      <c r="W75" s="58"/>
      <c r="X75" s="58"/>
      <c r="Y75" s="58"/>
      <c r="Z75" s="58"/>
      <c r="AA75" s="58"/>
      <c r="AB75" s="148" t="s">
        <v>47</v>
      </c>
      <c r="AC75" s="56">
        <f ca="1">U78</f>
        <v>0</v>
      </c>
      <c r="AD75" s="56">
        <f ca="1">U77</f>
        <v>0</v>
      </c>
      <c r="AE75" s="62" t="s">
        <v>46</v>
      </c>
      <c r="AF75" s="62" t="str">
        <f t="shared" ref="AF75" ca="1" si="238">IF($C75="あり",IF(AF$4&lt;=$AD75,H75,"-"),IF(AF$4&lt;=$AD75,$AO75,"-"))</f>
        <v>-</v>
      </c>
      <c r="AG75" s="62" t="str">
        <f t="shared" ref="AG75" ca="1" si="239">IF($C75="あり",IF(AG$4&lt;=$AD75,I75,"-"),IF(AG$4&lt;=$AD75,$AO75,"-"))</f>
        <v>-</v>
      </c>
      <c r="AH75" s="62" t="str">
        <f t="shared" ref="AH75" ca="1" si="240">IF($C75="あり",IF(AH$4&lt;=$AD75,J75,"-"),IF(AH$4&lt;=$AD75,$AO75,"-"))</f>
        <v>-</v>
      </c>
      <c r="AI75" s="62" t="str">
        <f t="shared" ref="AI75" ca="1" si="241">IF($C75="あり",IF(AI$4&lt;=$AD75,K75,"-"),IF(AI$4&lt;=$AD75,$AO75,"-"))</f>
        <v>-</v>
      </c>
      <c r="AJ75" s="62" t="str">
        <f t="shared" ref="AJ75" ca="1" si="242">IF($C75="あり",IF(AJ$4&lt;=$AD75,L75,"-"),IF(AJ$4&lt;=$AD75,$AO75,"-"))</f>
        <v>-</v>
      </c>
      <c r="AK75" s="62" t="str">
        <f t="shared" ref="AK75" ca="1" si="243">IF($C75="あり",IF(AK$4&lt;=$AD75,M75,"-"),IF(AK$4&lt;=$AD75,$AO75,"-"))</f>
        <v>-</v>
      </c>
      <c r="AL75" s="62" t="str">
        <f ca="1">IF($C75="あり",IF(7&lt;=$AD75,N75,"-"),IF(7&lt;=$AD75,$AO75*($AD75-6),"-"))</f>
        <v>-</v>
      </c>
      <c r="AM75" s="62">
        <f ca="1">IF(C75="あり",O75,AP75)</f>
        <v>0</v>
      </c>
      <c r="AN75" s="62">
        <f ca="1">SUM(U76,AF75:AM75)</f>
        <v>0</v>
      </c>
      <c r="AO75" s="42">
        <f ca="1">OFFSET(【DB】被害率係数!$A$4,MATCH(②詳細状況入力!$Y76,【DB】被害率係数!$A$4:$A$19,0)-1,16)</f>
        <v>0</v>
      </c>
      <c r="AP75" s="42">
        <f ca="1">OFFSET(【DB】被害率係数!$A$4,MATCH(②詳細状況入力!$Y76,【DB】被害率係数!$A$4:$A$19,0)-1,17)</f>
        <v>0</v>
      </c>
      <c r="AQ75" s="42"/>
    </row>
    <row r="76" spans="1:43" x14ac:dyDescent="0.15">
      <c r="A76" s="50"/>
      <c r="B76" s="50"/>
      <c r="C76" s="145">
        <f ca="1">OFFSET(①簡易状況入力!$C$5,MATCH(A75,①簡易状況入力!$C$5:$C$104,0)-1,18)</f>
        <v>0</v>
      </c>
      <c r="D76" s="148" t="s">
        <v>52</v>
      </c>
      <c r="E76" s="56">
        <f t="shared" ref="E76:F76" ca="1" si="244">E75</f>
        <v>0</v>
      </c>
      <c r="F76" s="56">
        <f t="shared" ca="1" si="244"/>
        <v>0</v>
      </c>
      <c r="G76" s="104"/>
      <c r="H76" s="104"/>
      <c r="I76" s="104"/>
      <c r="J76" s="104"/>
      <c r="K76" s="104"/>
      <c r="L76" s="104"/>
      <c r="M76" s="104"/>
      <c r="N76" s="104"/>
      <c r="O76" s="105"/>
      <c r="Q76" s="57">
        <f ca="1">OFFSET(①簡易状況入力!$C$5,MATCH(A75,①簡易状況入力!$C$5:$C$104,0)-1,16)</f>
        <v>0</v>
      </c>
      <c r="R76" s="58"/>
      <c r="S76" s="146" t="s">
        <v>115</v>
      </c>
      <c r="T76" s="146" t="s">
        <v>116</v>
      </c>
      <c r="U76" s="36">
        <f ca="1">OFFSET(①簡易状況入力!$C$5,MATCH(A75,①簡易状況入力!$C$5:$C$104,0)-1,4)</f>
        <v>0</v>
      </c>
      <c r="V76" s="58"/>
      <c r="W76" s="146" t="s">
        <v>30</v>
      </c>
      <c r="X76" s="37">
        <f ca="1">OFFSET(①簡易状況入力!$C$5,MATCH(A75,①簡易状況入力!$C$5:$C$104,0)-1,5)</f>
        <v>0</v>
      </c>
      <c r="Y76" s="149">
        <f ca="1">OFFSET(①簡易状況入力!$C$5,MATCH(A75,①簡易状況入力!$C$5:$C$104,0)-1,8)</f>
        <v>0</v>
      </c>
      <c r="Z76" s="149">
        <f ca="1">OFFSET(①簡易状況入力!$C$5,MATCH(A75,①簡易状況入力!$C$5:$C$104,0)-1,9)</f>
        <v>0</v>
      </c>
      <c r="AA76" s="149">
        <f ca="1">OFFSET(①簡易状況入力!$C$5,MATCH(A75,①簡易状況入力!$C$5:$C$104,0)-1,10)</f>
        <v>0</v>
      </c>
      <c r="AB76" s="148" t="s">
        <v>52</v>
      </c>
      <c r="AC76" s="56">
        <f t="shared" ref="AC76:AD76" ca="1" si="245">AC75</f>
        <v>0</v>
      </c>
      <c r="AD76" s="56">
        <f t="shared" ca="1" si="245"/>
        <v>0</v>
      </c>
      <c r="AE76" s="63">
        <f ca="1">IF($C76="あり",IF(AC76&gt;=1,G76/AQ76,0),IF(AC76&gt;=1,AO76*AC76,0))</f>
        <v>0</v>
      </c>
      <c r="AF76" s="63">
        <f t="shared" ref="AF76:AF78" ca="1" si="246">IF($C76="あり",IF($AD76&gt;=AF$4,H76/$AQ76,0),IF($AD76&gt;=AF$4,$AO76,0))</f>
        <v>0</v>
      </c>
      <c r="AG76" s="63">
        <f t="shared" ref="AG76:AG78" ca="1" si="247">IF($C76="あり",IF($AD76&gt;=AG$4,I76/$AQ76,0),IF($AD76&gt;=AG$4,$AO76,0))</f>
        <v>0</v>
      </c>
      <c r="AH76" s="63">
        <f t="shared" ref="AH76:AH78" ca="1" si="248">IF($C76="あり",IF($AD76&gt;=AH$4,J76/$AQ76,0),IF($AD76&gt;=AH$4,$AO76,0))</f>
        <v>0</v>
      </c>
      <c r="AI76" s="63">
        <f t="shared" ref="AI76:AI78" ca="1" si="249">IF($C76="あり",IF($AD76&gt;=AI$4,K76/$AQ76,0),IF($AD76&gt;=AI$4,$AO76,0))</f>
        <v>0</v>
      </c>
      <c r="AJ76" s="63">
        <f t="shared" ref="AJ76:AJ78" ca="1" si="250">IF($C76="あり",IF($AD76&gt;=AJ$4,L76/$AQ76,0),IF($AD76&gt;=AJ$4,$AO76,0))</f>
        <v>0</v>
      </c>
      <c r="AK76" s="63">
        <f t="shared" ref="AK76:AK78" ca="1" si="251">IF($C76="あり",IF($AD76&gt;=AK$4,M76/$AQ76,0),IF($AD76&gt;=AK$4,$AO76,0))</f>
        <v>0</v>
      </c>
      <c r="AL76" s="63">
        <f ca="1">IF($C76="あり",IF($AD76&gt;=7,N76/$AQ76,0),IF($AD76&gt;=7,$AO76*($AD76-6),0))</f>
        <v>0</v>
      </c>
      <c r="AM76" s="64" t="s">
        <v>46</v>
      </c>
      <c r="AN76" s="63">
        <f ca="1">SUM(AE76:AM76)</f>
        <v>0</v>
      </c>
      <c r="AO76" s="68" t="e">
        <f ca="1">1/(AC76+AD76)</f>
        <v>#DIV/0!</v>
      </c>
      <c r="AP76" s="67">
        <v>0</v>
      </c>
      <c r="AQ76" s="68">
        <f ca="1">IF(AC76&gt;=1,G76,0)+SUMIF($H$4:$M$4,"&lt;="&amp;AD76,$H76:$M76)+IF(AD76&gt;=7,N76,0)</f>
        <v>0</v>
      </c>
    </row>
    <row r="77" spans="1:43" x14ac:dyDescent="0.15">
      <c r="A77" s="50"/>
      <c r="B77" s="50"/>
      <c r="C77" s="145">
        <f ca="1">OFFSET(①簡易状況入力!$C$5,MATCH(A75,①簡易状況入力!$C$5:$C$104,0)-1,19)</f>
        <v>0</v>
      </c>
      <c r="D77" s="148" t="s">
        <v>50</v>
      </c>
      <c r="E77" s="56">
        <f t="shared" ref="E77" ca="1" si="252">E76</f>
        <v>0</v>
      </c>
      <c r="F77" s="56">
        <f ca="1">F76</f>
        <v>0</v>
      </c>
      <c r="G77" s="104"/>
      <c r="H77" s="104"/>
      <c r="I77" s="104"/>
      <c r="J77" s="104"/>
      <c r="K77" s="104"/>
      <c r="L77" s="104"/>
      <c r="M77" s="104"/>
      <c r="N77" s="104"/>
      <c r="O77" s="106"/>
      <c r="Q77" s="50"/>
      <c r="R77" s="58"/>
      <c r="S77" s="165" t="s">
        <v>28</v>
      </c>
      <c r="T77" s="146" t="s">
        <v>35</v>
      </c>
      <c r="U77" s="35">
        <f ca="1">OFFSET(①簡易状況入力!$C$5,MATCH(A75,①簡易状況入力!$C$5:$C$104,0)-1,2)</f>
        <v>0</v>
      </c>
      <c r="V77" s="58"/>
      <c r="W77" s="146" t="s">
        <v>33</v>
      </c>
      <c r="X77" s="37">
        <f ca="1">OFFSET(①簡易状況入力!$C$5,MATCH(A75,①簡易状況入力!$C$5:$C$104,0)-1,6)</f>
        <v>0</v>
      </c>
      <c r="Y77" s="149">
        <f ca="1">OFFSET(①簡易状況入力!$C$5,MATCH(A75,①簡易状況入力!$C$5:$C$104,0)-1,11)</f>
        <v>0</v>
      </c>
      <c r="Z77" s="167">
        <f ca="1">OFFSET(①簡易状況入力!$C$5,MATCH(A75,①簡易状況入力!$C$5:$C$104,0)-1,12)</f>
        <v>0</v>
      </c>
      <c r="AA77" s="168"/>
      <c r="AB77" s="148" t="s">
        <v>50</v>
      </c>
      <c r="AC77" s="56">
        <f t="shared" ref="AC77:AD77" ca="1" si="253">AC76</f>
        <v>0</v>
      </c>
      <c r="AD77" s="56">
        <f t="shared" ca="1" si="253"/>
        <v>0</v>
      </c>
      <c r="AE77" s="63">
        <f ca="1">IF($C77="あり",IF(AC77&gt;=1,G77/AQ77,0),IF(AC77&gt;=1,AO77*AC77,0))</f>
        <v>0</v>
      </c>
      <c r="AF77" s="63">
        <f t="shared" ca="1" si="246"/>
        <v>0</v>
      </c>
      <c r="AG77" s="63">
        <f t="shared" ca="1" si="247"/>
        <v>0</v>
      </c>
      <c r="AH77" s="63">
        <f t="shared" ca="1" si="248"/>
        <v>0</v>
      </c>
      <c r="AI77" s="63">
        <f t="shared" ca="1" si="249"/>
        <v>0</v>
      </c>
      <c r="AJ77" s="63">
        <f t="shared" ca="1" si="250"/>
        <v>0</v>
      </c>
      <c r="AK77" s="63">
        <f t="shared" ca="1" si="251"/>
        <v>0</v>
      </c>
      <c r="AL77" s="63">
        <f ca="1">IF($C77="あり",IF($AD77&gt;=7,N77/$AQ77,0),IF($AD77&gt;=7,$AO77*($AD77-6),0))</f>
        <v>0</v>
      </c>
      <c r="AM77" s="65">
        <f ca="1">IF(C77="あり",O77/AQ77,AP77)</f>
        <v>0</v>
      </c>
      <c r="AN77" s="63">
        <f ca="1">SUM(AE77:AM77)</f>
        <v>0</v>
      </c>
      <c r="AO77" s="68" t="e">
        <f ca="1">1/(AC77+AD77)</f>
        <v>#DIV/0!</v>
      </c>
      <c r="AP77" s="67">
        <v>0</v>
      </c>
      <c r="AQ77" s="68">
        <f ca="1">IF(AC77&gt;=1,G77,0)+SUMIF($H$4:$M$4,"&lt;="&amp;AD77,$H77:$M77)+IF(AD77&gt;=7,N77,0)+O77</f>
        <v>0</v>
      </c>
    </row>
    <row r="78" spans="1:43" x14ac:dyDescent="0.15">
      <c r="A78" s="50"/>
      <c r="B78" s="50"/>
      <c r="C78" s="145">
        <f ca="1">OFFSET(①簡易状況入力!$C$5,MATCH(A75,①簡易状況入力!$C$5:$C$104,0)-1,20)</f>
        <v>0</v>
      </c>
      <c r="D78" s="148" t="s">
        <v>51</v>
      </c>
      <c r="E78" s="56">
        <f t="shared" ref="E78:F78" ca="1" si="254">E77</f>
        <v>0</v>
      </c>
      <c r="F78" s="56">
        <f t="shared" ca="1" si="254"/>
        <v>0</v>
      </c>
      <c r="G78" s="104"/>
      <c r="H78" s="104"/>
      <c r="I78" s="104"/>
      <c r="J78" s="104"/>
      <c r="K78" s="104"/>
      <c r="L78" s="104"/>
      <c r="M78" s="104"/>
      <c r="N78" s="104"/>
      <c r="O78" s="106"/>
      <c r="Q78" s="50"/>
      <c r="R78" s="58"/>
      <c r="S78" s="166"/>
      <c r="T78" s="146" t="s">
        <v>34</v>
      </c>
      <c r="U78" s="35">
        <f ca="1">OFFSET(①簡易状況入力!$C$5,MATCH(A75,①簡易状況入力!$C$5:$C$104,0)-1,3)</f>
        <v>0</v>
      </c>
      <c r="V78" s="58"/>
      <c r="W78" s="146" t="s">
        <v>118</v>
      </c>
      <c r="X78" s="37">
        <f ca="1">OFFSET(①簡易状況入力!$C$5,MATCH(A75,①簡易状況入力!$C$5:$C$104,0)-1,7)</f>
        <v>0</v>
      </c>
      <c r="Y78" s="149">
        <f ca="1">OFFSET(①簡易状況入力!$C$5,MATCH(A75,①簡易状況入力!$C$5:$C$104,0)-1,13)</f>
        <v>0</v>
      </c>
      <c r="Z78" s="167">
        <f ca="1">OFFSET(①簡易状況入力!$C$5,MATCH(A75,①簡易状況入力!$C$5:$C$104,0)-1,14)</f>
        <v>0</v>
      </c>
      <c r="AA78" s="168"/>
      <c r="AB78" s="148" t="s">
        <v>51</v>
      </c>
      <c r="AC78" s="56">
        <f t="shared" ref="AC78:AD78" ca="1" si="255">AC77</f>
        <v>0</v>
      </c>
      <c r="AD78" s="56">
        <f t="shared" ca="1" si="255"/>
        <v>0</v>
      </c>
      <c r="AE78" s="63">
        <f ca="1">IF($C78="あり",IF(AC78&gt;=1,G78/AQ78,0),IF(AC78&gt;=1,AO78*AC78,0))</f>
        <v>0</v>
      </c>
      <c r="AF78" s="63">
        <f t="shared" ca="1" si="246"/>
        <v>0</v>
      </c>
      <c r="AG78" s="63">
        <f t="shared" ca="1" si="247"/>
        <v>0</v>
      </c>
      <c r="AH78" s="63">
        <f t="shared" ca="1" si="248"/>
        <v>0</v>
      </c>
      <c r="AI78" s="63">
        <f t="shared" ca="1" si="249"/>
        <v>0</v>
      </c>
      <c r="AJ78" s="63">
        <f t="shared" ca="1" si="250"/>
        <v>0</v>
      </c>
      <c r="AK78" s="63">
        <f t="shared" ca="1" si="251"/>
        <v>0</v>
      </c>
      <c r="AL78" s="63">
        <f ca="1">IF($C78="あり",IF($AD78&gt;=7,N78/$AQ78,0),IF($AD78&gt;=7,$AO78*($AD78-6),0))</f>
        <v>0</v>
      </c>
      <c r="AM78" s="65">
        <f ca="1">IF(C78="あり",O78/AQ78,AP78)</f>
        <v>0</v>
      </c>
      <c r="AN78" s="63">
        <f ca="1">SUM(AE78:AM78)</f>
        <v>0</v>
      </c>
      <c r="AO78" s="68" t="e">
        <f ca="1">1/(AC78+AD78)</f>
        <v>#DIV/0!</v>
      </c>
      <c r="AP78" s="67">
        <v>0</v>
      </c>
      <c r="AQ78" s="68">
        <f ca="1">IF(AC78&gt;=1,G78,0)+SUMIF($H$4:$M$4,"&lt;="&amp;AD78,$H78:$M78)+IF(AD78&gt;=7,N78,0)+O78</f>
        <v>0</v>
      </c>
    </row>
    <row r="79" spans="1:43" x14ac:dyDescent="0.15">
      <c r="G79" s="107"/>
      <c r="H79" s="107"/>
      <c r="I79" s="107"/>
      <c r="J79" s="107"/>
      <c r="K79" s="107"/>
      <c r="L79" s="107"/>
      <c r="M79" s="107"/>
      <c r="N79" s="107"/>
      <c r="O79" s="107"/>
    </row>
    <row r="80" spans="1:43" x14ac:dyDescent="0.15">
      <c r="A80" s="59" t="s">
        <v>196</v>
      </c>
      <c r="B80" s="60">
        <f ca="1">OFFSET(①簡易状況入力!$C$5,MATCH(A80,①簡易状況入力!$C$5:$C$104,0)-1,1)</f>
        <v>0</v>
      </c>
      <c r="C80" s="145">
        <f ca="1">OFFSET(①簡易状況入力!$C$5,MATCH(A80,①簡易状況入力!$C$5:$C$104,0)-1,17)</f>
        <v>0</v>
      </c>
      <c r="D80" s="148" t="s">
        <v>47</v>
      </c>
      <c r="E80" s="56">
        <f ca="1">U83</f>
        <v>0</v>
      </c>
      <c r="F80" s="56">
        <f ca="1">U82</f>
        <v>0</v>
      </c>
      <c r="G80" s="102"/>
      <c r="H80" s="103"/>
      <c r="I80" s="103"/>
      <c r="J80" s="103"/>
      <c r="K80" s="103"/>
      <c r="L80" s="103"/>
      <c r="M80" s="103"/>
      <c r="N80" s="103"/>
      <c r="O80" s="103"/>
      <c r="Q80" s="57">
        <f ca="1">OFFSET(①簡易状況入力!$C$5,MATCH(A80,①簡易状況入力!$C$5:$C$104,0)-1,15)</f>
        <v>0</v>
      </c>
      <c r="R80" s="58"/>
      <c r="S80" s="58"/>
      <c r="T80" s="58"/>
      <c r="U80" s="58"/>
      <c r="V80" s="58"/>
      <c r="W80" s="58"/>
      <c r="X80" s="58"/>
      <c r="Y80" s="58"/>
      <c r="Z80" s="58"/>
      <c r="AA80" s="58"/>
      <c r="AB80" s="148" t="s">
        <v>47</v>
      </c>
      <c r="AC80" s="56">
        <f ca="1">U83</f>
        <v>0</v>
      </c>
      <c r="AD80" s="56">
        <f ca="1">U82</f>
        <v>0</v>
      </c>
      <c r="AE80" s="62" t="s">
        <v>46</v>
      </c>
      <c r="AF80" s="62" t="str">
        <f t="shared" ref="AF80" ca="1" si="256">IF($C80="あり",IF(AF$4&lt;=$AD80,H80,"-"),IF(AF$4&lt;=$AD80,$AO80,"-"))</f>
        <v>-</v>
      </c>
      <c r="AG80" s="62" t="str">
        <f t="shared" ref="AG80" ca="1" si="257">IF($C80="あり",IF(AG$4&lt;=$AD80,I80,"-"),IF(AG$4&lt;=$AD80,$AO80,"-"))</f>
        <v>-</v>
      </c>
      <c r="AH80" s="62" t="str">
        <f t="shared" ref="AH80" ca="1" si="258">IF($C80="あり",IF(AH$4&lt;=$AD80,J80,"-"),IF(AH$4&lt;=$AD80,$AO80,"-"))</f>
        <v>-</v>
      </c>
      <c r="AI80" s="62" t="str">
        <f t="shared" ref="AI80" ca="1" si="259">IF($C80="あり",IF(AI$4&lt;=$AD80,K80,"-"),IF(AI$4&lt;=$AD80,$AO80,"-"))</f>
        <v>-</v>
      </c>
      <c r="AJ80" s="62" t="str">
        <f t="shared" ref="AJ80" ca="1" si="260">IF($C80="あり",IF(AJ$4&lt;=$AD80,L80,"-"),IF(AJ$4&lt;=$AD80,$AO80,"-"))</f>
        <v>-</v>
      </c>
      <c r="AK80" s="62" t="str">
        <f t="shared" ref="AK80" ca="1" si="261">IF($C80="あり",IF(AK$4&lt;=$AD80,M80,"-"),IF(AK$4&lt;=$AD80,$AO80,"-"))</f>
        <v>-</v>
      </c>
      <c r="AL80" s="62" t="str">
        <f ca="1">IF($C80="あり",IF(7&lt;=$AD80,N80,"-"),IF(7&lt;=$AD80,$AO80*($AD80-6),"-"))</f>
        <v>-</v>
      </c>
      <c r="AM80" s="62">
        <f ca="1">IF(C80="あり",O80,AP80)</f>
        <v>0</v>
      </c>
      <c r="AN80" s="62">
        <f ca="1">SUM(U81,AF80:AM80)</f>
        <v>0</v>
      </c>
      <c r="AO80" s="42">
        <f ca="1">OFFSET(【DB】被害率係数!$A$4,MATCH(②詳細状況入力!$Y81,【DB】被害率係数!$A$4:$A$19,0)-1,16)</f>
        <v>0</v>
      </c>
      <c r="AP80" s="42">
        <f ca="1">OFFSET(【DB】被害率係数!$A$4,MATCH(②詳細状況入力!$Y81,【DB】被害率係数!$A$4:$A$19,0)-1,17)</f>
        <v>0</v>
      </c>
      <c r="AQ80" s="42"/>
    </row>
    <row r="81" spans="1:43" x14ac:dyDescent="0.15">
      <c r="A81" s="50"/>
      <c r="B81" s="50"/>
      <c r="C81" s="145">
        <f ca="1">OFFSET(①簡易状況入力!$C$5,MATCH(A80,①簡易状況入力!$C$5:$C$104,0)-1,18)</f>
        <v>0</v>
      </c>
      <c r="D81" s="148" t="s">
        <v>52</v>
      </c>
      <c r="E81" s="56">
        <f t="shared" ref="E81:F81" ca="1" si="262">E80</f>
        <v>0</v>
      </c>
      <c r="F81" s="56">
        <f t="shared" ca="1" si="262"/>
        <v>0</v>
      </c>
      <c r="G81" s="104"/>
      <c r="H81" s="104"/>
      <c r="I81" s="104"/>
      <c r="J81" s="104"/>
      <c r="K81" s="104"/>
      <c r="L81" s="104"/>
      <c r="M81" s="104"/>
      <c r="N81" s="104"/>
      <c r="O81" s="105"/>
      <c r="Q81" s="57">
        <f ca="1">OFFSET(①簡易状況入力!$C$5,MATCH(A80,①簡易状況入力!$C$5:$C$104,0)-1,16)</f>
        <v>0</v>
      </c>
      <c r="R81" s="58"/>
      <c r="S81" s="146" t="s">
        <v>115</v>
      </c>
      <c r="T81" s="146" t="s">
        <v>116</v>
      </c>
      <c r="U81" s="36">
        <f ca="1">OFFSET(①簡易状況入力!$C$5,MATCH(A80,①簡易状況入力!$C$5:$C$104,0)-1,4)</f>
        <v>0</v>
      </c>
      <c r="V81" s="58"/>
      <c r="W81" s="146" t="s">
        <v>30</v>
      </c>
      <c r="X81" s="37">
        <f ca="1">OFFSET(①簡易状況入力!$C$5,MATCH(A80,①簡易状況入力!$C$5:$C$104,0)-1,5)</f>
        <v>0</v>
      </c>
      <c r="Y81" s="149">
        <f ca="1">OFFSET(①簡易状況入力!$C$5,MATCH(A80,①簡易状況入力!$C$5:$C$104,0)-1,8)</f>
        <v>0</v>
      </c>
      <c r="Z81" s="149">
        <f ca="1">OFFSET(①簡易状況入力!$C$5,MATCH(A80,①簡易状況入力!$C$5:$C$104,0)-1,9)</f>
        <v>0</v>
      </c>
      <c r="AA81" s="149">
        <f ca="1">OFFSET(①簡易状況入力!$C$5,MATCH(A80,①簡易状況入力!$C$5:$C$104,0)-1,10)</f>
        <v>0</v>
      </c>
      <c r="AB81" s="148" t="s">
        <v>52</v>
      </c>
      <c r="AC81" s="56">
        <f t="shared" ref="AC81:AD81" ca="1" si="263">AC80</f>
        <v>0</v>
      </c>
      <c r="AD81" s="56">
        <f t="shared" ca="1" si="263"/>
        <v>0</v>
      </c>
      <c r="AE81" s="63">
        <f ca="1">IF($C81="あり",IF(AC81&gt;=1,G81/AQ81,0),IF(AC81&gt;=1,AO81*AC81,0))</f>
        <v>0</v>
      </c>
      <c r="AF81" s="63">
        <f t="shared" ref="AF81:AF83" ca="1" si="264">IF($C81="あり",IF($AD81&gt;=AF$4,H81/$AQ81,0),IF($AD81&gt;=AF$4,$AO81,0))</f>
        <v>0</v>
      </c>
      <c r="AG81" s="63">
        <f t="shared" ref="AG81:AG83" ca="1" si="265">IF($C81="あり",IF($AD81&gt;=AG$4,I81/$AQ81,0),IF($AD81&gt;=AG$4,$AO81,0))</f>
        <v>0</v>
      </c>
      <c r="AH81" s="63">
        <f t="shared" ref="AH81:AH83" ca="1" si="266">IF($C81="あり",IF($AD81&gt;=AH$4,J81/$AQ81,0),IF($AD81&gt;=AH$4,$AO81,0))</f>
        <v>0</v>
      </c>
      <c r="AI81" s="63">
        <f t="shared" ref="AI81:AI83" ca="1" si="267">IF($C81="あり",IF($AD81&gt;=AI$4,K81/$AQ81,0),IF($AD81&gt;=AI$4,$AO81,0))</f>
        <v>0</v>
      </c>
      <c r="AJ81" s="63">
        <f t="shared" ref="AJ81:AJ83" ca="1" si="268">IF($C81="あり",IF($AD81&gt;=AJ$4,L81/$AQ81,0),IF($AD81&gt;=AJ$4,$AO81,0))</f>
        <v>0</v>
      </c>
      <c r="AK81" s="63">
        <f t="shared" ref="AK81:AK83" ca="1" si="269">IF($C81="あり",IF($AD81&gt;=AK$4,M81/$AQ81,0),IF($AD81&gt;=AK$4,$AO81,0))</f>
        <v>0</v>
      </c>
      <c r="AL81" s="63">
        <f ca="1">IF($C81="あり",IF($AD81&gt;=7,N81/$AQ81,0),IF($AD81&gt;=7,$AO81*($AD81-6),0))</f>
        <v>0</v>
      </c>
      <c r="AM81" s="64" t="s">
        <v>46</v>
      </c>
      <c r="AN81" s="63">
        <f ca="1">SUM(AE81:AM81)</f>
        <v>0</v>
      </c>
      <c r="AO81" s="68" t="e">
        <f ca="1">1/(AC81+AD81)</f>
        <v>#DIV/0!</v>
      </c>
      <c r="AP81" s="67">
        <v>0</v>
      </c>
      <c r="AQ81" s="68">
        <f ca="1">IF(AC81&gt;=1,G81,0)+SUMIF($H$4:$M$4,"&lt;="&amp;AD81,$H81:$M81)+IF(AD81&gt;=7,N81,0)</f>
        <v>0</v>
      </c>
    </row>
    <row r="82" spans="1:43" x14ac:dyDescent="0.15">
      <c r="A82" s="50"/>
      <c r="B82" s="50"/>
      <c r="C82" s="145">
        <f ca="1">OFFSET(①簡易状況入力!$C$5,MATCH(A80,①簡易状況入力!$C$5:$C$104,0)-1,19)</f>
        <v>0</v>
      </c>
      <c r="D82" s="148" t="s">
        <v>50</v>
      </c>
      <c r="E82" s="56">
        <f t="shared" ref="E82" ca="1" si="270">E81</f>
        <v>0</v>
      </c>
      <c r="F82" s="56">
        <f ca="1">F81</f>
        <v>0</v>
      </c>
      <c r="G82" s="104"/>
      <c r="H82" s="104"/>
      <c r="I82" s="104"/>
      <c r="J82" s="104"/>
      <c r="K82" s="104"/>
      <c r="L82" s="104"/>
      <c r="M82" s="104"/>
      <c r="N82" s="104"/>
      <c r="O82" s="106"/>
      <c r="Q82" s="50"/>
      <c r="R82" s="58"/>
      <c r="S82" s="165" t="s">
        <v>28</v>
      </c>
      <c r="T82" s="146" t="s">
        <v>35</v>
      </c>
      <c r="U82" s="35">
        <f ca="1">OFFSET(①簡易状況入力!$C$5,MATCH(A80,①簡易状況入力!$C$5:$C$104,0)-1,2)</f>
        <v>0</v>
      </c>
      <c r="V82" s="58"/>
      <c r="W82" s="146" t="s">
        <v>33</v>
      </c>
      <c r="X82" s="37">
        <f ca="1">OFFSET(①簡易状況入力!$C$5,MATCH(A80,①簡易状況入力!$C$5:$C$104,0)-1,6)</f>
        <v>0</v>
      </c>
      <c r="Y82" s="149">
        <f ca="1">OFFSET(①簡易状況入力!$C$5,MATCH(A80,①簡易状況入力!$C$5:$C$104,0)-1,11)</f>
        <v>0</v>
      </c>
      <c r="Z82" s="167">
        <f ca="1">OFFSET(①簡易状況入力!$C$5,MATCH(A80,①簡易状況入力!$C$5:$C$104,0)-1,12)</f>
        <v>0</v>
      </c>
      <c r="AA82" s="168"/>
      <c r="AB82" s="148" t="s">
        <v>50</v>
      </c>
      <c r="AC82" s="56">
        <f t="shared" ref="AC82:AD82" ca="1" si="271">AC81</f>
        <v>0</v>
      </c>
      <c r="AD82" s="56">
        <f t="shared" ca="1" si="271"/>
        <v>0</v>
      </c>
      <c r="AE82" s="63">
        <f ca="1">IF($C82="あり",IF(AC82&gt;=1,G82/AQ82,0),IF(AC82&gt;=1,AO82*AC82,0))</f>
        <v>0</v>
      </c>
      <c r="AF82" s="63">
        <f t="shared" ca="1" si="264"/>
        <v>0</v>
      </c>
      <c r="AG82" s="63">
        <f t="shared" ca="1" si="265"/>
        <v>0</v>
      </c>
      <c r="AH82" s="63">
        <f t="shared" ca="1" si="266"/>
        <v>0</v>
      </c>
      <c r="AI82" s="63">
        <f t="shared" ca="1" si="267"/>
        <v>0</v>
      </c>
      <c r="AJ82" s="63">
        <f t="shared" ca="1" si="268"/>
        <v>0</v>
      </c>
      <c r="AK82" s="63">
        <f t="shared" ca="1" si="269"/>
        <v>0</v>
      </c>
      <c r="AL82" s="63">
        <f ca="1">IF($C82="あり",IF($AD82&gt;=7,N82/$AQ82,0),IF($AD82&gt;=7,$AO82*($AD82-6),0))</f>
        <v>0</v>
      </c>
      <c r="AM82" s="65">
        <f ca="1">IF(C82="あり",O82/AQ82,AP82)</f>
        <v>0</v>
      </c>
      <c r="AN82" s="63">
        <f ca="1">SUM(AE82:AM82)</f>
        <v>0</v>
      </c>
      <c r="AO82" s="68" t="e">
        <f ca="1">1/(AC82+AD82)</f>
        <v>#DIV/0!</v>
      </c>
      <c r="AP82" s="67">
        <v>0</v>
      </c>
      <c r="AQ82" s="68">
        <f ca="1">IF(AC82&gt;=1,G82,0)+SUMIF($H$4:$M$4,"&lt;="&amp;AD82,$H82:$M82)+IF(AD82&gt;=7,N82,0)+O82</f>
        <v>0</v>
      </c>
    </row>
    <row r="83" spans="1:43" x14ac:dyDescent="0.15">
      <c r="A83" s="50"/>
      <c r="B83" s="50"/>
      <c r="C83" s="145">
        <f ca="1">OFFSET(①簡易状況入力!$C$5,MATCH(A80,①簡易状況入力!$C$5:$C$104,0)-1,20)</f>
        <v>0</v>
      </c>
      <c r="D83" s="148" t="s">
        <v>51</v>
      </c>
      <c r="E83" s="56">
        <f t="shared" ref="E83:F83" ca="1" si="272">E82</f>
        <v>0</v>
      </c>
      <c r="F83" s="56">
        <f t="shared" ca="1" si="272"/>
        <v>0</v>
      </c>
      <c r="G83" s="104"/>
      <c r="H83" s="104"/>
      <c r="I83" s="104"/>
      <c r="J83" s="104"/>
      <c r="K83" s="104"/>
      <c r="L83" s="104"/>
      <c r="M83" s="104"/>
      <c r="N83" s="104"/>
      <c r="O83" s="106"/>
      <c r="Q83" s="50"/>
      <c r="R83" s="58"/>
      <c r="S83" s="166"/>
      <c r="T83" s="146" t="s">
        <v>34</v>
      </c>
      <c r="U83" s="35">
        <f ca="1">OFFSET(①簡易状況入力!$C$5,MATCH(A80,①簡易状況入力!$C$5:$C$104,0)-1,3)</f>
        <v>0</v>
      </c>
      <c r="V83" s="58"/>
      <c r="W83" s="146" t="s">
        <v>118</v>
      </c>
      <c r="X83" s="37">
        <f ca="1">OFFSET(①簡易状況入力!$C$5,MATCH(A80,①簡易状況入力!$C$5:$C$104,0)-1,7)</f>
        <v>0</v>
      </c>
      <c r="Y83" s="149">
        <f ca="1">OFFSET(①簡易状況入力!$C$5,MATCH(A80,①簡易状況入力!$C$5:$C$104,0)-1,13)</f>
        <v>0</v>
      </c>
      <c r="Z83" s="167">
        <f ca="1">OFFSET(①簡易状況入力!$C$5,MATCH(A80,①簡易状況入力!$C$5:$C$104,0)-1,14)</f>
        <v>0</v>
      </c>
      <c r="AA83" s="168"/>
      <c r="AB83" s="148" t="s">
        <v>51</v>
      </c>
      <c r="AC83" s="56">
        <f t="shared" ref="AC83:AD83" ca="1" si="273">AC82</f>
        <v>0</v>
      </c>
      <c r="AD83" s="56">
        <f t="shared" ca="1" si="273"/>
        <v>0</v>
      </c>
      <c r="AE83" s="63">
        <f ca="1">IF($C83="あり",IF(AC83&gt;=1,G83/AQ83,0),IF(AC83&gt;=1,AO83*AC83,0))</f>
        <v>0</v>
      </c>
      <c r="AF83" s="63">
        <f t="shared" ca="1" si="264"/>
        <v>0</v>
      </c>
      <c r="AG83" s="63">
        <f t="shared" ca="1" si="265"/>
        <v>0</v>
      </c>
      <c r="AH83" s="63">
        <f t="shared" ca="1" si="266"/>
        <v>0</v>
      </c>
      <c r="AI83" s="63">
        <f t="shared" ca="1" si="267"/>
        <v>0</v>
      </c>
      <c r="AJ83" s="63">
        <f t="shared" ca="1" si="268"/>
        <v>0</v>
      </c>
      <c r="AK83" s="63">
        <f t="shared" ca="1" si="269"/>
        <v>0</v>
      </c>
      <c r="AL83" s="63">
        <f ca="1">IF($C83="あり",IF($AD83&gt;=7,N83/$AQ83,0),IF($AD83&gt;=7,$AO83*($AD83-6),0))</f>
        <v>0</v>
      </c>
      <c r="AM83" s="65">
        <f ca="1">IF(C83="あり",O83/AQ83,AP83)</f>
        <v>0</v>
      </c>
      <c r="AN83" s="63">
        <f ca="1">SUM(AE83:AM83)</f>
        <v>0</v>
      </c>
      <c r="AO83" s="68" t="e">
        <f ca="1">1/(AC83+AD83)</f>
        <v>#DIV/0!</v>
      </c>
      <c r="AP83" s="67">
        <v>0</v>
      </c>
      <c r="AQ83" s="68">
        <f ca="1">IF(AC83&gt;=1,G83,0)+SUMIF($H$4:$M$4,"&lt;="&amp;AD83,$H83:$M83)+IF(AD83&gt;=7,N83,0)+O83</f>
        <v>0</v>
      </c>
    </row>
    <row r="84" spans="1:43" x14ac:dyDescent="0.15">
      <c r="G84" s="107"/>
      <c r="H84" s="107"/>
      <c r="I84" s="107"/>
      <c r="J84" s="107"/>
      <c r="K84" s="107"/>
      <c r="L84" s="107"/>
      <c r="M84" s="107"/>
      <c r="N84" s="107"/>
      <c r="O84" s="107"/>
    </row>
    <row r="85" spans="1:43" x14ac:dyDescent="0.15">
      <c r="A85" s="59" t="s">
        <v>197</v>
      </c>
      <c r="B85" s="60">
        <f ca="1">OFFSET(①簡易状況入力!$C$5,MATCH(A85,①簡易状況入力!$C$5:$C$104,0)-1,1)</f>
        <v>0</v>
      </c>
      <c r="C85" s="145">
        <f ca="1">OFFSET(①簡易状況入力!$C$5,MATCH(A85,①簡易状況入力!$C$5:$C$104,0)-1,17)</f>
        <v>0</v>
      </c>
      <c r="D85" s="148" t="s">
        <v>47</v>
      </c>
      <c r="E85" s="56">
        <f ca="1">U88</f>
        <v>0</v>
      </c>
      <c r="F85" s="56">
        <f ca="1">U87</f>
        <v>0</v>
      </c>
      <c r="G85" s="102"/>
      <c r="H85" s="103"/>
      <c r="I85" s="103"/>
      <c r="J85" s="103"/>
      <c r="K85" s="103"/>
      <c r="L85" s="103"/>
      <c r="M85" s="103"/>
      <c r="N85" s="103"/>
      <c r="O85" s="103"/>
      <c r="Q85" s="57">
        <f ca="1">OFFSET(①簡易状況入力!$C$5,MATCH(A85,①簡易状況入力!$C$5:$C$104,0)-1,15)</f>
        <v>0</v>
      </c>
      <c r="R85" s="58"/>
      <c r="S85" s="58"/>
      <c r="T85" s="58"/>
      <c r="U85" s="58"/>
      <c r="V85" s="58"/>
      <c r="W85" s="58"/>
      <c r="X85" s="58"/>
      <c r="Y85" s="58"/>
      <c r="Z85" s="58"/>
      <c r="AA85" s="58"/>
      <c r="AB85" s="148" t="s">
        <v>47</v>
      </c>
      <c r="AC85" s="56">
        <f ca="1">U88</f>
        <v>0</v>
      </c>
      <c r="AD85" s="56">
        <f ca="1">U87</f>
        <v>0</v>
      </c>
      <c r="AE85" s="62" t="s">
        <v>46</v>
      </c>
      <c r="AF85" s="62" t="str">
        <f t="shared" ref="AF85" ca="1" si="274">IF($C85="あり",IF(AF$4&lt;=$AD85,H85,"-"),IF(AF$4&lt;=$AD85,$AO85,"-"))</f>
        <v>-</v>
      </c>
      <c r="AG85" s="62" t="str">
        <f t="shared" ref="AG85" ca="1" si="275">IF($C85="あり",IF(AG$4&lt;=$AD85,I85,"-"),IF(AG$4&lt;=$AD85,$AO85,"-"))</f>
        <v>-</v>
      </c>
      <c r="AH85" s="62" t="str">
        <f t="shared" ref="AH85" ca="1" si="276">IF($C85="あり",IF(AH$4&lt;=$AD85,J85,"-"),IF(AH$4&lt;=$AD85,$AO85,"-"))</f>
        <v>-</v>
      </c>
      <c r="AI85" s="62" t="str">
        <f t="shared" ref="AI85" ca="1" si="277">IF($C85="あり",IF(AI$4&lt;=$AD85,K85,"-"),IF(AI$4&lt;=$AD85,$AO85,"-"))</f>
        <v>-</v>
      </c>
      <c r="AJ85" s="62" t="str">
        <f t="shared" ref="AJ85" ca="1" si="278">IF($C85="あり",IF(AJ$4&lt;=$AD85,L85,"-"),IF(AJ$4&lt;=$AD85,$AO85,"-"))</f>
        <v>-</v>
      </c>
      <c r="AK85" s="62" t="str">
        <f t="shared" ref="AK85" ca="1" si="279">IF($C85="あり",IF(AK$4&lt;=$AD85,M85,"-"),IF(AK$4&lt;=$AD85,$AO85,"-"))</f>
        <v>-</v>
      </c>
      <c r="AL85" s="62" t="str">
        <f ca="1">IF($C85="あり",IF(7&lt;=$AD85,N85,"-"),IF(7&lt;=$AD85,$AO85*($AD85-6),"-"))</f>
        <v>-</v>
      </c>
      <c r="AM85" s="62">
        <f ca="1">IF(C85="あり",O85,AP85)</f>
        <v>0</v>
      </c>
      <c r="AN85" s="62">
        <f ca="1">SUM(U86,AF85:AM85)</f>
        <v>0</v>
      </c>
      <c r="AO85" s="42">
        <f ca="1">OFFSET(【DB】被害率係数!$A$4,MATCH(②詳細状況入力!$Y86,【DB】被害率係数!$A$4:$A$19,0)-1,16)</f>
        <v>0</v>
      </c>
      <c r="AP85" s="42">
        <f ca="1">OFFSET(【DB】被害率係数!$A$4,MATCH(②詳細状況入力!$Y86,【DB】被害率係数!$A$4:$A$19,0)-1,17)</f>
        <v>0</v>
      </c>
      <c r="AQ85" s="42"/>
    </row>
    <row r="86" spans="1:43" x14ac:dyDescent="0.15">
      <c r="A86" s="50"/>
      <c r="B86" s="50"/>
      <c r="C86" s="145">
        <f ca="1">OFFSET(①簡易状況入力!$C$5,MATCH(A85,①簡易状況入力!$C$5:$C$104,0)-1,18)</f>
        <v>0</v>
      </c>
      <c r="D86" s="148" t="s">
        <v>52</v>
      </c>
      <c r="E86" s="56">
        <f t="shared" ref="E86:F86" ca="1" si="280">E85</f>
        <v>0</v>
      </c>
      <c r="F86" s="56">
        <f t="shared" ca="1" si="280"/>
        <v>0</v>
      </c>
      <c r="G86" s="104"/>
      <c r="H86" s="104"/>
      <c r="I86" s="104"/>
      <c r="J86" s="104"/>
      <c r="K86" s="104"/>
      <c r="L86" s="104"/>
      <c r="M86" s="104"/>
      <c r="N86" s="104"/>
      <c r="O86" s="105"/>
      <c r="Q86" s="57">
        <f ca="1">OFFSET(①簡易状況入力!$C$5,MATCH(A85,①簡易状況入力!$C$5:$C$104,0)-1,16)</f>
        <v>0</v>
      </c>
      <c r="R86" s="58"/>
      <c r="S86" s="146" t="s">
        <v>115</v>
      </c>
      <c r="T86" s="146" t="s">
        <v>116</v>
      </c>
      <c r="U86" s="36">
        <f ca="1">OFFSET(①簡易状況入力!$C$5,MATCH(A85,①簡易状況入力!$C$5:$C$104,0)-1,4)</f>
        <v>0</v>
      </c>
      <c r="V86" s="58"/>
      <c r="W86" s="146" t="s">
        <v>30</v>
      </c>
      <c r="X86" s="37">
        <f ca="1">OFFSET(①簡易状況入力!$C$5,MATCH(A85,①簡易状況入力!$C$5:$C$104,0)-1,5)</f>
        <v>0</v>
      </c>
      <c r="Y86" s="149">
        <f ca="1">OFFSET(①簡易状況入力!$C$5,MATCH(A85,①簡易状況入力!$C$5:$C$104,0)-1,8)</f>
        <v>0</v>
      </c>
      <c r="Z86" s="149">
        <f ca="1">OFFSET(①簡易状況入力!$C$5,MATCH(A85,①簡易状況入力!$C$5:$C$104,0)-1,9)</f>
        <v>0</v>
      </c>
      <c r="AA86" s="149">
        <f ca="1">OFFSET(①簡易状況入力!$C$5,MATCH(A85,①簡易状況入力!$C$5:$C$104,0)-1,10)</f>
        <v>0</v>
      </c>
      <c r="AB86" s="148" t="s">
        <v>52</v>
      </c>
      <c r="AC86" s="56">
        <f t="shared" ref="AC86:AD86" ca="1" si="281">AC85</f>
        <v>0</v>
      </c>
      <c r="AD86" s="56">
        <f t="shared" ca="1" si="281"/>
        <v>0</v>
      </c>
      <c r="AE86" s="63">
        <f ca="1">IF($C86="あり",IF(AC86&gt;=1,G86/AQ86,0),IF(AC86&gt;=1,AO86*AC86,0))</f>
        <v>0</v>
      </c>
      <c r="AF86" s="63">
        <f t="shared" ref="AF86:AF88" ca="1" si="282">IF($C86="あり",IF($AD86&gt;=AF$4,H86/$AQ86,0),IF($AD86&gt;=AF$4,$AO86,0))</f>
        <v>0</v>
      </c>
      <c r="AG86" s="63">
        <f t="shared" ref="AG86:AG88" ca="1" si="283">IF($C86="あり",IF($AD86&gt;=AG$4,I86/$AQ86,0),IF($AD86&gt;=AG$4,$AO86,0))</f>
        <v>0</v>
      </c>
      <c r="AH86" s="63">
        <f t="shared" ref="AH86:AH88" ca="1" si="284">IF($C86="あり",IF($AD86&gt;=AH$4,J86/$AQ86,0),IF($AD86&gt;=AH$4,$AO86,0))</f>
        <v>0</v>
      </c>
      <c r="AI86" s="63">
        <f t="shared" ref="AI86:AI88" ca="1" si="285">IF($C86="あり",IF($AD86&gt;=AI$4,K86/$AQ86,0),IF($AD86&gt;=AI$4,$AO86,0))</f>
        <v>0</v>
      </c>
      <c r="AJ86" s="63">
        <f t="shared" ref="AJ86:AJ88" ca="1" si="286">IF($C86="あり",IF($AD86&gt;=AJ$4,L86/$AQ86,0),IF($AD86&gt;=AJ$4,$AO86,0))</f>
        <v>0</v>
      </c>
      <c r="AK86" s="63">
        <f t="shared" ref="AK86:AK88" ca="1" si="287">IF($C86="あり",IF($AD86&gt;=AK$4,M86/$AQ86,0),IF($AD86&gt;=AK$4,$AO86,0))</f>
        <v>0</v>
      </c>
      <c r="AL86" s="63">
        <f ca="1">IF($C86="あり",IF($AD86&gt;=7,N86/$AQ86,0),IF($AD86&gt;=7,$AO86*($AD86-6),0))</f>
        <v>0</v>
      </c>
      <c r="AM86" s="64" t="s">
        <v>46</v>
      </c>
      <c r="AN86" s="63">
        <f ca="1">SUM(AE86:AM86)</f>
        <v>0</v>
      </c>
      <c r="AO86" s="68" t="e">
        <f ca="1">1/(AC86+AD86)</f>
        <v>#DIV/0!</v>
      </c>
      <c r="AP86" s="67">
        <v>0</v>
      </c>
      <c r="AQ86" s="68">
        <f ca="1">IF(AC86&gt;=1,G86,0)+SUMIF($H$4:$M$4,"&lt;="&amp;AD86,$H86:$M86)+IF(AD86&gt;=7,N86,0)</f>
        <v>0</v>
      </c>
    </row>
    <row r="87" spans="1:43" x14ac:dyDescent="0.15">
      <c r="A87" s="50"/>
      <c r="B87" s="50"/>
      <c r="C87" s="145">
        <f ca="1">OFFSET(①簡易状況入力!$C$5,MATCH(A85,①簡易状況入力!$C$5:$C$104,0)-1,19)</f>
        <v>0</v>
      </c>
      <c r="D87" s="148" t="s">
        <v>50</v>
      </c>
      <c r="E87" s="56">
        <f t="shared" ref="E87" ca="1" si="288">E86</f>
        <v>0</v>
      </c>
      <c r="F87" s="56">
        <f ca="1">F86</f>
        <v>0</v>
      </c>
      <c r="G87" s="104"/>
      <c r="H87" s="104"/>
      <c r="I87" s="104"/>
      <c r="J87" s="104"/>
      <c r="K87" s="104"/>
      <c r="L87" s="104"/>
      <c r="M87" s="104"/>
      <c r="N87" s="104"/>
      <c r="O87" s="106"/>
      <c r="Q87" s="50"/>
      <c r="R87" s="58"/>
      <c r="S87" s="165" t="s">
        <v>28</v>
      </c>
      <c r="T87" s="146" t="s">
        <v>35</v>
      </c>
      <c r="U87" s="35">
        <f ca="1">OFFSET(①簡易状況入力!$C$5,MATCH(A85,①簡易状況入力!$C$5:$C$104,0)-1,2)</f>
        <v>0</v>
      </c>
      <c r="V87" s="58"/>
      <c r="W87" s="146" t="s">
        <v>33</v>
      </c>
      <c r="X87" s="37">
        <f ca="1">OFFSET(①簡易状況入力!$C$5,MATCH(A85,①簡易状況入力!$C$5:$C$104,0)-1,6)</f>
        <v>0</v>
      </c>
      <c r="Y87" s="149">
        <f ca="1">OFFSET(①簡易状況入力!$C$5,MATCH(A85,①簡易状況入力!$C$5:$C$104,0)-1,11)</f>
        <v>0</v>
      </c>
      <c r="Z87" s="167">
        <f ca="1">OFFSET(①簡易状況入力!$C$5,MATCH(A85,①簡易状況入力!$C$5:$C$104,0)-1,12)</f>
        <v>0</v>
      </c>
      <c r="AA87" s="168"/>
      <c r="AB87" s="148" t="s">
        <v>50</v>
      </c>
      <c r="AC87" s="56">
        <f t="shared" ref="AC87:AD87" ca="1" si="289">AC86</f>
        <v>0</v>
      </c>
      <c r="AD87" s="56">
        <f t="shared" ca="1" si="289"/>
        <v>0</v>
      </c>
      <c r="AE87" s="63">
        <f ca="1">IF($C87="あり",IF(AC87&gt;=1,G87/AQ87,0),IF(AC87&gt;=1,AO87*AC87,0))</f>
        <v>0</v>
      </c>
      <c r="AF87" s="63">
        <f t="shared" ca="1" si="282"/>
        <v>0</v>
      </c>
      <c r="AG87" s="63">
        <f t="shared" ca="1" si="283"/>
        <v>0</v>
      </c>
      <c r="AH87" s="63">
        <f t="shared" ca="1" si="284"/>
        <v>0</v>
      </c>
      <c r="AI87" s="63">
        <f t="shared" ca="1" si="285"/>
        <v>0</v>
      </c>
      <c r="AJ87" s="63">
        <f t="shared" ca="1" si="286"/>
        <v>0</v>
      </c>
      <c r="AK87" s="63">
        <f t="shared" ca="1" si="287"/>
        <v>0</v>
      </c>
      <c r="AL87" s="63">
        <f ca="1">IF($C87="あり",IF($AD87&gt;=7,N87/$AQ87,0),IF($AD87&gt;=7,$AO87*($AD87-6),0))</f>
        <v>0</v>
      </c>
      <c r="AM87" s="65">
        <f ca="1">IF(C87="あり",O87/AQ87,AP87)</f>
        <v>0</v>
      </c>
      <c r="AN87" s="63">
        <f ca="1">SUM(AE87:AM87)</f>
        <v>0</v>
      </c>
      <c r="AO87" s="68" t="e">
        <f ca="1">1/(AC87+AD87)</f>
        <v>#DIV/0!</v>
      </c>
      <c r="AP87" s="67">
        <v>0</v>
      </c>
      <c r="AQ87" s="68">
        <f ca="1">IF(AC87&gt;=1,G87,0)+SUMIF($H$4:$M$4,"&lt;="&amp;AD87,$H87:$M87)+IF(AD87&gt;=7,N87,0)+O87</f>
        <v>0</v>
      </c>
    </row>
    <row r="88" spans="1:43" x14ac:dyDescent="0.15">
      <c r="A88" s="50"/>
      <c r="B88" s="50"/>
      <c r="C88" s="145">
        <f ca="1">OFFSET(①簡易状況入力!$C$5,MATCH(A85,①簡易状況入力!$C$5:$C$104,0)-1,20)</f>
        <v>0</v>
      </c>
      <c r="D88" s="148" t="s">
        <v>51</v>
      </c>
      <c r="E88" s="56">
        <f t="shared" ref="E88:F88" ca="1" si="290">E87</f>
        <v>0</v>
      </c>
      <c r="F88" s="56">
        <f t="shared" ca="1" si="290"/>
        <v>0</v>
      </c>
      <c r="G88" s="104"/>
      <c r="H88" s="104"/>
      <c r="I88" s="104"/>
      <c r="J88" s="104"/>
      <c r="K88" s="104"/>
      <c r="L88" s="104"/>
      <c r="M88" s="104"/>
      <c r="N88" s="104"/>
      <c r="O88" s="106"/>
      <c r="Q88" s="50"/>
      <c r="R88" s="58"/>
      <c r="S88" s="166"/>
      <c r="T88" s="146" t="s">
        <v>34</v>
      </c>
      <c r="U88" s="35">
        <f ca="1">OFFSET(①簡易状況入力!$C$5,MATCH(A85,①簡易状況入力!$C$5:$C$104,0)-1,3)</f>
        <v>0</v>
      </c>
      <c r="V88" s="58"/>
      <c r="W88" s="146" t="s">
        <v>118</v>
      </c>
      <c r="X88" s="37">
        <f ca="1">OFFSET(①簡易状況入力!$C$5,MATCH(A85,①簡易状況入力!$C$5:$C$104,0)-1,7)</f>
        <v>0</v>
      </c>
      <c r="Y88" s="149">
        <f ca="1">OFFSET(①簡易状況入力!$C$5,MATCH(A85,①簡易状況入力!$C$5:$C$104,0)-1,13)</f>
        <v>0</v>
      </c>
      <c r="Z88" s="167">
        <f ca="1">OFFSET(①簡易状況入力!$C$5,MATCH(A85,①簡易状況入力!$C$5:$C$104,0)-1,14)</f>
        <v>0</v>
      </c>
      <c r="AA88" s="168"/>
      <c r="AB88" s="148" t="s">
        <v>51</v>
      </c>
      <c r="AC88" s="56">
        <f t="shared" ref="AC88:AD88" ca="1" si="291">AC87</f>
        <v>0</v>
      </c>
      <c r="AD88" s="56">
        <f t="shared" ca="1" si="291"/>
        <v>0</v>
      </c>
      <c r="AE88" s="63">
        <f ca="1">IF($C88="あり",IF(AC88&gt;=1,G88/AQ88,0),IF(AC88&gt;=1,AO88*AC88,0))</f>
        <v>0</v>
      </c>
      <c r="AF88" s="63">
        <f t="shared" ca="1" si="282"/>
        <v>0</v>
      </c>
      <c r="AG88" s="63">
        <f t="shared" ca="1" si="283"/>
        <v>0</v>
      </c>
      <c r="AH88" s="63">
        <f t="shared" ca="1" si="284"/>
        <v>0</v>
      </c>
      <c r="AI88" s="63">
        <f t="shared" ca="1" si="285"/>
        <v>0</v>
      </c>
      <c r="AJ88" s="63">
        <f t="shared" ca="1" si="286"/>
        <v>0</v>
      </c>
      <c r="AK88" s="63">
        <f t="shared" ca="1" si="287"/>
        <v>0</v>
      </c>
      <c r="AL88" s="63">
        <f ca="1">IF($C88="あり",IF($AD88&gt;=7,N88/$AQ88,0),IF($AD88&gt;=7,$AO88*($AD88-6),0))</f>
        <v>0</v>
      </c>
      <c r="AM88" s="65">
        <f ca="1">IF(C88="あり",O88/AQ88,AP88)</f>
        <v>0</v>
      </c>
      <c r="AN88" s="63">
        <f ca="1">SUM(AE88:AM88)</f>
        <v>0</v>
      </c>
      <c r="AO88" s="68" t="e">
        <f ca="1">1/(AC88+AD88)</f>
        <v>#DIV/0!</v>
      </c>
      <c r="AP88" s="67">
        <v>0</v>
      </c>
      <c r="AQ88" s="68">
        <f ca="1">IF(AC88&gt;=1,G88,0)+SUMIF($H$4:$M$4,"&lt;="&amp;AD88,$H88:$M88)+IF(AD88&gt;=7,N88,0)+O88</f>
        <v>0</v>
      </c>
    </row>
    <row r="89" spans="1:43" x14ac:dyDescent="0.15">
      <c r="G89" s="107"/>
      <c r="H89" s="107"/>
      <c r="I89" s="107"/>
      <c r="J89" s="107"/>
      <c r="K89" s="107"/>
      <c r="L89" s="107"/>
      <c r="M89" s="107"/>
      <c r="N89" s="107"/>
      <c r="O89" s="107"/>
    </row>
    <row r="90" spans="1:43" x14ac:dyDescent="0.15">
      <c r="A90" s="59" t="s">
        <v>198</v>
      </c>
      <c r="B90" s="60">
        <f ca="1">OFFSET(①簡易状況入力!$C$5,MATCH(A90,①簡易状況入力!$C$5:$C$104,0)-1,1)</f>
        <v>0</v>
      </c>
      <c r="C90" s="145">
        <f ca="1">OFFSET(①簡易状況入力!$C$5,MATCH(A90,①簡易状況入力!$C$5:$C$104,0)-1,17)</f>
        <v>0</v>
      </c>
      <c r="D90" s="148" t="s">
        <v>47</v>
      </c>
      <c r="E90" s="56">
        <f ca="1">U93</f>
        <v>0</v>
      </c>
      <c r="F90" s="56">
        <f ca="1">U92</f>
        <v>0</v>
      </c>
      <c r="G90" s="102"/>
      <c r="H90" s="103"/>
      <c r="I90" s="103"/>
      <c r="J90" s="103"/>
      <c r="K90" s="103"/>
      <c r="L90" s="103"/>
      <c r="M90" s="103"/>
      <c r="N90" s="103"/>
      <c r="O90" s="103"/>
      <c r="Q90" s="57">
        <f ca="1">OFFSET(①簡易状況入力!$C$5,MATCH(A90,①簡易状況入力!$C$5:$C$104,0)-1,15)</f>
        <v>0</v>
      </c>
      <c r="R90" s="58"/>
      <c r="S90" s="58"/>
      <c r="T90" s="58"/>
      <c r="U90" s="58"/>
      <c r="V90" s="58"/>
      <c r="W90" s="58"/>
      <c r="X90" s="58"/>
      <c r="Y90" s="58"/>
      <c r="Z90" s="58"/>
      <c r="AA90" s="58"/>
      <c r="AB90" s="148" t="s">
        <v>47</v>
      </c>
      <c r="AC90" s="56">
        <f ca="1">U93</f>
        <v>0</v>
      </c>
      <c r="AD90" s="56">
        <f ca="1">U92</f>
        <v>0</v>
      </c>
      <c r="AE90" s="62" t="s">
        <v>46</v>
      </c>
      <c r="AF90" s="62" t="str">
        <f t="shared" ref="AF90" ca="1" si="292">IF($C90="あり",IF(AF$4&lt;=$AD90,H90,"-"),IF(AF$4&lt;=$AD90,$AO90,"-"))</f>
        <v>-</v>
      </c>
      <c r="AG90" s="62" t="str">
        <f t="shared" ref="AG90" ca="1" si="293">IF($C90="あり",IF(AG$4&lt;=$AD90,I90,"-"),IF(AG$4&lt;=$AD90,$AO90,"-"))</f>
        <v>-</v>
      </c>
      <c r="AH90" s="62" t="str">
        <f t="shared" ref="AH90" ca="1" si="294">IF($C90="あり",IF(AH$4&lt;=$AD90,J90,"-"),IF(AH$4&lt;=$AD90,$AO90,"-"))</f>
        <v>-</v>
      </c>
      <c r="AI90" s="62" t="str">
        <f t="shared" ref="AI90" ca="1" si="295">IF($C90="あり",IF(AI$4&lt;=$AD90,K90,"-"),IF(AI$4&lt;=$AD90,$AO90,"-"))</f>
        <v>-</v>
      </c>
      <c r="AJ90" s="62" t="str">
        <f t="shared" ref="AJ90" ca="1" si="296">IF($C90="あり",IF(AJ$4&lt;=$AD90,L90,"-"),IF(AJ$4&lt;=$AD90,$AO90,"-"))</f>
        <v>-</v>
      </c>
      <c r="AK90" s="62" t="str">
        <f t="shared" ref="AK90" ca="1" si="297">IF($C90="あり",IF(AK$4&lt;=$AD90,M90,"-"),IF(AK$4&lt;=$AD90,$AO90,"-"))</f>
        <v>-</v>
      </c>
      <c r="AL90" s="62" t="str">
        <f ca="1">IF($C90="あり",IF(7&lt;=$AD90,N90,"-"),IF(7&lt;=$AD90,$AO90*($AD90-6),"-"))</f>
        <v>-</v>
      </c>
      <c r="AM90" s="62">
        <f ca="1">IF(C90="あり",O90,AP90)</f>
        <v>0</v>
      </c>
      <c r="AN90" s="62">
        <f ca="1">SUM(U91,AF90:AM90)</f>
        <v>0</v>
      </c>
      <c r="AO90" s="42">
        <f ca="1">OFFSET(【DB】被害率係数!$A$4,MATCH(②詳細状況入力!$Y91,【DB】被害率係数!$A$4:$A$19,0)-1,16)</f>
        <v>0</v>
      </c>
      <c r="AP90" s="42">
        <f ca="1">OFFSET(【DB】被害率係数!$A$4,MATCH(②詳細状況入力!$Y91,【DB】被害率係数!$A$4:$A$19,0)-1,17)</f>
        <v>0</v>
      </c>
      <c r="AQ90" s="42"/>
    </row>
    <row r="91" spans="1:43" x14ac:dyDescent="0.15">
      <c r="A91" s="50"/>
      <c r="B91" s="50"/>
      <c r="C91" s="145">
        <f ca="1">OFFSET(①簡易状況入力!$C$5,MATCH(A90,①簡易状況入力!$C$5:$C$104,0)-1,18)</f>
        <v>0</v>
      </c>
      <c r="D91" s="148" t="s">
        <v>52</v>
      </c>
      <c r="E91" s="56">
        <f t="shared" ref="E91:F91" ca="1" si="298">E90</f>
        <v>0</v>
      </c>
      <c r="F91" s="56">
        <f t="shared" ca="1" si="298"/>
        <v>0</v>
      </c>
      <c r="G91" s="104"/>
      <c r="H91" s="104"/>
      <c r="I91" s="104"/>
      <c r="J91" s="104"/>
      <c r="K91" s="104"/>
      <c r="L91" s="104"/>
      <c r="M91" s="104"/>
      <c r="N91" s="104"/>
      <c r="O91" s="105"/>
      <c r="Q91" s="57">
        <f ca="1">OFFSET(①簡易状況入力!$C$5,MATCH(A90,①簡易状況入力!$C$5:$C$104,0)-1,16)</f>
        <v>0</v>
      </c>
      <c r="R91" s="58"/>
      <c r="S91" s="146" t="s">
        <v>115</v>
      </c>
      <c r="T91" s="146" t="s">
        <v>116</v>
      </c>
      <c r="U91" s="36">
        <f ca="1">OFFSET(①簡易状況入力!$C$5,MATCH(A90,①簡易状況入力!$C$5:$C$104,0)-1,4)</f>
        <v>0</v>
      </c>
      <c r="V91" s="58"/>
      <c r="W91" s="146" t="s">
        <v>30</v>
      </c>
      <c r="X91" s="37">
        <f ca="1">OFFSET(①簡易状況入力!$C$5,MATCH(A90,①簡易状況入力!$C$5:$C$104,0)-1,5)</f>
        <v>0</v>
      </c>
      <c r="Y91" s="149">
        <f ca="1">OFFSET(①簡易状況入力!$C$5,MATCH(A90,①簡易状況入力!$C$5:$C$104,0)-1,8)</f>
        <v>0</v>
      </c>
      <c r="Z91" s="149">
        <f ca="1">OFFSET(①簡易状況入力!$C$5,MATCH(A90,①簡易状況入力!$C$5:$C$104,0)-1,9)</f>
        <v>0</v>
      </c>
      <c r="AA91" s="149">
        <f ca="1">OFFSET(①簡易状況入力!$C$5,MATCH(A90,①簡易状況入力!$C$5:$C$104,0)-1,10)</f>
        <v>0</v>
      </c>
      <c r="AB91" s="148" t="s">
        <v>52</v>
      </c>
      <c r="AC91" s="56">
        <f t="shared" ref="AC91:AD91" ca="1" si="299">AC90</f>
        <v>0</v>
      </c>
      <c r="AD91" s="56">
        <f t="shared" ca="1" si="299"/>
        <v>0</v>
      </c>
      <c r="AE91" s="63">
        <f ca="1">IF($C91="あり",IF(AC91&gt;=1,G91/AQ91,0),IF(AC91&gt;=1,AO91*AC91,0))</f>
        <v>0</v>
      </c>
      <c r="AF91" s="63">
        <f t="shared" ref="AF91:AF93" ca="1" si="300">IF($C91="あり",IF($AD91&gt;=AF$4,H91/$AQ91,0),IF($AD91&gt;=AF$4,$AO91,0))</f>
        <v>0</v>
      </c>
      <c r="AG91" s="63">
        <f t="shared" ref="AG91:AG93" ca="1" si="301">IF($C91="あり",IF($AD91&gt;=AG$4,I91/$AQ91,0),IF($AD91&gt;=AG$4,$AO91,0))</f>
        <v>0</v>
      </c>
      <c r="AH91" s="63">
        <f t="shared" ref="AH91:AH93" ca="1" si="302">IF($C91="あり",IF($AD91&gt;=AH$4,J91/$AQ91,0),IF($AD91&gt;=AH$4,$AO91,0))</f>
        <v>0</v>
      </c>
      <c r="AI91" s="63">
        <f t="shared" ref="AI91:AI93" ca="1" si="303">IF($C91="あり",IF($AD91&gt;=AI$4,K91/$AQ91,0),IF($AD91&gt;=AI$4,$AO91,0))</f>
        <v>0</v>
      </c>
      <c r="AJ91" s="63">
        <f t="shared" ref="AJ91:AJ93" ca="1" si="304">IF($C91="あり",IF($AD91&gt;=AJ$4,L91/$AQ91,0),IF($AD91&gt;=AJ$4,$AO91,0))</f>
        <v>0</v>
      </c>
      <c r="AK91" s="63">
        <f t="shared" ref="AK91:AK93" ca="1" si="305">IF($C91="あり",IF($AD91&gt;=AK$4,M91/$AQ91,0),IF($AD91&gt;=AK$4,$AO91,0))</f>
        <v>0</v>
      </c>
      <c r="AL91" s="63">
        <f ca="1">IF($C91="あり",IF($AD91&gt;=7,N91/$AQ91,0),IF($AD91&gt;=7,$AO91*($AD91-6),0))</f>
        <v>0</v>
      </c>
      <c r="AM91" s="64" t="s">
        <v>46</v>
      </c>
      <c r="AN91" s="63">
        <f ca="1">SUM(AE91:AM91)</f>
        <v>0</v>
      </c>
      <c r="AO91" s="68" t="e">
        <f ca="1">1/(AC91+AD91)</f>
        <v>#DIV/0!</v>
      </c>
      <c r="AP91" s="67">
        <v>0</v>
      </c>
      <c r="AQ91" s="68">
        <f ca="1">IF(AC91&gt;=1,G91,0)+SUMIF($H$4:$M$4,"&lt;="&amp;AD91,$H91:$M91)+IF(AD91&gt;=7,N91,0)</f>
        <v>0</v>
      </c>
    </row>
    <row r="92" spans="1:43" x14ac:dyDescent="0.15">
      <c r="A92" s="50"/>
      <c r="B92" s="50"/>
      <c r="C92" s="145">
        <f ca="1">OFFSET(①簡易状況入力!$C$5,MATCH(A90,①簡易状況入力!$C$5:$C$104,0)-1,19)</f>
        <v>0</v>
      </c>
      <c r="D92" s="148" t="s">
        <v>50</v>
      </c>
      <c r="E92" s="56">
        <f t="shared" ref="E92" ca="1" si="306">E91</f>
        <v>0</v>
      </c>
      <c r="F92" s="56">
        <f ca="1">F91</f>
        <v>0</v>
      </c>
      <c r="G92" s="104"/>
      <c r="H92" s="104"/>
      <c r="I92" s="104"/>
      <c r="J92" s="104"/>
      <c r="K92" s="104"/>
      <c r="L92" s="104"/>
      <c r="M92" s="104"/>
      <c r="N92" s="104"/>
      <c r="O92" s="106"/>
      <c r="Q92" s="50"/>
      <c r="R92" s="58"/>
      <c r="S92" s="165" t="s">
        <v>28</v>
      </c>
      <c r="T92" s="146" t="s">
        <v>35</v>
      </c>
      <c r="U92" s="35">
        <f ca="1">OFFSET(①簡易状況入力!$C$5,MATCH(A90,①簡易状況入力!$C$5:$C$104,0)-1,2)</f>
        <v>0</v>
      </c>
      <c r="V92" s="58"/>
      <c r="W92" s="146" t="s">
        <v>33</v>
      </c>
      <c r="X92" s="37">
        <f ca="1">OFFSET(①簡易状況入力!$C$5,MATCH(A90,①簡易状況入力!$C$5:$C$104,0)-1,6)</f>
        <v>0</v>
      </c>
      <c r="Y92" s="149">
        <f ca="1">OFFSET(①簡易状況入力!$C$5,MATCH(A90,①簡易状況入力!$C$5:$C$104,0)-1,11)</f>
        <v>0</v>
      </c>
      <c r="Z92" s="167">
        <f ca="1">OFFSET(①簡易状況入力!$C$5,MATCH(A90,①簡易状況入力!$C$5:$C$104,0)-1,12)</f>
        <v>0</v>
      </c>
      <c r="AA92" s="168"/>
      <c r="AB92" s="148" t="s">
        <v>50</v>
      </c>
      <c r="AC92" s="56">
        <f t="shared" ref="AC92:AD92" ca="1" si="307">AC91</f>
        <v>0</v>
      </c>
      <c r="AD92" s="56">
        <f t="shared" ca="1" si="307"/>
        <v>0</v>
      </c>
      <c r="AE92" s="63">
        <f ca="1">IF($C92="あり",IF(AC92&gt;=1,G92/AQ92,0),IF(AC92&gt;=1,AO92*AC92,0))</f>
        <v>0</v>
      </c>
      <c r="AF92" s="63">
        <f t="shared" ca="1" si="300"/>
        <v>0</v>
      </c>
      <c r="AG92" s="63">
        <f t="shared" ca="1" si="301"/>
        <v>0</v>
      </c>
      <c r="AH92" s="63">
        <f t="shared" ca="1" si="302"/>
        <v>0</v>
      </c>
      <c r="AI92" s="63">
        <f t="shared" ca="1" si="303"/>
        <v>0</v>
      </c>
      <c r="AJ92" s="63">
        <f t="shared" ca="1" si="304"/>
        <v>0</v>
      </c>
      <c r="AK92" s="63">
        <f t="shared" ca="1" si="305"/>
        <v>0</v>
      </c>
      <c r="AL92" s="63">
        <f ca="1">IF($C92="あり",IF($AD92&gt;=7,N92/$AQ92,0),IF($AD92&gt;=7,$AO92*($AD92-6),0))</f>
        <v>0</v>
      </c>
      <c r="AM92" s="65">
        <f ca="1">IF(C92="あり",O92/AQ92,AP92)</f>
        <v>0</v>
      </c>
      <c r="AN92" s="63">
        <f ca="1">SUM(AE92:AM92)</f>
        <v>0</v>
      </c>
      <c r="AO92" s="68" t="e">
        <f ca="1">1/(AC92+AD92)</f>
        <v>#DIV/0!</v>
      </c>
      <c r="AP92" s="67">
        <v>0</v>
      </c>
      <c r="AQ92" s="68">
        <f ca="1">IF(AC92&gt;=1,G92,0)+SUMIF($H$4:$M$4,"&lt;="&amp;AD92,$H92:$M92)+IF(AD92&gt;=7,N92,0)+O92</f>
        <v>0</v>
      </c>
    </row>
    <row r="93" spans="1:43" x14ac:dyDescent="0.15">
      <c r="A93" s="50"/>
      <c r="B93" s="50"/>
      <c r="C93" s="145">
        <f ca="1">OFFSET(①簡易状況入力!$C$5,MATCH(A90,①簡易状況入力!$C$5:$C$104,0)-1,20)</f>
        <v>0</v>
      </c>
      <c r="D93" s="148" t="s">
        <v>51</v>
      </c>
      <c r="E93" s="56">
        <f t="shared" ref="E93:F93" ca="1" si="308">E92</f>
        <v>0</v>
      </c>
      <c r="F93" s="56">
        <f t="shared" ca="1" si="308"/>
        <v>0</v>
      </c>
      <c r="G93" s="104"/>
      <c r="H93" s="104"/>
      <c r="I93" s="104"/>
      <c r="J93" s="104"/>
      <c r="K93" s="104"/>
      <c r="L93" s="104"/>
      <c r="M93" s="104"/>
      <c r="N93" s="104"/>
      <c r="O93" s="106"/>
      <c r="Q93" s="50"/>
      <c r="R93" s="58"/>
      <c r="S93" s="166"/>
      <c r="T93" s="146" t="s">
        <v>34</v>
      </c>
      <c r="U93" s="35">
        <f ca="1">OFFSET(①簡易状況入力!$C$5,MATCH(A90,①簡易状況入力!$C$5:$C$104,0)-1,3)</f>
        <v>0</v>
      </c>
      <c r="V93" s="58"/>
      <c r="W93" s="146" t="s">
        <v>118</v>
      </c>
      <c r="X93" s="37">
        <f ca="1">OFFSET(①簡易状況入力!$C$5,MATCH(A90,①簡易状況入力!$C$5:$C$104,0)-1,7)</f>
        <v>0</v>
      </c>
      <c r="Y93" s="149">
        <f ca="1">OFFSET(①簡易状況入力!$C$5,MATCH(A90,①簡易状況入力!$C$5:$C$104,0)-1,13)</f>
        <v>0</v>
      </c>
      <c r="Z93" s="167">
        <f ca="1">OFFSET(①簡易状況入力!$C$5,MATCH(A90,①簡易状況入力!$C$5:$C$104,0)-1,14)</f>
        <v>0</v>
      </c>
      <c r="AA93" s="168"/>
      <c r="AB93" s="148" t="s">
        <v>51</v>
      </c>
      <c r="AC93" s="56">
        <f t="shared" ref="AC93:AD93" ca="1" si="309">AC92</f>
        <v>0</v>
      </c>
      <c r="AD93" s="56">
        <f t="shared" ca="1" si="309"/>
        <v>0</v>
      </c>
      <c r="AE93" s="63">
        <f ca="1">IF($C93="あり",IF(AC93&gt;=1,G93/AQ93,0),IF(AC93&gt;=1,AO93*AC93,0))</f>
        <v>0</v>
      </c>
      <c r="AF93" s="63">
        <f t="shared" ca="1" si="300"/>
        <v>0</v>
      </c>
      <c r="AG93" s="63">
        <f t="shared" ca="1" si="301"/>
        <v>0</v>
      </c>
      <c r="AH93" s="63">
        <f t="shared" ca="1" si="302"/>
        <v>0</v>
      </c>
      <c r="AI93" s="63">
        <f t="shared" ca="1" si="303"/>
        <v>0</v>
      </c>
      <c r="AJ93" s="63">
        <f t="shared" ca="1" si="304"/>
        <v>0</v>
      </c>
      <c r="AK93" s="63">
        <f t="shared" ca="1" si="305"/>
        <v>0</v>
      </c>
      <c r="AL93" s="63">
        <f ca="1">IF($C93="あり",IF($AD93&gt;=7,N93/$AQ93,0),IF($AD93&gt;=7,$AO93*($AD93-6),0))</f>
        <v>0</v>
      </c>
      <c r="AM93" s="65">
        <f ca="1">IF(C93="あり",O93/AQ93,AP93)</f>
        <v>0</v>
      </c>
      <c r="AN93" s="63">
        <f ca="1">SUM(AE93:AM93)</f>
        <v>0</v>
      </c>
      <c r="AO93" s="68" t="e">
        <f ca="1">1/(AC93+AD93)</f>
        <v>#DIV/0!</v>
      </c>
      <c r="AP93" s="67">
        <v>0</v>
      </c>
      <c r="AQ93" s="68">
        <f ca="1">IF(AC93&gt;=1,G93,0)+SUMIF($H$4:$M$4,"&lt;="&amp;AD93,$H93:$M93)+IF(AD93&gt;=7,N93,0)+O93</f>
        <v>0</v>
      </c>
    </row>
    <row r="94" spans="1:43" x14ac:dyDescent="0.15">
      <c r="G94" s="107"/>
      <c r="H94" s="107"/>
      <c r="I94" s="107"/>
      <c r="J94" s="107"/>
      <c r="K94" s="107"/>
      <c r="L94" s="107"/>
      <c r="M94" s="107"/>
      <c r="N94" s="107"/>
      <c r="O94" s="107"/>
    </row>
    <row r="95" spans="1:43" x14ac:dyDescent="0.15">
      <c r="A95" s="59" t="s">
        <v>199</v>
      </c>
      <c r="B95" s="60">
        <f ca="1">OFFSET(①簡易状況入力!$C$5,MATCH(A95,①簡易状況入力!$C$5:$C$104,0)-1,1)</f>
        <v>0</v>
      </c>
      <c r="C95" s="145">
        <f ca="1">OFFSET(①簡易状況入力!$C$5,MATCH(A95,①簡易状況入力!$C$5:$C$104,0)-1,17)</f>
        <v>0</v>
      </c>
      <c r="D95" s="148" t="s">
        <v>47</v>
      </c>
      <c r="E95" s="56">
        <f ca="1">U98</f>
        <v>0</v>
      </c>
      <c r="F95" s="56">
        <f ca="1">U97</f>
        <v>0</v>
      </c>
      <c r="G95" s="102"/>
      <c r="H95" s="103"/>
      <c r="I95" s="103"/>
      <c r="J95" s="103"/>
      <c r="K95" s="103"/>
      <c r="L95" s="103"/>
      <c r="M95" s="103"/>
      <c r="N95" s="103"/>
      <c r="O95" s="103"/>
      <c r="Q95" s="57">
        <f ca="1">OFFSET(①簡易状況入力!$C$5,MATCH(A95,①簡易状況入力!$C$5:$C$104,0)-1,15)</f>
        <v>0</v>
      </c>
      <c r="R95" s="58"/>
      <c r="S95" s="58"/>
      <c r="T95" s="58"/>
      <c r="U95" s="58"/>
      <c r="V95" s="58"/>
      <c r="W95" s="58"/>
      <c r="X95" s="58"/>
      <c r="Y95" s="58"/>
      <c r="Z95" s="58"/>
      <c r="AA95" s="58"/>
      <c r="AB95" s="148" t="s">
        <v>47</v>
      </c>
      <c r="AC95" s="56">
        <f ca="1">U98</f>
        <v>0</v>
      </c>
      <c r="AD95" s="56">
        <f ca="1">U97</f>
        <v>0</v>
      </c>
      <c r="AE95" s="62" t="s">
        <v>46</v>
      </c>
      <c r="AF95" s="62" t="str">
        <f t="shared" ref="AF95" ca="1" si="310">IF($C95="あり",IF(AF$4&lt;=$AD95,H95,"-"),IF(AF$4&lt;=$AD95,$AO95,"-"))</f>
        <v>-</v>
      </c>
      <c r="AG95" s="62" t="str">
        <f t="shared" ref="AG95" ca="1" si="311">IF($C95="あり",IF(AG$4&lt;=$AD95,I95,"-"),IF(AG$4&lt;=$AD95,$AO95,"-"))</f>
        <v>-</v>
      </c>
      <c r="AH95" s="62" t="str">
        <f t="shared" ref="AH95" ca="1" si="312">IF($C95="あり",IF(AH$4&lt;=$AD95,J95,"-"),IF(AH$4&lt;=$AD95,$AO95,"-"))</f>
        <v>-</v>
      </c>
      <c r="AI95" s="62" t="str">
        <f t="shared" ref="AI95" ca="1" si="313">IF($C95="あり",IF(AI$4&lt;=$AD95,K95,"-"),IF(AI$4&lt;=$AD95,$AO95,"-"))</f>
        <v>-</v>
      </c>
      <c r="AJ95" s="62" t="str">
        <f t="shared" ref="AJ95" ca="1" si="314">IF($C95="あり",IF(AJ$4&lt;=$AD95,L95,"-"),IF(AJ$4&lt;=$AD95,$AO95,"-"))</f>
        <v>-</v>
      </c>
      <c r="AK95" s="62" t="str">
        <f t="shared" ref="AK95" ca="1" si="315">IF($C95="あり",IF(AK$4&lt;=$AD95,M95,"-"),IF(AK$4&lt;=$AD95,$AO95,"-"))</f>
        <v>-</v>
      </c>
      <c r="AL95" s="62" t="str">
        <f ca="1">IF($C95="あり",IF(7&lt;=$AD95,N95,"-"),IF(7&lt;=$AD95,$AO95*($AD95-6),"-"))</f>
        <v>-</v>
      </c>
      <c r="AM95" s="62">
        <f ca="1">IF(C95="あり",O95,AP95)</f>
        <v>0</v>
      </c>
      <c r="AN95" s="62">
        <f ca="1">SUM(U96,AF95:AM95)</f>
        <v>0</v>
      </c>
      <c r="AO95" s="42">
        <f ca="1">OFFSET(【DB】被害率係数!$A$4,MATCH(②詳細状況入力!$Y96,【DB】被害率係数!$A$4:$A$19,0)-1,16)</f>
        <v>0</v>
      </c>
      <c r="AP95" s="42">
        <f ca="1">OFFSET(【DB】被害率係数!$A$4,MATCH(②詳細状況入力!$Y96,【DB】被害率係数!$A$4:$A$19,0)-1,17)</f>
        <v>0</v>
      </c>
      <c r="AQ95" s="42"/>
    </row>
    <row r="96" spans="1:43" x14ac:dyDescent="0.15">
      <c r="A96" s="50"/>
      <c r="B96" s="50"/>
      <c r="C96" s="145">
        <f ca="1">OFFSET(①簡易状況入力!$C$5,MATCH(A95,①簡易状況入力!$C$5:$C$104,0)-1,18)</f>
        <v>0</v>
      </c>
      <c r="D96" s="148" t="s">
        <v>52</v>
      </c>
      <c r="E96" s="56">
        <f t="shared" ref="E96:F96" ca="1" si="316">E95</f>
        <v>0</v>
      </c>
      <c r="F96" s="56">
        <f t="shared" ca="1" si="316"/>
        <v>0</v>
      </c>
      <c r="G96" s="104"/>
      <c r="H96" s="104"/>
      <c r="I96" s="104"/>
      <c r="J96" s="104"/>
      <c r="K96" s="104"/>
      <c r="L96" s="104"/>
      <c r="M96" s="104"/>
      <c r="N96" s="104"/>
      <c r="O96" s="105"/>
      <c r="Q96" s="57">
        <f ca="1">OFFSET(①簡易状況入力!$C$5,MATCH(A95,①簡易状況入力!$C$5:$C$104,0)-1,16)</f>
        <v>0</v>
      </c>
      <c r="R96" s="58"/>
      <c r="S96" s="146" t="s">
        <v>115</v>
      </c>
      <c r="T96" s="146" t="s">
        <v>116</v>
      </c>
      <c r="U96" s="36">
        <f ca="1">OFFSET(①簡易状況入力!$C$5,MATCH(A95,①簡易状況入力!$C$5:$C$104,0)-1,4)</f>
        <v>0</v>
      </c>
      <c r="V96" s="58"/>
      <c r="W96" s="146" t="s">
        <v>30</v>
      </c>
      <c r="X96" s="37">
        <f ca="1">OFFSET(①簡易状況入力!$C$5,MATCH(A95,①簡易状況入力!$C$5:$C$104,0)-1,5)</f>
        <v>0</v>
      </c>
      <c r="Y96" s="149">
        <f ca="1">OFFSET(①簡易状況入力!$C$5,MATCH(A95,①簡易状況入力!$C$5:$C$104,0)-1,8)</f>
        <v>0</v>
      </c>
      <c r="Z96" s="149">
        <f ca="1">OFFSET(①簡易状況入力!$C$5,MATCH(A95,①簡易状況入力!$C$5:$C$104,0)-1,9)</f>
        <v>0</v>
      </c>
      <c r="AA96" s="149">
        <f ca="1">OFFSET(①簡易状況入力!$C$5,MATCH(A95,①簡易状況入力!$C$5:$C$104,0)-1,10)</f>
        <v>0</v>
      </c>
      <c r="AB96" s="148" t="s">
        <v>52</v>
      </c>
      <c r="AC96" s="56">
        <f t="shared" ref="AC96:AD96" ca="1" si="317">AC95</f>
        <v>0</v>
      </c>
      <c r="AD96" s="56">
        <f t="shared" ca="1" si="317"/>
        <v>0</v>
      </c>
      <c r="AE96" s="63">
        <f ca="1">IF($C96="あり",IF(AC96&gt;=1,G96/AQ96,0),IF(AC96&gt;=1,AO96*AC96,0))</f>
        <v>0</v>
      </c>
      <c r="AF96" s="63">
        <f t="shared" ref="AF96:AF98" ca="1" si="318">IF($C96="あり",IF($AD96&gt;=AF$4,H96/$AQ96,0),IF($AD96&gt;=AF$4,$AO96,0))</f>
        <v>0</v>
      </c>
      <c r="AG96" s="63">
        <f t="shared" ref="AG96:AG98" ca="1" si="319">IF($C96="あり",IF($AD96&gt;=AG$4,I96/$AQ96,0),IF($AD96&gt;=AG$4,$AO96,0))</f>
        <v>0</v>
      </c>
      <c r="AH96" s="63">
        <f t="shared" ref="AH96:AH98" ca="1" si="320">IF($C96="あり",IF($AD96&gt;=AH$4,J96/$AQ96,0),IF($AD96&gt;=AH$4,$AO96,0))</f>
        <v>0</v>
      </c>
      <c r="AI96" s="63">
        <f t="shared" ref="AI96:AI98" ca="1" si="321">IF($C96="あり",IF($AD96&gt;=AI$4,K96/$AQ96,0),IF($AD96&gt;=AI$4,$AO96,0))</f>
        <v>0</v>
      </c>
      <c r="AJ96" s="63">
        <f t="shared" ref="AJ96:AJ98" ca="1" si="322">IF($C96="あり",IF($AD96&gt;=AJ$4,L96/$AQ96,0),IF($AD96&gt;=AJ$4,$AO96,0))</f>
        <v>0</v>
      </c>
      <c r="AK96" s="63">
        <f t="shared" ref="AK96:AK98" ca="1" si="323">IF($C96="あり",IF($AD96&gt;=AK$4,M96/$AQ96,0),IF($AD96&gt;=AK$4,$AO96,0))</f>
        <v>0</v>
      </c>
      <c r="AL96" s="63">
        <f ca="1">IF($C96="あり",IF($AD96&gt;=7,N96/$AQ96,0),IF($AD96&gt;=7,$AO96*($AD96-6),0))</f>
        <v>0</v>
      </c>
      <c r="AM96" s="64" t="s">
        <v>46</v>
      </c>
      <c r="AN96" s="63">
        <f ca="1">SUM(AE96:AM96)</f>
        <v>0</v>
      </c>
      <c r="AO96" s="68" t="e">
        <f ca="1">1/(AC96+AD96)</f>
        <v>#DIV/0!</v>
      </c>
      <c r="AP96" s="67">
        <v>0</v>
      </c>
      <c r="AQ96" s="68">
        <f ca="1">IF(AC96&gt;=1,G96,0)+SUMIF($H$4:$M$4,"&lt;="&amp;AD96,$H96:$M96)+IF(AD96&gt;=7,N96,0)</f>
        <v>0</v>
      </c>
    </row>
    <row r="97" spans="1:43" x14ac:dyDescent="0.15">
      <c r="A97" s="50"/>
      <c r="B97" s="50"/>
      <c r="C97" s="145">
        <f ca="1">OFFSET(①簡易状況入力!$C$5,MATCH(A95,①簡易状況入力!$C$5:$C$104,0)-1,19)</f>
        <v>0</v>
      </c>
      <c r="D97" s="148" t="s">
        <v>50</v>
      </c>
      <c r="E97" s="56">
        <f t="shared" ref="E97" ca="1" si="324">E96</f>
        <v>0</v>
      </c>
      <c r="F97" s="56">
        <f ca="1">F96</f>
        <v>0</v>
      </c>
      <c r="G97" s="104"/>
      <c r="H97" s="104"/>
      <c r="I97" s="104"/>
      <c r="J97" s="104"/>
      <c r="K97" s="104"/>
      <c r="L97" s="104"/>
      <c r="M97" s="104"/>
      <c r="N97" s="104"/>
      <c r="O97" s="106"/>
      <c r="Q97" s="50"/>
      <c r="R97" s="58"/>
      <c r="S97" s="165" t="s">
        <v>28</v>
      </c>
      <c r="T97" s="146" t="s">
        <v>35</v>
      </c>
      <c r="U97" s="35">
        <f ca="1">OFFSET(①簡易状況入力!$C$5,MATCH(A95,①簡易状況入力!$C$5:$C$104,0)-1,2)</f>
        <v>0</v>
      </c>
      <c r="V97" s="58"/>
      <c r="W97" s="146" t="s">
        <v>33</v>
      </c>
      <c r="X97" s="37">
        <f ca="1">OFFSET(①簡易状況入力!$C$5,MATCH(A95,①簡易状況入力!$C$5:$C$104,0)-1,6)</f>
        <v>0</v>
      </c>
      <c r="Y97" s="149">
        <f ca="1">OFFSET(①簡易状況入力!$C$5,MATCH(A95,①簡易状況入力!$C$5:$C$104,0)-1,11)</f>
        <v>0</v>
      </c>
      <c r="Z97" s="167">
        <f ca="1">OFFSET(①簡易状況入力!$C$5,MATCH(A95,①簡易状況入力!$C$5:$C$104,0)-1,12)</f>
        <v>0</v>
      </c>
      <c r="AA97" s="168"/>
      <c r="AB97" s="148" t="s">
        <v>50</v>
      </c>
      <c r="AC97" s="56">
        <f t="shared" ref="AC97:AD97" ca="1" si="325">AC96</f>
        <v>0</v>
      </c>
      <c r="AD97" s="56">
        <f t="shared" ca="1" si="325"/>
        <v>0</v>
      </c>
      <c r="AE97" s="63">
        <f ca="1">IF($C97="あり",IF(AC97&gt;=1,G97/AQ97,0),IF(AC97&gt;=1,AO97*AC97,0))</f>
        <v>0</v>
      </c>
      <c r="AF97" s="63">
        <f t="shared" ca="1" si="318"/>
        <v>0</v>
      </c>
      <c r="AG97" s="63">
        <f t="shared" ca="1" si="319"/>
        <v>0</v>
      </c>
      <c r="AH97" s="63">
        <f t="shared" ca="1" si="320"/>
        <v>0</v>
      </c>
      <c r="AI97" s="63">
        <f t="shared" ca="1" si="321"/>
        <v>0</v>
      </c>
      <c r="AJ97" s="63">
        <f t="shared" ca="1" si="322"/>
        <v>0</v>
      </c>
      <c r="AK97" s="63">
        <f t="shared" ca="1" si="323"/>
        <v>0</v>
      </c>
      <c r="AL97" s="63">
        <f ca="1">IF($C97="あり",IF($AD97&gt;=7,N97/$AQ97,0),IF($AD97&gt;=7,$AO97*($AD97-6),0))</f>
        <v>0</v>
      </c>
      <c r="AM97" s="65">
        <f ca="1">IF(C97="あり",O97/AQ97,AP97)</f>
        <v>0</v>
      </c>
      <c r="AN97" s="63">
        <f ca="1">SUM(AE97:AM97)</f>
        <v>0</v>
      </c>
      <c r="AO97" s="68" t="e">
        <f ca="1">1/(AC97+AD97)</f>
        <v>#DIV/0!</v>
      </c>
      <c r="AP97" s="67">
        <v>0</v>
      </c>
      <c r="AQ97" s="68">
        <f ca="1">IF(AC97&gt;=1,G97,0)+SUMIF($H$4:$M$4,"&lt;="&amp;AD97,$H97:$M97)+IF(AD97&gt;=7,N97,0)+O97</f>
        <v>0</v>
      </c>
    </row>
    <row r="98" spans="1:43" x14ac:dyDescent="0.15">
      <c r="A98" s="50"/>
      <c r="B98" s="50"/>
      <c r="C98" s="145">
        <f ca="1">OFFSET(①簡易状況入力!$C$5,MATCH(A95,①簡易状況入力!$C$5:$C$104,0)-1,20)</f>
        <v>0</v>
      </c>
      <c r="D98" s="148" t="s">
        <v>51</v>
      </c>
      <c r="E98" s="56">
        <f t="shared" ref="E98:F98" ca="1" si="326">E97</f>
        <v>0</v>
      </c>
      <c r="F98" s="56">
        <f t="shared" ca="1" si="326"/>
        <v>0</v>
      </c>
      <c r="G98" s="104"/>
      <c r="H98" s="104"/>
      <c r="I98" s="104"/>
      <c r="J98" s="104"/>
      <c r="K98" s="104"/>
      <c r="L98" s="104"/>
      <c r="M98" s="104"/>
      <c r="N98" s="104"/>
      <c r="O98" s="106"/>
      <c r="Q98" s="50"/>
      <c r="R98" s="58"/>
      <c r="S98" s="166"/>
      <c r="T98" s="146" t="s">
        <v>34</v>
      </c>
      <c r="U98" s="35">
        <f ca="1">OFFSET(①簡易状況入力!$C$5,MATCH(A95,①簡易状況入力!$C$5:$C$104,0)-1,3)</f>
        <v>0</v>
      </c>
      <c r="V98" s="58"/>
      <c r="W98" s="146" t="s">
        <v>118</v>
      </c>
      <c r="X98" s="37">
        <f ca="1">OFFSET(①簡易状況入力!$C$5,MATCH(A95,①簡易状況入力!$C$5:$C$104,0)-1,7)</f>
        <v>0</v>
      </c>
      <c r="Y98" s="149">
        <f ca="1">OFFSET(①簡易状況入力!$C$5,MATCH(A95,①簡易状況入力!$C$5:$C$104,0)-1,13)</f>
        <v>0</v>
      </c>
      <c r="Z98" s="167">
        <f ca="1">OFFSET(①簡易状況入力!$C$5,MATCH(A95,①簡易状況入力!$C$5:$C$104,0)-1,14)</f>
        <v>0</v>
      </c>
      <c r="AA98" s="168"/>
      <c r="AB98" s="148" t="s">
        <v>51</v>
      </c>
      <c r="AC98" s="56">
        <f t="shared" ref="AC98:AD98" ca="1" si="327">AC97</f>
        <v>0</v>
      </c>
      <c r="AD98" s="56">
        <f t="shared" ca="1" si="327"/>
        <v>0</v>
      </c>
      <c r="AE98" s="63">
        <f ca="1">IF($C98="あり",IF(AC98&gt;=1,G98/AQ98,0),IF(AC98&gt;=1,AO98*AC98,0))</f>
        <v>0</v>
      </c>
      <c r="AF98" s="63">
        <f t="shared" ca="1" si="318"/>
        <v>0</v>
      </c>
      <c r="AG98" s="63">
        <f t="shared" ca="1" si="319"/>
        <v>0</v>
      </c>
      <c r="AH98" s="63">
        <f t="shared" ca="1" si="320"/>
        <v>0</v>
      </c>
      <c r="AI98" s="63">
        <f t="shared" ca="1" si="321"/>
        <v>0</v>
      </c>
      <c r="AJ98" s="63">
        <f t="shared" ca="1" si="322"/>
        <v>0</v>
      </c>
      <c r="AK98" s="63">
        <f t="shared" ca="1" si="323"/>
        <v>0</v>
      </c>
      <c r="AL98" s="63">
        <f ca="1">IF($C98="あり",IF($AD98&gt;=7,N98/$AQ98,0),IF($AD98&gt;=7,$AO98*($AD98-6),0))</f>
        <v>0</v>
      </c>
      <c r="AM98" s="65">
        <f ca="1">IF(C98="あり",O98/AQ98,AP98)</f>
        <v>0</v>
      </c>
      <c r="AN98" s="63">
        <f ca="1">SUM(AE98:AM98)</f>
        <v>0</v>
      </c>
      <c r="AO98" s="68" t="e">
        <f ca="1">1/(AC98+AD98)</f>
        <v>#DIV/0!</v>
      </c>
      <c r="AP98" s="67">
        <v>0</v>
      </c>
      <c r="AQ98" s="68">
        <f ca="1">IF(AC98&gt;=1,G98,0)+SUMIF($H$4:$M$4,"&lt;="&amp;AD98,$H98:$M98)+IF(AD98&gt;=7,N98,0)+O98</f>
        <v>0</v>
      </c>
    </row>
    <row r="99" spans="1:43" x14ac:dyDescent="0.15">
      <c r="G99" s="107"/>
      <c r="H99" s="107"/>
      <c r="I99" s="107"/>
      <c r="J99" s="107"/>
      <c r="K99" s="107"/>
      <c r="L99" s="107"/>
      <c r="M99" s="107"/>
      <c r="N99" s="107"/>
      <c r="O99" s="107"/>
    </row>
    <row r="100" spans="1:43" x14ac:dyDescent="0.15">
      <c r="A100" s="59" t="s">
        <v>200</v>
      </c>
      <c r="B100" s="60">
        <f ca="1">OFFSET(①簡易状況入力!$C$5,MATCH(A100,①簡易状況入力!$C$5:$C$104,0)-1,1)</f>
        <v>0</v>
      </c>
      <c r="C100" s="145">
        <f ca="1">OFFSET(①簡易状況入力!$C$5,MATCH(A100,①簡易状況入力!$C$5:$C$104,0)-1,17)</f>
        <v>0</v>
      </c>
      <c r="D100" s="148" t="s">
        <v>47</v>
      </c>
      <c r="E100" s="56">
        <f ca="1">U103</f>
        <v>0</v>
      </c>
      <c r="F100" s="56">
        <f ca="1">U102</f>
        <v>0</v>
      </c>
      <c r="G100" s="102"/>
      <c r="H100" s="103"/>
      <c r="I100" s="103"/>
      <c r="J100" s="103"/>
      <c r="K100" s="103"/>
      <c r="L100" s="103"/>
      <c r="M100" s="103"/>
      <c r="N100" s="103"/>
      <c r="O100" s="103"/>
      <c r="Q100" s="57">
        <f ca="1">OFFSET(①簡易状況入力!$C$5,MATCH(A100,①簡易状況入力!$C$5:$C$104,0)-1,15)</f>
        <v>0</v>
      </c>
      <c r="R100" s="58"/>
      <c r="S100" s="58"/>
      <c r="T100" s="58"/>
      <c r="U100" s="58"/>
      <c r="V100" s="58"/>
      <c r="W100" s="58"/>
      <c r="X100" s="58"/>
      <c r="Y100" s="58"/>
      <c r="Z100" s="58"/>
      <c r="AA100" s="58"/>
      <c r="AB100" s="148" t="s">
        <v>47</v>
      </c>
      <c r="AC100" s="56">
        <f ca="1">U103</f>
        <v>0</v>
      </c>
      <c r="AD100" s="56">
        <f ca="1">U102</f>
        <v>0</v>
      </c>
      <c r="AE100" s="62" t="s">
        <v>46</v>
      </c>
      <c r="AF100" s="62" t="str">
        <f t="shared" ref="AF100" ca="1" si="328">IF($C100="あり",IF(AF$4&lt;=$AD100,H100,"-"),IF(AF$4&lt;=$AD100,$AO100,"-"))</f>
        <v>-</v>
      </c>
      <c r="AG100" s="62" t="str">
        <f t="shared" ref="AG100" ca="1" si="329">IF($C100="あり",IF(AG$4&lt;=$AD100,I100,"-"),IF(AG$4&lt;=$AD100,$AO100,"-"))</f>
        <v>-</v>
      </c>
      <c r="AH100" s="62" t="str">
        <f t="shared" ref="AH100" ca="1" si="330">IF($C100="あり",IF(AH$4&lt;=$AD100,J100,"-"),IF(AH$4&lt;=$AD100,$AO100,"-"))</f>
        <v>-</v>
      </c>
      <c r="AI100" s="62" t="str">
        <f t="shared" ref="AI100" ca="1" si="331">IF($C100="あり",IF(AI$4&lt;=$AD100,K100,"-"),IF(AI$4&lt;=$AD100,$AO100,"-"))</f>
        <v>-</v>
      </c>
      <c r="AJ100" s="62" t="str">
        <f t="shared" ref="AJ100" ca="1" si="332">IF($C100="あり",IF(AJ$4&lt;=$AD100,L100,"-"),IF(AJ$4&lt;=$AD100,$AO100,"-"))</f>
        <v>-</v>
      </c>
      <c r="AK100" s="62" t="str">
        <f t="shared" ref="AK100" ca="1" si="333">IF($C100="あり",IF(AK$4&lt;=$AD100,M100,"-"),IF(AK$4&lt;=$AD100,$AO100,"-"))</f>
        <v>-</v>
      </c>
      <c r="AL100" s="62" t="str">
        <f ca="1">IF($C100="あり",IF(7&lt;=$AD100,N100,"-"),IF(7&lt;=$AD100,$AO100*($AD100-6),"-"))</f>
        <v>-</v>
      </c>
      <c r="AM100" s="62">
        <f ca="1">IF(C100="あり",O100,AP100)</f>
        <v>0</v>
      </c>
      <c r="AN100" s="62">
        <f ca="1">SUM(U101,AF100:AM100)</f>
        <v>0</v>
      </c>
      <c r="AO100" s="42">
        <f ca="1">OFFSET(【DB】被害率係数!$A$4,MATCH(②詳細状況入力!$Y101,【DB】被害率係数!$A$4:$A$19,0)-1,16)</f>
        <v>0</v>
      </c>
      <c r="AP100" s="42">
        <f ca="1">OFFSET(【DB】被害率係数!$A$4,MATCH(②詳細状況入力!$Y101,【DB】被害率係数!$A$4:$A$19,0)-1,17)</f>
        <v>0</v>
      </c>
      <c r="AQ100" s="42"/>
    </row>
    <row r="101" spans="1:43" x14ac:dyDescent="0.15">
      <c r="A101" s="50"/>
      <c r="B101" s="50"/>
      <c r="C101" s="145">
        <f ca="1">OFFSET(①簡易状況入力!$C$5,MATCH(A100,①簡易状況入力!$C$5:$C$104,0)-1,18)</f>
        <v>0</v>
      </c>
      <c r="D101" s="148" t="s">
        <v>52</v>
      </c>
      <c r="E101" s="56">
        <f t="shared" ref="E101:F101" ca="1" si="334">E100</f>
        <v>0</v>
      </c>
      <c r="F101" s="56">
        <f t="shared" ca="1" si="334"/>
        <v>0</v>
      </c>
      <c r="G101" s="104"/>
      <c r="H101" s="104"/>
      <c r="I101" s="104"/>
      <c r="J101" s="104"/>
      <c r="K101" s="104"/>
      <c r="L101" s="104"/>
      <c r="M101" s="104"/>
      <c r="N101" s="104"/>
      <c r="O101" s="105"/>
      <c r="Q101" s="57">
        <f ca="1">OFFSET(①簡易状況入力!$C$5,MATCH(A100,①簡易状況入力!$C$5:$C$104,0)-1,16)</f>
        <v>0</v>
      </c>
      <c r="R101" s="58"/>
      <c r="S101" s="146" t="s">
        <v>115</v>
      </c>
      <c r="T101" s="146" t="s">
        <v>116</v>
      </c>
      <c r="U101" s="36">
        <f ca="1">OFFSET(①簡易状況入力!$C$5,MATCH(A100,①簡易状況入力!$C$5:$C$104,0)-1,4)</f>
        <v>0</v>
      </c>
      <c r="V101" s="58"/>
      <c r="W101" s="146" t="s">
        <v>30</v>
      </c>
      <c r="X101" s="37">
        <f ca="1">OFFSET(①簡易状況入力!$C$5,MATCH(A100,①簡易状況入力!$C$5:$C$104,0)-1,5)</f>
        <v>0</v>
      </c>
      <c r="Y101" s="149">
        <f ca="1">OFFSET(①簡易状況入力!$C$5,MATCH(A100,①簡易状況入力!$C$5:$C$104,0)-1,8)</f>
        <v>0</v>
      </c>
      <c r="Z101" s="149">
        <f ca="1">OFFSET(①簡易状況入力!$C$5,MATCH(A100,①簡易状況入力!$C$5:$C$104,0)-1,9)</f>
        <v>0</v>
      </c>
      <c r="AA101" s="149">
        <f ca="1">OFFSET(①簡易状況入力!$C$5,MATCH(A100,①簡易状況入力!$C$5:$C$104,0)-1,10)</f>
        <v>0</v>
      </c>
      <c r="AB101" s="148" t="s">
        <v>52</v>
      </c>
      <c r="AC101" s="56">
        <f t="shared" ref="AC101:AD101" ca="1" si="335">AC100</f>
        <v>0</v>
      </c>
      <c r="AD101" s="56">
        <f t="shared" ca="1" si="335"/>
        <v>0</v>
      </c>
      <c r="AE101" s="63">
        <f ca="1">IF($C101="あり",IF(AC101&gt;=1,G101/AQ101,0),IF(AC101&gt;=1,AO101*AC101,0))</f>
        <v>0</v>
      </c>
      <c r="AF101" s="63">
        <f t="shared" ref="AF101:AF103" ca="1" si="336">IF($C101="あり",IF($AD101&gt;=AF$4,H101/$AQ101,0),IF($AD101&gt;=AF$4,$AO101,0))</f>
        <v>0</v>
      </c>
      <c r="AG101" s="63">
        <f t="shared" ref="AG101:AG103" ca="1" si="337">IF($C101="あり",IF($AD101&gt;=AG$4,I101/$AQ101,0),IF($AD101&gt;=AG$4,$AO101,0))</f>
        <v>0</v>
      </c>
      <c r="AH101" s="63">
        <f t="shared" ref="AH101:AH103" ca="1" si="338">IF($C101="あり",IF($AD101&gt;=AH$4,J101/$AQ101,0),IF($AD101&gt;=AH$4,$AO101,0))</f>
        <v>0</v>
      </c>
      <c r="AI101" s="63">
        <f t="shared" ref="AI101:AI103" ca="1" si="339">IF($C101="あり",IF($AD101&gt;=AI$4,K101/$AQ101,0),IF($AD101&gt;=AI$4,$AO101,0))</f>
        <v>0</v>
      </c>
      <c r="AJ101" s="63">
        <f t="shared" ref="AJ101:AJ103" ca="1" si="340">IF($C101="あり",IF($AD101&gt;=AJ$4,L101/$AQ101,0),IF($AD101&gt;=AJ$4,$AO101,0))</f>
        <v>0</v>
      </c>
      <c r="AK101" s="63">
        <f t="shared" ref="AK101:AK103" ca="1" si="341">IF($C101="あり",IF($AD101&gt;=AK$4,M101/$AQ101,0),IF($AD101&gt;=AK$4,$AO101,0))</f>
        <v>0</v>
      </c>
      <c r="AL101" s="63">
        <f ca="1">IF($C101="あり",IF($AD101&gt;=7,N101/$AQ101,0),IF($AD101&gt;=7,$AO101*($AD101-6),0))</f>
        <v>0</v>
      </c>
      <c r="AM101" s="64" t="s">
        <v>46</v>
      </c>
      <c r="AN101" s="63">
        <f ca="1">SUM(AE101:AM101)</f>
        <v>0</v>
      </c>
      <c r="AO101" s="68" t="e">
        <f ca="1">1/(AC101+AD101)</f>
        <v>#DIV/0!</v>
      </c>
      <c r="AP101" s="67">
        <v>0</v>
      </c>
      <c r="AQ101" s="68">
        <f ca="1">IF(AC101&gt;=1,G101,0)+SUMIF($H$4:$M$4,"&lt;="&amp;AD101,$H101:$M101)+IF(AD101&gt;=7,N101,0)</f>
        <v>0</v>
      </c>
    </row>
    <row r="102" spans="1:43" x14ac:dyDescent="0.15">
      <c r="A102" s="50"/>
      <c r="B102" s="50"/>
      <c r="C102" s="145">
        <f ca="1">OFFSET(①簡易状況入力!$C$5,MATCH(A100,①簡易状況入力!$C$5:$C$104,0)-1,19)</f>
        <v>0</v>
      </c>
      <c r="D102" s="148" t="s">
        <v>50</v>
      </c>
      <c r="E102" s="56">
        <f t="shared" ref="E102" ca="1" si="342">E101</f>
        <v>0</v>
      </c>
      <c r="F102" s="56">
        <f ca="1">F101</f>
        <v>0</v>
      </c>
      <c r="G102" s="104"/>
      <c r="H102" s="104"/>
      <c r="I102" s="104"/>
      <c r="J102" s="104"/>
      <c r="K102" s="104"/>
      <c r="L102" s="104"/>
      <c r="M102" s="104"/>
      <c r="N102" s="104"/>
      <c r="O102" s="106"/>
      <c r="Q102" s="50"/>
      <c r="R102" s="58"/>
      <c r="S102" s="165" t="s">
        <v>28</v>
      </c>
      <c r="T102" s="146" t="s">
        <v>35</v>
      </c>
      <c r="U102" s="35">
        <f ca="1">OFFSET(①簡易状況入力!$C$5,MATCH(A100,①簡易状況入力!$C$5:$C$104,0)-1,2)</f>
        <v>0</v>
      </c>
      <c r="V102" s="58"/>
      <c r="W102" s="146" t="s">
        <v>33</v>
      </c>
      <c r="X102" s="37">
        <f ca="1">OFFSET(①簡易状況入力!$C$5,MATCH(A100,①簡易状況入力!$C$5:$C$104,0)-1,6)</f>
        <v>0</v>
      </c>
      <c r="Y102" s="149">
        <f ca="1">OFFSET(①簡易状況入力!$C$5,MATCH(A100,①簡易状況入力!$C$5:$C$104,0)-1,11)</f>
        <v>0</v>
      </c>
      <c r="Z102" s="167">
        <f ca="1">OFFSET(①簡易状況入力!$C$5,MATCH(A100,①簡易状況入力!$C$5:$C$104,0)-1,12)</f>
        <v>0</v>
      </c>
      <c r="AA102" s="168"/>
      <c r="AB102" s="148" t="s">
        <v>50</v>
      </c>
      <c r="AC102" s="56">
        <f t="shared" ref="AC102:AD102" ca="1" si="343">AC101</f>
        <v>0</v>
      </c>
      <c r="AD102" s="56">
        <f t="shared" ca="1" si="343"/>
        <v>0</v>
      </c>
      <c r="AE102" s="63">
        <f ca="1">IF($C102="あり",IF(AC102&gt;=1,G102/AQ102,0),IF(AC102&gt;=1,AO102*AC102,0))</f>
        <v>0</v>
      </c>
      <c r="AF102" s="63">
        <f t="shared" ca="1" si="336"/>
        <v>0</v>
      </c>
      <c r="AG102" s="63">
        <f t="shared" ca="1" si="337"/>
        <v>0</v>
      </c>
      <c r="AH102" s="63">
        <f t="shared" ca="1" si="338"/>
        <v>0</v>
      </c>
      <c r="AI102" s="63">
        <f t="shared" ca="1" si="339"/>
        <v>0</v>
      </c>
      <c r="AJ102" s="63">
        <f t="shared" ca="1" si="340"/>
        <v>0</v>
      </c>
      <c r="AK102" s="63">
        <f t="shared" ca="1" si="341"/>
        <v>0</v>
      </c>
      <c r="AL102" s="63">
        <f ca="1">IF($C102="あり",IF($AD102&gt;=7,N102/$AQ102,0),IF($AD102&gt;=7,$AO102*($AD102-6),0))</f>
        <v>0</v>
      </c>
      <c r="AM102" s="65">
        <f ca="1">IF(C102="あり",O102/AQ102,AP102)</f>
        <v>0</v>
      </c>
      <c r="AN102" s="63">
        <f ca="1">SUM(AE102:AM102)</f>
        <v>0</v>
      </c>
      <c r="AO102" s="68" t="e">
        <f ca="1">1/(AC102+AD102)</f>
        <v>#DIV/0!</v>
      </c>
      <c r="AP102" s="67">
        <v>0</v>
      </c>
      <c r="AQ102" s="68">
        <f ca="1">IF(AC102&gt;=1,G102,0)+SUMIF($H$4:$M$4,"&lt;="&amp;AD102,$H102:$M102)+IF(AD102&gt;=7,N102,0)+O102</f>
        <v>0</v>
      </c>
    </row>
    <row r="103" spans="1:43" x14ac:dyDescent="0.15">
      <c r="A103" s="50"/>
      <c r="B103" s="50"/>
      <c r="C103" s="145">
        <f ca="1">OFFSET(①簡易状況入力!$C$5,MATCH(A100,①簡易状況入力!$C$5:$C$104,0)-1,20)</f>
        <v>0</v>
      </c>
      <c r="D103" s="148" t="s">
        <v>51</v>
      </c>
      <c r="E103" s="56">
        <f t="shared" ref="E103:F103" ca="1" si="344">E102</f>
        <v>0</v>
      </c>
      <c r="F103" s="56">
        <f t="shared" ca="1" si="344"/>
        <v>0</v>
      </c>
      <c r="G103" s="104"/>
      <c r="H103" s="104"/>
      <c r="I103" s="104"/>
      <c r="J103" s="104"/>
      <c r="K103" s="104"/>
      <c r="L103" s="104"/>
      <c r="M103" s="104"/>
      <c r="N103" s="104"/>
      <c r="O103" s="106"/>
      <c r="Q103" s="50"/>
      <c r="R103" s="58"/>
      <c r="S103" s="166"/>
      <c r="T103" s="146" t="s">
        <v>34</v>
      </c>
      <c r="U103" s="35">
        <f ca="1">OFFSET(①簡易状況入力!$C$5,MATCH(A100,①簡易状況入力!$C$5:$C$104,0)-1,3)</f>
        <v>0</v>
      </c>
      <c r="V103" s="58"/>
      <c r="W103" s="146" t="s">
        <v>118</v>
      </c>
      <c r="X103" s="37">
        <f ca="1">OFFSET(①簡易状況入力!$C$5,MATCH(A100,①簡易状況入力!$C$5:$C$104,0)-1,7)</f>
        <v>0</v>
      </c>
      <c r="Y103" s="149">
        <f ca="1">OFFSET(①簡易状況入力!$C$5,MATCH(A100,①簡易状況入力!$C$5:$C$104,0)-1,13)</f>
        <v>0</v>
      </c>
      <c r="Z103" s="167">
        <f ca="1">OFFSET(①簡易状況入力!$C$5,MATCH(A100,①簡易状況入力!$C$5:$C$104,0)-1,14)</f>
        <v>0</v>
      </c>
      <c r="AA103" s="168"/>
      <c r="AB103" s="148" t="s">
        <v>51</v>
      </c>
      <c r="AC103" s="56">
        <f t="shared" ref="AC103:AD103" ca="1" si="345">AC102</f>
        <v>0</v>
      </c>
      <c r="AD103" s="56">
        <f t="shared" ca="1" si="345"/>
        <v>0</v>
      </c>
      <c r="AE103" s="63">
        <f ca="1">IF($C103="あり",IF(AC103&gt;=1,G103/AQ103,0),IF(AC103&gt;=1,AO103*AC103,0))</f>
        <v>0</v>
      </c>
      <c r="AF103" s="63">
        <f t="shared" ca="1" si="336"/>
        <v>0</v>
      </c>
      <c r="AG103" s="63">
        <f t="shared" ca="1" si="337"/>
        <v>0</v>
      </c>
      <c r="AH103" s="63">
        <f t="shared" ca="1" si="338"/>
        <v>0</v>
      </c>
      <c r="AI103" s="63">
        <f t="shared" ca="1" si="339"/>
        <v>0</v>
      </c>
      <c r="AJ103" s="63">
        <f t="shared" ca="1" si="340"/>
        <v>0</v>
      </c>
      <c r="AK103" s="63">
        <f t="shared" ca="1" si="341"/>
        <v>0</v>
      </c>
      <c r="AL103" s="63">
        <f ca="1">IF($C103="あり",IF($AD103&gt;=7,N103/$AQ103,0),IF($AD103&gt;=7,$AO103*($AD103-6),0))</f>
        <v>0</v>
      </c>
      <c r="AM103" s="65">
        <f ca="1">IF(C103="あり",O103/AQ103,AP103)</f>
        <v>0</v>
      </c>
      <c r="AN103" s="63">
        <f ca="1">SUM(AE103:AM103)</f>
        <v>0</v>
      </c>
      <c r="AO103" s="68" t="e">
        <f ca="1">1/(AC103+AD103)</f>
        <v>#DIV/0!</v>
      </c>
      <c r="AP103" s="67">
        <v>0</v>
      </c>
      <c r="AQ103" s="68">
        <f ca="1">IF(AC103&gt;=1,G103,0)+SUMIF($H$4:$M$4,"&lt;="&amp;AD103,$H103:$M103)+IF(AD103&gt;=7,N103,0)+O103</f>
        <v>0</v>
      </c>
    </row>
    <row r="105" spans="1:43" x14ac:dyDescent="0.15">
      <c r="A105" s="59" t="s">
        <v>336</v>
      </c>
      <c r="B105" s="60">
        <f ca="1">OFFSET(①簡易状況入力!$C$5,MATCH(A105,①簡易状況入力!$C$5:$C$104,0)-1,1)</f>
        <v>0</v>
      </c>
      <c r="C105" s="145">
        <f ca="1">OFFSET(①簡易状況入力!$C$5,MATCH(A105,①簡易状況入力!$C$5:$C$104,0)-1,17)</f>
        <v>0</v>
      </c>
      <c r="D105" s="148" t="s">
        <v>47</v>
      </c>
      <c r="E105" s="56">
        <f ca="1">U108</f>
        <v>0</v>
      </c>
      <c r="F105" s="56">
        <f ca="1">U107</f>
        <v>0</v>
      </c>
      <c r="G105" s="102"/>
      <c r="H105" s="103"/>
      <c r="I105" s="103"/>
      <c r="J105" s="103"/>
      <c r="K105" s="103"/>
      <c r="L105" s="103"/>
      <c r="M105" s="103"/>
      <c r="N105" s="103"/>
      <c r="O105" s="103"/>
      <c r="Q105" s="57">
        <f ca="1">OFFSET(①簡易状況入力!$C$5,MATCH(A105,①簡易状況入力!$C$5:$C$104,0)-1,15)</f>
        <v>0</v>
      </c>
      <c r="R105" s="58"/>
      <c r="S105" s="58"/>
      <c r="T105" s="58"/>
      <c r="U105" s="58"/>
      <c r="V105" s="58"/>
      <c r="W105" s="58"/>
      <c r="X105" s="58"/>
      <c r="Y105" s="58"/>
      <c r="Z105" s="58"/>
      <c r="AA105" s="58"/>
      <c r="AB105" s="148" t="s">
        <v>47</v>
      </c>
      <c r="AC105" s="56">
        <f ca="1">U108</f>
        <v>0</v>
      </c>
      <c r="AD105" s="56">
        <f ca="1">U107</f>
        <v>0</v>
      </c>
      <c r="AE105" s="62" t="s">
        <v>46</v>
      </c>
      <c r="AF105" s="62" t="str">
        <f t="shared" ref="AF105" ca="1" si="346">IF($C105="あり",IF(AF$4&lt;=$AD105,H105,"-"),IF(AF$4&lt;=$AD105,$AO105,"-"))</f>
        <v>-</v>
      </c>
      <c r="AG105" s="62" t="str">
        <f t="shared" ref="AG105" ca="1" si="347">IF($C105="あり",IF(AG$4&lt;=$AD105,I105,"-"),IF(AG$4&lt;=$AD105,$AO105,"-"))</f>
        <v>-</v>
      </c>
      <c r="AH105" s="62" t="str">
        <f t="shared" ref="AH105" ca="1" si="348">IF($C105="あり",IF(AH$4&lt;=$AD105,J105,"-"),IF(AH$4&lt;=$AD105,$AO105,"-"))</f>
        <v>-</v>
      </c>
      <c r="AI105" s="62" t="str">
        <f t="shared" ref="AI105" ca="1" si="349">IF($C105="あり",IF(AI$4&lt;=$AD105,K105,"-"),IF(AI$4&lt;=$AD105,$AO105,"-"))</f>
        <v>-</v>
      </c>
      <c r="AJ105" s="62" t="str">
        <f t="shared" ref="AJ105" ca="1" si="350">IF($C105="あり",IF(AJ$4&lt;=$AD105,L105,"-"),IF(AJ$4&lt;=$AD105,$AO105,"-"))</f>
        <v>-</v>
      </c>
      <c r="AK105" s="62" t="str">
        <f t="shared" ref="AK105" ca="1" si="351">IF($C105="あり",IF(AK$4&lt;=$AD105,M105,"-"),IF(AK$4&lt;=$AD105,$AO105,"-"))</f>
        <v>-</v>
      </c>
      <c r="AL105" s="62" t="str">
        <f ca="1">IF($C105="あり",IF(7&lt;=$AD105,N105,"-"),IF(7&lt;=$AD105,$AO105*($AD105-6),"-"))</f>
        <v>-</v>
      </c>
      <c r="AM105" s="62">
        <f ca="1">IF(C105="あり",O105,AP105)</f>
        <v>0</v>
      </c>
      <c r="AN105" s="62">
        <f ca="1">SUM(U106,AF105:AM105)</f>
        <v>0</v>
      </c>
      <c r="AO105" s="42">
        <f ca="1">OFFSET(【DB】被害率係数!$A$4,MATCH(②詳細状況入力!$Y106,【DB】被害率係数!$A$4:$A$19,0)-1,16)</f>
        <v>0</v>
      </c>
      <c r="AP105" s="42">
        <f ca="1">OFFSET(【DB】被害率係数!$A$4,MATCH(②詳細状況入力!$Y106,【DB】被害率係数!$A$4:$A$19,0)-1,17)</f>
        <v>0</v>
      </c>
      <c r="AQ105" s="42"/>
    </row>
    <row r="106" spans="1:43" x14ac:dyDescent="0.15">
      <c r="A106" s="50"/>
      <c r="B106" s="50"/>
      <c r="C106" s="145">
        <f ca="1">OFFSET(①簡易状況入力!$C$5,MATCH(A105,①簡易状況入力!$C$5:$C$104,0)-1,18)</f>
        <v>0</v>
      </c>
      <c r="D106" s="148" t="s">
        <v>52</v>
      </c>
      <c r="E106" s="56">
        <f t="shared" ref="E106:F106" ca="1" si="352">E105</f>
        <v>0</v>
      </c>
      <c r="F106" s="56">
        <f t="shared" ca="1" si="352"/>
        <v>0</v>
      </c>
      <c r="G106" s="104"/>
      <c r="H106" s="104"/>
      <c r="I106" s="104"/>
      <c r="J106" s="104"/>
      <c r="K106" s="104"/>
      <c r="L106" s="104"/>
      <c r="M106" s="104"/>
      <c r="N106" s="104"/>
      <c r="O106" s="105"/>
      <c r="Q106" s="57">
        <f ca="1">OFFSET(①簡易状況入力!$C$5,MATCH(A105,①簡易状況入力!$C$5:$C$104,0)-1,16)</f>
        <v>0</v>
      </c>
      <c r="R106" s="58"/>
      <c r="S106" s="146" t="s">
        <v>115</v>
      </c>
      <c r="T106" s="146" t="s">
        <v>116</v>
      </c>
      <c r="U106" s="36">
        <f ca="1">OFFSET(①簡易状況入力!$C$5,MATCH(A105,①簡易状況入力!$C$5:$C$104,0)-1,4)</f>
        <v>0</v>
      </c>
      <c r="V106" s="58"/>
      <c r="W106" s="146" t="s">
        <v>30</v>
      </c>
      <c r="X106" s="37">
        <f ca="1">OFFSET(①簡易状況入力!$C$5,MATCH(A105,①簡易状況入力!$C$5:$C$104,0)-1,5)</f>
        <v>0</v>
      </c>
      <c r="Y106" s="149">
        <f ca="1">OFFSET(①簡易状況入力!$C$5,MATCH(A105,①簡易状況入力!$C$5:$C$104,0)-1,8)</f>
        <v>0</v>
      </c>
      <c r="Z106" s="149">
        <f ca="1">OFFSET(①簡易状況入力!$C$5,MATCH(A105,①簡易状況入力!$C$5:$C$104,0)-1,9)</f>
        <v>0</v>
      </c>
      <c r="AA106" s="149">
        <f ca="1">OFFSET(①簡易状況入力!$C$5,MATCH(A105,①簡易状況入力!$C$5:$C$104,0)-1,10)</f>
        <v>0</v>
      </c>
      <c r="AB106" s="148" t="s">
        <v>52</v>
      </c>
      <c r="AC106" s="56">
        <f t="shared" ref="AC106:AD106" ca="1" si="353">AC105</f>
        <v>0</v>
      </c>
      <c r="AD106" s="56">
        <f t="shared" ca="1" si="353"/>
        <v>0</v>
      </c>
      <c r="AE106" s="63">
        <f ca="1">IF($C106="あり",IF(AC106&gt;=1,G106/AQ106,0),IF(AC106&gt;=1,AO106*AC106,0))</f>
        <v>0</v>
      </c>
      <c r="AF106" s="63">
        <f t="shared" ref="AF106:AF108" ca="1" si="354">IF($C106="あり",IF($AD106&gt;=AF$4,H106/$AQ106,0),IF($AD106&gt;=AF$4,$AO106,0))</f>
        <v>0</v>
      </c>
      <c r="AG106" s="63">
        <f t="shared" ref="AG106:AG108" ca="1" si="355">IF($C106="あり",IF($AD106&gt;=AG$4,I106/$AQ106,0),IF($AD106&gt;=AG$4,$AO106,0))</f>
        <v>0</v>
      </c>
      <c r="AH106" s="63">
        <f t="shared" ref="AH106:AH108" ca="1" si="356">IF($C106="あり",IF($AD106&gt;=AH$4,J106/$AQ106,0),IF($AD106&gt;=AH$4,$AO106,0))</f>
        <v>0</v>
      </c>
      <c r="AI106" s="63">
        <f t="shared" ref="AI106:AI108" ca="1" si="357">IF($C106="あり",IF($AD106&gt;=AI$4,K106/$AQ106,0),IF($AD106&gt;=AI$4,$AO106,0))</f>
        <v>0</v>
      </c>
      <c r="AJ106" s="63">
        <f t="shared" ref="AJ106:AJ108" ca="1" si="358">IF($C106="あり",IF($AD106&gt;=AJ$4,L106/$AQ106,0),IF($AD106&gt;=AJ$4,$AO106,0))</f>
        <v>0</v>
      </c>
      <c r="AK106" s="63">
        <f t="shared" ref="AK106:AK108" ca="1" si="359">IF($C106="あり",IF($AD106&gt;=AK$4,M106/$AQ106,0),IF($AD106&gt;=AK$4,$AO106,0))</f>
        <v>0</v>
      </c>
      <c r="AL106" s="63">
        <f ca="1">IF($C106="あり",IF($AD106&gt;=7,N106/$AQ106,0),IF($AD106&gt;=7,$AO106*($AD106-6),0))</f>
        <v>0</v>
      </c>
      <c r="AM106" s="64" t="s">
        <v>46</v>
      </c>
      <c r="AN106" s="63">
        <f ca="1">SUM(AE106:AM106)</f>
        <v>0</v>
      </c>
      <c r="AO106" s="68" t="e">
        <f ca="1">1/(AC106+AD106)</f>
        <v>#DIV/0!</v>
      </c>
      <c r="AP106" s="67">
        <v>0</v>
      </c>
      <c r="AQ106" s="68">
        <f ca="1">IF(AC106&gt;=1,G106,0)+SUMIF($H$4:$M$4,"&lt;="&amp;AD106,$H106:$M106)+IF(AD106&gt;=7,N106,0)</f>
        <v>0</v>
      </c>
    </row>
    <row r="107" spans="1:43" x14ac:dyDescent="0.15">
      <c r="A107" s="50"/>
      <c r="B107" s="50"/>
      <c r="C107" s="145">
        <f ca="1">OFFSET(①簡易状況入力!$C$5,MATCH(A105,①簡易状況入力!$C$5:$C$104,0)-1,19)</f>
        <v>0</v>
      </c>
      <c r="D107" s="148" t="s">
        <v>50</v>
      </c>
      <c r="E107" s="56">
        <f t="shared" ref="E107" ca="1" si="360">E106</f>
        <v>0</v>
      </c>
      <c r="F107" s="56">
        <f ca="1">F106</f>
        <v>0</v>
      </c>
      <c r="G107" s="104"/>
      <c r="H107" s="104"/>
      <c r="I107" s="104"/>
      <c r="J107" s="104"/>
      <c r="K107" s="104"/>
      <c r="L107" s="104"/>
      <c r="M107" s="104"/>
      <c r="N107" s="104"/>
      <c r="O107" s="106"/>
      <c r="Q107" s="50"/>
      <c r="R107" s="58"/>
      <c r="S107" s="165" t="s">
        <v>28</v>
      </c>
      <c r="T107" s="146" t="s">
        <v>35</v>
      </c>
      <c r="U107" s="35">
        <f ca="1">OFFSET(①簡易状況入力!$C$5,MATCH(A105,①簡易状況入力!$C$5:$C$104,0)-1,2)</f>
        <v>0</v>
      </c>
      <c r="V107" s="58"/>
      <c r="W107" s="146" t="s">
        <v>33</v>
      </c>
      <c r="X107" s="37">
        <f ca="1">OFFSET(①簡易状況入力!$C$5,MATCH(A105,①簡易状況入力!$C$5:$C$104,0)-1,6)</f>
        <v>0</v>
      </c>
      <c r="Y107" s="149">
        <f ca="1">OFFSET(①簡易状況入力!$C$5,MATCH(A105,①簡易状況入力!$C$5:$C$104,0)-1,11)</f>
        <v>0</v>
      </c>
      <c r="Z107" s="167">
        <f ca="1">OFFSET(①簡易状況入力!$C$5,MATCH(A105,①簡易状況入力!$C$5:$C$104,0)-1,12)</f>
        <v>0</v>
      </c>
      <c r="AA107" s="168"/>
      <c r="AB107" s="148" t="s">
        <v>50</v>
      </c>
      <c r="AC107" s="56">
        <f t="shared" ref="AC107:AD107" ca="1" si="361">AC106</f>
        <v>0</v>
      </c>
      <c r="AD107" s="56">
        <f t="shared" ca="1" si="361"/>
        <v>0</v>
      </c>
      <c r="AE107" s="63">
        <f ca="1">IF($C107="あり",IF(AC107&gt;=1,G107/AQ107,0),IF(AC107&gt;=1,AO107*AC107,0))</f>
        <v>0</v>
      </c>
      <c r="AF107" s="63">
        <f t="shared" ca="1" si="354"/>
        <v>0</v>
      </c>
      <c r="AG107" s="63">
        <f t="shared" ca="1" si="355"/>
        <v>0</v>
      </c>
      <c r="AH107" s="63">
        <f t="shared" ca="1" si="356"/>
        <v>0</v>
      </c>
      <c r="AI107" s="63">
        <f t="shared" ca="1" si="357"/>
        <v>0</v>
      </c>
      <c r="AJ107" s="63">
        <f t="shared" ca="1" si="358"/>
        <v>0</v>
      </c>
      <c r="AK107" s="63">
        <f t="shared" ca="1" si="359"/>
        <v>0</v>
      </c>
      <c r="AL107" s="63">
        <f ca="1">IF($C107="あり",IF($AD107&gt;=7,N107/$AQ107,0),IF($AD107&gt;=7,$AO107*($AD107-6),0))</f>
        <v>0</v>
      </c>
      <c r="AM107" s="65">
        <f ca="1">IF(C107="あり",O107/AQ107,AP107)</f>
        <v>0</v>
      </c>
      <c r="AN107" s="63">
        <f ca="1">SUM(AE107:AM107)</f>
        <v>0</v>
      </c>
      <c r="AO107" s="68" t="e">
        <f ca="1">1/(AC107+AD107)</f>
        <v>#DIV/0!</v>
      </c>
      <c r="AP107" s="67">
        <v>0</v>
      </c>
      <c r="AQ107" s="68">
        <f ca="1">IF(AC107&gt;=1,G107,0)+SUMIF($H$4:$M$4,"&lt;="&amp;AD107,$H107:$M107)+IF(AD107&gt;=7,N107,0)+O107</f>
        <v>0</v>
      </c>
    </row>
    <row r="108" spans="1:43" x14ac:dyDescent="0.15">
      <c r="A108" s="50"/>
      <c r="B108" s="50"/>
      <c r="C108" s="145">
        <f ca="1">OFFSET(①簡易状況入力!$C$5,MATCH(A105,①簡易状況入力!$C$5:$C$104,0)-1,20)</f>
        <v>0</v>
      </c>
      <c r="D108" s="148" t="s">
        <v>51</v>
      </c>
      <c r="E108" s="56">
        <f t="shared" ref="E108:F108" ca="1" si="362">E107</f>
        <v>0</v>
      </c>
      <c r="F108" s="56">
        <f t="shared" ca="1" si="362"/>
        <v>0</v>
      </c>
      <c r="G108" s="104"/>
      <c r="H108" s="104"/>
      <c r="I108" s="104"/>
      <c r="J108" s="104"/>
      <c r="K108" s="104"/>
      <c r="L108" s="104"/>
      <c r="M108" s="104"/>
      <c r="N108" s="104"/>
      <c r="O108" s="106"/>
      <c r="Q108" s="50"/>
      <c r="R108" s="58"/>
      <c r="S108" s="166"/>
      <c r="T108" s="146" t="s">
        <v>34</v>
      </c>
      <c r="U108" s="35">
        <f ca="1">OFFSET(①簡易状況入力!$C$5,MATCH(A105,①簡易状況入力!$C$5:$C$104,0)-1,3)</f>
        <v>0</v>
      </c>
      <c r="V108" s="58"/>
      <c r="W108" s="146" t="s">
        <v>118</v>
      </c>
      <c r="X108" s="37">
        <f ca="1">OFFSET(①簡易状況入力!$C$5,MATCH(A105,①簡易状況入力!$C$5:$C$104,0)-1,7)</f>
        <v>0</v>
      </c>
      <c r="Y108" s="149">
        <f ca="1">OFFSET(①簡易状況入力!$C$5,MATCH(A105,①簡易状況入力!$C$5:$C$104,0)-1,13)</f>
        <v>0</v>
      </c>
      <c r="Z108" s="167">
        <f ca="1">OFFSET(①簡易状況入力!$C$5,MATCH(A105,①簡易状況入力!$C$5:$C$104,0)-1,14)</f>
        <v>0</v>
      </c>
      <c r="AA108" s="168"/>
      <c r="AB108" s="148" t="s">
        <v>51</v>
      </c>
      <c r="AC108" s="56">
        <f t="shared" ref="AC108:AD108" ca="1" si="363">AC107</f>
        <v>0</v>
      </c>
      <c r="AD108" s="56">
        <f t="shared" ca="1" si="363"/>
        <v>0</v>
      </c>
      <c r="AE108" s="63">
        <f ca="1">IF($C108="あり",IF(AC108&gt;=1,G108/AQ108,0),IF(AC108&gt;=1,AO108*AC108,0))</f>
        <v>0</v>
      </c>
      <c r="AF108" s="63">
        <f t="shared" ca="1" si="354"/>
        <v>0</v>
      </c>
      <c r="AG108" s="63">
        <f t="shared" ca="1" si="355"/>
        <v>0</v>
      </c>
      <c r="AH108" s="63">
        <f t="shared" ca="1" si="356"/>
        <v>0</v>
      </c>
      <c r="AI108" s="63">
        <f t="shared" ca="1" si="357"/>
        <v>0</v>
      </c>
      <c r="AJ108" s="63">
        <f t="shared" ca="1" si="358"/>
        <v>0</v>
      </c>
      <c r="AK108" s="63">
        <f t="shared" ca="1" si="359"/>
        <v>0</v>
      </c>
      <c r="AL108" s="63">
        <f ca="1">IF($C108="あり",IF($AD108&gt;=7,N108/$AQ108,0),IF($AD108&gt;=7,$AO108*($AD108-6),0))</f>
        <v>0</v>
      </c>
      <c r="AM108" s="65">
        <f ca="1">IF(C108="あり",O108/AQ108,AP108)</f>
        <v>0</v>
      </c>
      <c r="AN108" s="63">
        <f ca="1">SUM(AE108:AM108)</f>
        <v>0</v>
      </c>
      <c r="AO108" s="68" t="e">
        <f ca="1">1/(AC108+AD108)</f>
        <v>#DIV/0!</v>
      </c>
      <c r="AP108" s="67">
        <v>0</v>
      </c>
      <c r="AQ108" s="68">
        <f ca="1">IF(AC108&gt;=1,G108,0)+SUMIF($H$4:$M$4,"&lt;="&amp;AD108,$H108:$M108)+IF(AD108&gt;=7,N108,0)+O108</f>
        <v>0</v>
      </c>
    </row>
    <row r="109" spans="1:43" x14ac:dyDescent="0.15">
      <c r="G109" s="107"/>
      <c r="H109" s="107"/>
      <c r="I109" s="107"/>
      <c r="J109" s="107"/>
      <c r="K109" s="107"/>
      <c r="L109" s="107"/>
      <c r="M109" s="107"/>
      <c r="N109" s="107"/>
      <c r="O109" s="107"/>
    </row>
    <row r="110" spans="1:43" x14ac:dyDescent="0.15">
      <c r="A110" s="59" t="s">
        <v>337</v>
      </c>
      <c r="B110" s="60">
        <f ca="1">OFFSET(①簡易状況入力!$C$5,MATCH(A110,①簡易状況入力!$C$5:$C$104,0)-1,1)</f>
        <v>0</v>
      </c>
      <c r="C110" s="145">
        <f ca="1">OFFSET(①簡易状況入力!$C$5,MATCH(A110,①簡易状況入力!$C$5:$C$104,0)-1,17)</f>
        <v>0</v>
      </c>
      <c r="D110" s="148" t="s">
        <v>47</v>
      </c>
      <c r="E110" s="56">
        <f ca="1">U113</f>
        <v>0</v>
      </c>
      <c r="F110" s="56">
        <f ca="1">U112</f>
        <v>0</v>
      </c>
      <c r="G110" s="102"/>
      <c r="H110" s="103"/>
      <c r="I110" s="103"/>
      <c r="J110" s="103"/>
      <c r="K110" s="103"/>
      <c r="L110" s="103"/>
      <c r="M110" s="103"/>
      <c r="N110" s="103"/>
      <c r="O110" s="103"/>
      <c r="Q110" s="57">
        <f ca="1">OFFSET(①簡易状況入力!$C$5,MATCH(A110,①簡易状況入力!$C$5:$C$104,0)-1,15)</f>
        <v>0</v>
      </c>
      <c r="R110" s="58"/>
      <c r="S110" s="58"/>
      <c r="T110" s="58"/>
      <c r="U110" s="58"/>
      <c r="V110" s="58"/>
      <c r="W110" s="58"/>
      <c r="X110" s="58"/>
      <c r="Y110" s="58"/>
      <c r="Z110" s="58"/>
      <c r="AA110" s="58"/>
      <c r="AB110" s="148" t="s">
        <v>47</v>
      </c>
      <c r="AC110" s="56">
        <f ca="1">U113</f>
        <v>0</v>
      </c>
      <c r="AD110" s="56">
        <f ca="1">U112</f>
        <v>0</v>
      </c>
      <c r="AE110" s="62" t="s">
        <v>46</v>
      </c>
      <c r="AF110" s="62" t="str">
        <f t="shared" ref="AF110" ca="1" si="364">IF($C110="あり",IF(AF$4&lt;=$AD110,H110,"-"),IF(AF$4&lt;=$AD110,$AO110,"-"))</f>
        <v>-</v>
      </c>
      <c r="AG110" s="62" t="str">
        <f t="shared" ref="AG110" ca="1" si="365">IF($C110="あり",IF(AG$4&lt;=$AD110,I110,"-"),IF(AG$4&lt;=$AD110,$AO110,"-"))</f>
        <v>-</v>
      </c>
      <c r="AH110" s="62" t="str">
        <f t="shared" ref="AH110" ca="1" si="366">IF($C110="あり",IF(AH$4&lt;=$AD110,J110,"-"),IF(AH$4&lt;=$AD110,$AO110,"-"))</f>
        <v>-</v>
      </c>
      <c r="AI110" s="62" t="str">
        <f t="shared" ref="AI110" ca="1" si="367">IF($C110="あり",IF(AI$4&lt;=$AD110,K110,"-"),IF(AI$4&lt;=$AD110,$AO110,"-"))</f>
        <v>-</v>
      </c>
      <c r="AJ110" s="62" t="str">
        <f t="shared" ref="AJ110" ca="1" si="368">IF($C110="あり",IF(AJ$4&lt;=$AD110,L110,"-"),IF(AJ$4&lt;=$AD110,$AO110,"-"))</f>
        <v>-</v>
      </c>
      <c r="AK110" s="62" t="str">
        <f t="shared" ref="AK110" ca="1" si="369">IF($C110="あり",IF(AK$4&lt;=$AD110,M110,"-"),IF(AK$4&lt;=$AD110,$AO110,"-"))</f>
        <v>-</v>
      </c>
      <c r="AL110" s="62" t="str">
        <f ca="1">IF($C110="あり",IF(7&lt;=$AD110,N110,"-"),IF(7&lt;=$AD110,$AO110*($AD110-6),"-"))</f>
        <v>-</v>
      </c>
      <c r="AM110" s="62">
        <f ca="1">IF(C110="あり",O110,AP110)</f>
        <v>0</v>
      </c>
      <c r="AN110" s="62">
        <f ca="1">SUM(U111,AF110:AM110)</f>
        <v>0</v>
      </c>
      <c r="AO110" s="42">
        <f ca="1">OFFSET(【DB】被害率係数!$A$4,MATCH(②詳細状況入力!$Y111,【DB】被害率係数!$A$4:$A$19,0)-1,16)</f>
        <v>0</v>
      </c>
      <c r="AP110" s="42">
        <f ca="1">OFFSET(【DB】被害率係数!$A$4,MATCH(②詳細状況入力!$Y111,【DB】被害率係数!$A$4:$A$19,0)-1,17)</f>
        <v>0</v>
      </c>
      <c r="AQ110" s="42"/>
    </row>
    <row r="111" spans="1:43" x14ac:dyDescent="0.15">
      <c r="A111" s="50"/>
      <c r="B111" s="50"/>
      <c r="C111" s="145">
        <f ca="1">OFFSET(①簡易状況入力!$C$5,MATCH(A110,①簡易状況入力!$C$5:$C$104,0)-1,18)</f>
        <v>0</v>
      </c>
      <c r="D111" s="148" t="s">
        <v>52</v>
      </c>
      <c r="E111" s="56">
        <f t="shared" ref="E111:F111" ca="1" si="370">E110</f>
        <v>0</v>
      </c>
      <c r="F111" s="56">
        <f t="shared" ca="1" si="370"/>
        <v>0</v>
      </c>
      <c r="G111" s="104"/>
      <c r="H111" s="104"/>
      <c r="I111" s="104"/>
      <c r="J111" s="104"/>
      <c r="K111" s="104"/>
      <c r="L111" s="104"/>
      <c r="M111" s="104"/>
      <c r="N111" s="104"/>
      <c r="O111" s="105"/>
      <c r="Q111" s="57">
        <f ca="1">OFFSET(①簡易状況入力!$C$5,MATCH(A110,①簡易状況入力!$C$5:$C$104,0)-1,16)</f>
        <v>0</v>
      </c>
      <c r="R111" s="58"/>
      <c r="S111" s="146" t="s">
        <v>115</v>
      </c>
      <c r="T111" s="146" t="s">
        <v>116</v>
      </c>
      <c r="U111" s="36">
        <f ca="1">OFFSET(①簡易状況入力!$C$5,MATCH(A110,①簡易状況入力!$C$5:$C$104,0)-1,4)</f>
        <v>0</v>
      </c>
      <c r="V111" s="58"/>
      <c r="W111" s="146" t="s">
        <v>30</v>
      </c>
      <c r="X111" s="37">
        <f ca="1">OFFSET(①簡易状況入力!$C$5,MATCH(A110,①簡易状況入力!$C$5:$C$104,0)-1,5)</f>
        <v>0</v>
      </c>
      <c r="Y111" s="149">
        <f ca="1">OFFSET(①簡易状況入力!$C$5,MATCH(A110,①簡易状況入力!$C$5:$C$104,0)-1,8)</f>
        <v>0</v>
      </c>
      <c r="Z111" s="149">
        <f ca="1">OFFSET(①簡易状況入力!$C$5,MATCH(A110,①簡易状況入力!$C$5:$C$104,0)-1,9)</f>
        <v>0</v>
      </c>
      <c r="AA111" s="149">
        <f ca="1">OFFSET(①簡易状況入力!$C$5,MATCH(A110,①簡易状況入力!$C$5:$C$104,0)-1,10)</f>
        <v>0</v>
      </c>
      <c r="AB111" s="148" t="s">
        <v>52</v>
      </c>
      <c r="AC111" s="56">
        <f t="shared" ref="AC111:AD111" ca="1" si="371">AC110</f>
        <v>0</v>
      </c>
      <c r="AD111" s="56">
        <f t="shared" ca="1" si="371"/>
        <v>0</v>
      </c>
      <c r="AE111" s="63">
        <f ca="1">IF($C111="あり",IF(AC111&gt;=1,G111/AQ111,0),IF(AC111&gt;=1,AO111*AC111,0))</f>
        <v>0</v>
      </c>
      <c r="AF111" s="63">
        <f t="shared" ref="AF111:AF113" ca="1" si="372">IF($C111="あり",IF($AD111&gt;=AF$4,H111/$AQ111,0),IF($AD111&gt;=AF$4,$AO111,0))</f>
        <v>0</v>
      </c>
      <c r="AG111" s="63">
        <f t="shared" ref="AG111:AG113" ca="1" si="373">IF($C111="あり",IF($AD111&gt;=AG$4,I111/$AQ111,0),IF($AD111&gt;=AG$4,$AO111,0))</f>
        <v>0</v>
      </c>
      <c r="AH111" s="63">
        <f t="shared" ref="AH111:AH113" ca="1" si="374">IF($C111="あり",IF($AD111&gt;=AH$4,J111/$AQ111,0),IF($AD111&gt;=AH$4,$AO111,0))</f>
        <v>0</v>
      </c>
      <c r="AI111" s="63">
        <f t="shared" ref="AI111:AI113" ca="1" si="375">IF($C111="あり",IF($AD111&gt;=AI$4,K111/$AQ111,0),IF($AD111&gt;=AI$4,$AO111,0))</f>
        <v>0</v>
      </c>
      <c r="AJ111" s="63">
        <f t="shared" ref="AJ111:AJ113" ca="1" si="376">IF($C111="あり",IF($AD111&gt;=AJ$4,L111/$AQ111,0),IF($AD111&gt;=AJ$4,$AO111,0))</f>
        <v>0</v>
      </c>
      <c r="AK111" s="63">
        <f t="shared" ref="AK111:AK113" ca="1" si="377">IF($C111="あり",IF($AD111&gt;=AK$4,M111/$AQ111,0),IF($AD111&gt;=AK$4,$AO111,0))</f>
        <v>0</v>
      </c>
      <c r="AL111" s="63">
        <f ca="1">IF($C111="あり",IF($AD111&gt;=7,N111/$AQ111,0),IF($AD111&gt;=7,$AO111*($AD111-6),0))</f>
        <v>0</v>
      </c>
      <c r="AM111" s="64" t="s">
        <v>46</v>
      </c>
      <c r="AN111" s="63">
        <f ca="1">SUM(AE111:AM111)</f>
        <v>0</v>
      </c>
      <c r="AO111" s="68" t="e">
        <f ca="1">1/(AC111+AD111)</f>
        <v>#DIV/0!</v>
      </c>
      <c r="AP111" s="67">
        <v>0</v>
      </c>
      <c r="AQ111" s="68">
        <f ca="1">IF(AC111&gt;=1,G111,0)+SUMIF($H$4:$M$4,"&lt;="&amp;AD111,$H111:$M111)+IF(AD111&gt;=7,N111,0)</f>
        <v>0</v>
      </c>
    </row>
    <row r="112" spans="1:43" x14ac:dyDescent="0.15">
      <c r="A112" s="50"/>
      <c r="B112" s="50"/>
      <c r="C112" s="145">
        <f ca="1">OFFSET(①簡易状況入力!$C$5,MATCH(A110,①簡易状況入力!$C$5:$C$104,0)-1,19)</f>
        <v>0</v>
      </c>
      <c r="D112" s="148" t="s">
        <v>50</v>
      </c>
      <c r="E112" s="56">
        <f t="shared" ref="E112" ca="1" si="378">E111</f>
        <v>0</v>
      </c>
      <c r="F112" s="56">
        <f ca="1">F111</f>
        <v>0</v>
      </c>
      <c r="G112" s="104"/>
      <c r="H112" s="104"/>
      <c r="I112" s="104"/>
      <c r="J112" s="104"/>
      <c r="K112" s="104"/>
      <c r="L112" s="104"/>
      <c r="M112" s="104"/>
      <c r="N112" s="104"/>
      <c r="O112" s="106"/>
      <c r="Q112" s="50"/>
      <c r="R112" s="58"/>
      <c r="S112" s="165" t="s">
        <v>28</v>
      </c>
      <c r="T112" s="146" t="s">
        <v>35</v>
      </c>
      <c r="U112" s="35">
        <f ca="1">OFFSET(①簡易状況入力!$C$5,MATCH(A110,①簡易状況入力!$C$5:$C$104,0)-1,2)</f>
        <v>0</v>
      </c>
      <c r="V112" s="58"/>
      <c r="W112" s="146" t="s">
        <v>33</v>
      </c>
      <c r="X112" s="37">
        <f ca="1">OFFSET(①簡易状況入力!$C$5,MATCH(A110,①簡易状況入力!$C$5:$C$104,0)-1,6)</f>
        <v>0</v>
      </c>
      <c r="Y112" s="149">
        <f ca="1">OFFSET(①簡易状況入力!$C$5,MATCH(A110,①簡易状況入力!$C$5:$C$104,0)-1,11)</f>
        <v>0</v>
      </c>
      <c r="Z112" s="167">
        <f ca="1">OFFSET(①簡易状況入力!$C$5,MATCH(A110,①簡易状況入力!$C$5:$C$104,0)-1,12)</f>
        <v>0</v>
      </c>
      <c r="AA112" s="168"/>
      <c r="AB112" s="148" t="s">
        <v>50</v>
      </c>
      <c r="AC112" s="56">
        <f t="shared" ref="AC112:AD112" ca="1" si="379">AC111</f>
        <v>0</v>
      </c>
      <c r="AD112" s="56">
        <f t="shared" ca="1" si="379"/>
        <v>0</v>
      </c>
      <c r="AE112" s="63">
        <f ca="1">IF($C112="あり",IF(AC112&gt;=1,G112/AQ112,0),IF(AC112&gt;=1,AO112*AC112,0))</f>
        <v>0</v>
      </c>
      <c r="AF112" s="63">
        <f t="shared" ca="1" si="372"/>
        <v>0</v>
      </c>
      <c r="AG112" s="63">
        <f t="shared" ca="1" si="373"/>
        <v>0</v>
      </c>
      <c r="AH112" s="63">
        <f t="shared" ca="1" si="374"/>
        <v>0</v>
      </c>
      <c r="AI112" s="63">
        <f t="shared" ca="1" si="375"/>
        <v>0</v>
      </c>
      <c r="AJ112" s="63">
        <f t="shared" ca="1" si="376"/>
        <v>0</v>
      </c>
      <c r="AK112" s="63">
        <f t="shared" ca="1" si="377"/>
        <v>0</v>
      </c>
      <c r="AL112" s="63">
        <f ca="1">IF($C112="あり",IF($AD112&gt;=7,N112/$AQ112,0),IF($AD112&gt;=7,$AO112*($AD112-6),0))</f>
        <v>0</v>
      </c>
      <c r="AM112" s="65">
        <f ca="1">IF(C112="あり",O112/AQ112,AP112)</f>
        <v>0</v>
      </c>
      <c r="AN112" s="63">
        <f ca="1">SUM(AE112:AM112)</f>
        <v>0</v>
      </c>
      <c r="AO112" s="68" t="e">
        <f ca="1">1/(AC112+AD112)</f>
        <v>#DIV/0!</v>
      </c>
      <c r="AP112" s="67">
        <v>0</v>
      </c>
      <c r="AQ112" s="68">
        <f ca="1">IF(AC112&gt;=1,G112,0)+SUMIF($H$4:$M$4,"&lt;="&amp;AD112,$H112:$M112)+IF(AD112&gt;=7,N112,0)+O112</f>
        <v>0</v>
      </c>
    </row>
    <row r="113" spans="1:43" x14ac:dyDescent="0.15">
      <c r="A113" s="50"/>
      <c r="B113" s="50"/>
      <c r="C113" s="145">
        <f ca="1">OFFSET(①簡易状況入力!$C$5,MATCH(A110,①簡易状況入力!$C$5:$C$104,0)-1,20)</f>
        <v>0</v>
      </c>
      <c r="D113" s="148" t="s">
        <v>51</v>
      </c>
      <c r="E113" s="56">
        <f t="shared" ref="E113:F113" ca="1" si="380">E112</f>
        <v>0</v>
      </c>
      <c r="F113" s="56">
        <f t="shared" ca="1" si="380"/>
        <v>0</v>
      </c>
      <c r="G113" s="104"/>
      <c r="H113" s="104"/>
      <c r="I113" s="104"/>
      <c r="J113" s="104"/>
      <c r="K113" s="104"/>
      <c r="L113" s="104"/>
      <c r="M113" s="104"/>
      <c r="N113" s="104"/>
      <c r="O113" s="106"/>
      <c r="Q113" s="50"/>
      <c r="R113" s="58"/>
      <c r="S113" s="166"/>
      <c r="T113" s="146" t="s">
        <v>34</v>
      </c>
      <c r="U113" s="35">
        <f ca="1">OFFSET(①簡易状況入力!$C$5,MATCH(A110,①簡易状況入力!$C$5:$C$104,0)-1,3)</f>
        <v>0</v>
      </c>
      <c r="V113" s="58"/>
      <c r="W113" s="146" t="s">
        <v>118</v>
      </c>
      <c r="X113" s="37">
        <f ca="1">OFFSET(①簡易状況入力!$C$5,MATCH(A110,①簡易状況入力!$C$5:$C$104,0)-1,7)</f>
        <v>0</v>
      </c>
      <c r="Y113" s="149">
        <f ca="1">OFFSET(①簡易状況入力!$C$5,MATCH(A110,①簡易状況入力!$C$5:$C$104,0)-1,13)</f>
        <v>0</v>
      </c>
      <c r="Z113" s="167">
        <f ca="1">OFFSET(①簡易状況入力!$C$5,MATCH(A110,①簡易状況入力!$C$5:$C$104,0)-1,14)</f>
        <v>0</v>
      </c>
      <c r="AA113" s="168"/>
      <c r="AB113" s="148" t="s">
        <v>51</v>
      </c>
      <c r="AC113" s="56">
        <f t="shared" ref="AC113:AD113" ca="1" si="381">AC112</f>
        <v>0</v>
      </c>
      <c r="AD113" s="56">
        <f t="shared" ca="1" si="381"/>
        <v>0</v>
      </c>
      <c r="AE113" s="63">
        <f ca="1">IF($C113="あり",IF(AC113&gt;=1,G113/AQ113,0),IF(AC113&gt;=1,AO113*AC113,0))</f>
        <v>0</v>
      </c>
      <c r="AF113" s="63">
        <f t="shared" ca="1" si="372"/>
        <v>0</v>
      </c>
      <c r="AG113" s="63">
        <f t="shared" ca="1" si="373"/>
        <v>0</v>
      </c>
      <c r="AH113" s="63">
        <f t="shared" ca="1" si="374"/>
        <v>0</v>
      </c>
      <c r="AI113" s="63">
        <f t="shared" ca="1" si="375"/>
        <v>0</v>
      </c>
      <c r="AJ113" s="63">
        <f t="shared" ca="1" si="376"/>
        <v>0</v>
      </c>
      <c r="AK113" s="63">
        <f t="shared" ca="1" si="377"/>
        <v>0</v>
      </c>
      <c r="AL113" s="63">
        <f ca="1">IF($C113="あり",IF($AD113&gt;=7,N113/$AQ113,0),IF($AD113&gt;=7,$AO113*($AD113-6),0))</f>
        <v>0</v>
      </c>
      <c r="AM113" s="65">
        <f ca="1">IF(C113="あり",O113/AQ113,AP113)</f>
        <v>0</v>
      </c>
      <c r="AN113" s="63">
        <f ca="1">SUM(AE113:AM113)</f>
        <v>0</v>
      </c>
      <c r="AO113" s="68" t="e">
        <f ca="1">1/(AC113+AD113)</f>
        <v>#DIV/0!</v>
      </c>
      <c r="AP113" s="67">
        <v>0</v>
      </c>
      <c r="AQ113" s="68">
        <f ca="1">IF(AC113&gt;=1,G113,0)+SUMIF($H$4:$M$4,"&lt;="&amp;AD113,$H113:$M113)+IF(AD113&gt;=7,N113,0)+O113</f>
        <v>0</v>
      </c>
    </row>
    <row r="114" spans="1:43" x14ac:dyDescent="0.15">
      <c r="G114" s="107"/>
      <c r="H114" s="107"/>
      <c r="I114" s="107"/>
      <c r="J114" s="107"/>
      <c r="K114" s="107"/>
      <c r="L114" s="107"/>
      <c r="M114" s="107"/>
      <c r="N114" s="107"/>
      <c r="O114" s="107"/>
    </row>
    <row r="115" spans="1:43" x14ac:dyDescent="0.15">
      <c r="A115" s="59" t="s">
        <v>338</v>
      </c>
      <c r="B115" s="60">
        <f ca="1">OFFSET(①簡易状況入力!$C$5,MATCH(A115,①簡易状況入力!$C$5:$C$104,0)-1,1)</f>
        <v>0</v>
      </c>
      <c r="C115" s="145">
        <f ca="1">OFFSET(①簡易状況入力!$C$5,MATCH(A115,①簡易状況入力!$C$5:$C$104,0)-1,17)</f>
        <v>0</v>
      </c>
      <c r="D115" s="148" t="s">
        <v>47</v>
      </c>
      <c r="E115" s="56">
        <f ca="1">U118</f>
        <v>0</v>
      </c>
      <c r="F115" s="56">
        <f ca="1">U117</f>
        <v>0</v>
      </c>
      <c r="G115" s="102"/>
      <c r="H115" s="103"/>
      <c r="I115" s="103"/>
      <c r="J115" s="103"/>
      <c r="K115" s="103"/>
      <c r="L115" s="103"/>
      <c r="M115" s="103"/>
      <c r="N115" s="103"/>
      <c r="O115" s="103"/>
      <c r="Q115" s="57">
        <f ca="1">OFFSET(①簡易状況入力!$C$5,MATCH(A115,①簡易状況入力!$C$5:$C$104,0)-1,15)</f>
        <v>0</v>
      </c>
      <c r="R115" s="58"/>
      <c r="S115" s="58"/>
      <c r="T115" s="58"/>
      <c r="U115" s="58"/>
      <c r="V115" s="58"/>
      <c r="W115" s="58"/>
      <c r="X115" s="58"/>
      <c r="Y115" s="58"/>
      <c r="Z115" s="58"/>
      <c r="AA115" s="58"/>
      <c r="AB115" s="148" t="s">
        <v>47</v>
      </c>
      <c r="AC115" s="56">
        <f ca="1">U118</f>
        <v>0</v>
      </c>
      <c r="AD115" s="56">
        <f ca="1">U117</f>
        <v>0</v>
      </c>
      <c r="AE115" s="62" t="s">
        <v>46</v>
      </c>
      <c r="AF115" s="62" t="str">
        <f t="shared" ref="AF115" ca="1" si="382">IF($C115="あり",IF(AF$4&lt;=$AD115,H115,"-"),IF(AF$4&lt;=$AD115,$AO115,"-"))</f>
        <v>-</v>
      </c>
      <c r="AG115" s="62" t="str">
        <f t="shared" ref="AG115" ca="1" si="383">IF($C115="あり",IF(AG$4&lt;=$AD115,I115,"-"),IF(AG$4&lt;=$AD115,$AO115,"-"))</f>
        <v>-</v>
      </c>
      <c r="AH115" s="62" t="str">
        <f t="shared" ref="AH115" ca="1" si="384">IF($C115="あり",IF(AH$4&lt;=$AD115,J115,"-"),IF(AH$4&lt;=$AD115,$AO115,"-"))</f>
        <v>-</v>
      </c>
      <c r="AI115" s="62" t="str">
        <f t="shared" ref="AI115" ca="1" si="385">IF($C115="あり",IF(AI$4&lt;=$AD115,K115,"-"),IF(AI$4&lt;=$AD115,$AO115,"-"))</f>
        <v>-</v>
      </c>
      <c r="AJ115" s="62" t="str">
        <f t="shared" ref="AJ115" ca="1" si="386">IF($C115="あり",IF(AJ$4&lt;=$AD115,L115,"-"),IF(AJ$4&lt;=$AD115,$AO115,"-"))</f>
        <v>-</v>
      </c>
      <c r="AK115" s="62" t="str">
        <f t="shared" ref="AK115" ca="1" si="387">IF($C115="あり",IF(AK$4&lt;=$AD115,M115,"-"),IF(AK$4&lt;=$AD115,$AO115,"-"))</f>
        <v>-</v>
      </c>
      <c r="AL115" s="62" t="str">
        <f ca="1">IF($C115="あり",IF(7&lt;=$AD115,N115,"-"),IF(7&lt;=$AD115,$AO115*($AD115-6),"-"))</f>
        <v>-</v>
      </c>
      <c r="AM115" s="62">
        <f ca="1">IF(C115="あり",O115,AP115)</f>
        <v>0</v>
      </c>
      <c r="AN115" s="62">
        <f ca="1">SUM(U116,AF115:AM115)</f>
        <v>0</v>
      </c>
      <c r="AO115" s="42">
        <f ca="1">OFFSET(【DB】被害率係数!$A$4,MATCH(②詳細状況入力!$Y116,【DB】被害率係数!$A$4:$A$19,0)-1,16)</f>
        <v>0</v>
      </c>
      <c r="AP115" s="42">
        <f ca="1">OFFSET(【DB】被害率係数!$A$4,MATCH(②詳細状況入力!$Y116,【DB】被害率係数!$A$4:$A$19,0)-1,17)</f>
        <v>0</v>
      </c>
      <c r="AQ115" s="42"/>
    </row>
    <row r="116" spans="1:43" x14ac:dyDescent="0.15">
      <c r="A116" s="50"/>
      <c r="B116" s="50"/>
      <c r="C116" s="145">
        <f ca="1">OFFSET(①簡易状況入力!$C$5,MATCH(A115,①簡易状況入力!$C$5:$C$104,0)-1,18)</f>
        <v>0</v>
      </c>
      <c r="D116" s="148" t="s">
        <v>52</v>
      </c>
      <c r="E116" s="56">
        <f t="shared" ref="E116:F116" ca="1" si="388">E115</f>
        <v>0</v>
      </c>
      <c r="F116" s="56">
        <f t="shared" ca="1" si="388"/>
        <v>0</v>
      </c>
      <c r="G116" s="104"/>
      <c r="H116" s="104"/>
      <c r="I116" s="104"/>
      <c r="J116" s="104"/>
      <c r="K116" s="104"/>
      <c r="L116" s="104"/>
      <c r="M116" s="104"/>
      <c r="N116" s="104"/>
      <c r="O116" s="105"/>
      <c r="Q116" s="57">
        <f ca="1">OFFSET(①簡易状況入力!$C$5,MATCH(A115,①簡易状況入力!$C$5:$C$104,0)-1,16)</f>
        <v>0</v>
      </c>
      <c r="R116" s="58"/>
      <c r="S116" s="146" t="s">
        <v>115</v>
      </c>
      <c r="T116" s="146" t="s">
        <v>116</v>
      </c>
      <c r="U116" s="36">
        <f ca="1">OFFSET(①簡易状況入力!$C$5,MATCH(A115,①簡易状況入力!$C$5:$C$104,0)-1,4)</f>
        <v>0</v>
      </c>
      <c r="V116" s="58"/>
      <c r="W116" s="146" t="s">
        <v>30</v>
      </c>
      <c r="X116" s="37">
        <f ca="1">OFFSET(①簡易状況入力!$C$5,MATCH(A115,①簡易状況入力!$C$5:$C$104,0)-1,5)</f>
        <v>0</v>
      </c>
      <c r="Y116" s="149">
        <f ca="1">OFFSET(①簡易状況入力!$C$5,MATCH(A115,①簡易状況入力!$C$5:$C$104,0)-1,8)</f>
        <v>0</v>
      </c>
      <c r="Z116" s="149">
        <f ca="1">OFFSET(①簡易状況入力!$C$5,MATCH(A115,①簡易状況入力!$C$5:$C$104,0)-1,9)</f>
        <v>0</v>
      </c>
      <c r="AA116" s="149">
        <f ca="1">OFFSET(①簡易状況入力!$C$5,MATCH(A115,①簡易状況入力!$C$5:$C$104,0)-1,10)</f>
        <v>0</v>
      </c>
      <c r="AB116" s="148" t="s">
        <v>52</v>
      </c>
      <c r="AC116" s="56">
        <f t="shared" ref="AC116:AD116" ca="1" si="389">AC115</f>
        <v>0</v>
      </c>
      <c r="AD116" s="56">
        <f t="shared" ca="1" si="389"/>
        <v>0</v>
      </c>
      <c r="AE116" s="63">
        <f ca="1">IF($C116="あり",IF(AC116&gt;=1,G116/AQ116,0),IF(AC116&gt;=1,AO116*AC116,0))</f>
        <v>0</v>
      </c>
      <c r="AF116" s="63">
        <f t="shared" ref="AF116:AF118" ca="1" si="390">IF($C116="あり",IF($AD116&gt;=AF$4,H116/$AQ116,0),IF($AD116&gt;=AF$4,$AO116,0))</f>
        <v>0</v>
      </c>
      <c r="AG116" s="63">
        <f t="shared" ref="AG116:AG118" ca="1" si="391">IF($C116="あり",IF($AD116&gt;=AG$4,I116/$AQ116,0),IF($AD116&gt;=AG$4,$AO116,0))</f>
        <v>0</v>
      </c>
      <c r="AH116" s="63">
        <f t="shared" ref="AH116:AH118" ca="1" si="392">IF($C116="あり",IF($AD116&gt;=AH$4,J116/$AQ116,0),IF($AD116&gt;=AH$4,$AO116,0))</f>
        <v>0</v>
      </c>
      <c r="AI116" s="63">
        <f t="shared" ref="AI116:AI118" ca="1" si="393">IF($C116="あり",IF($AD116&gt;=AI$4,K116/$AQ116,0),IF($AD116&gt;=AI$4,$AO116,0))</f>
        <v>0</v>
      </c>
      <c r="AJ116" s="63">
        <f t="shared" ref="AJ116:AJ118" ca="1" si="394">IF($C116="あり",IF($AD116&gt;=AJ$4,L116/$AQ116,0),IF($AD116&gt;=AJ$4,$AO116,0))</f>
        <v>0</v>
      </c>
      <c r="AK116" s="63">
        <f t="shared" ref="AK116:AK118" ca="1" si="395">IF($C116="あり",IF($AD116&gt;=AK$4,M116/$AQ116,0),IF($AD116&gt;=AK$4,$AO116,0))</f>
        <v>0</v>
      </c>
      <c r="AL116" s="63">
        <f ca="1">IF($C116="あり",IF($AD116&gt;=7,N116/$AQ116,0),IF($AD116&gt;=7,$AO116*($AD116-6),0))</f>
        <v>0</v>
      </c>
      <c r="AM116" s="64" t="s">
        <v>46</v>
      </c>
      <c r="AN116" s="63">
        <f ca="1">SUM(AE116:AM116)</f>
        <v>0</v>
      </c>
      <c r="AO116" s="68" t="e">
        <f ca="1">1/(AC116+AD116)</f>
        <v>#DIV/0!</v>
      </c>
      <c r="AP116" s="67">
        <v>0</v>
      </c>
      <c r="AQ116" s="68">
        <f ca="1">IF(AC116&gt;=1,G116,0)+SUMIF($H$4:$M$4,"&lt;="&amp;AD116,$H116:$M116)+IF(AD116&gt;=7,N116,0)</f>
        <v>0</v>
      </c>
    </row>
    <row r="117" spans="1:43" x14ac:dyDescent="0.15">
      <c r="A117" s="50"/>
      <c r="B117" s="50"/>
      <c r="C117" s="145">
        <f ca="1">OFFSET(①簡易状況入力!$C$5,MATCH(A115,①簡易状況入力!$C$5:$C$104,0)-1,19)</f>
        <v>0</v>
      </c>
      <c r="D117" s="148" t="s">
        <v>50</v>
      </c>
      <c r="E117" s="56">
        <f t="shared" ref="E117" ca="1" si="396">E116</f>
        <v>0</v>
      </c>
      <c r="F117" s="56">
        <f ca="1">F116</f>
        <v>0</v>
      </c>
      <c r="G117" s="104"/>
      <c r="H117" s="104"/>
      <c r="I117" s="104"/>
      <c r="J117" s="104"/>
      <c r="K117" s="104"/>
      <c r="L117" s="104"/>
      <c r="M117" s="104"/>
      <c r="N117" s="104"/>
      <c r="O117" s="106"/>
      <c r="Q117" s="50"/>
      <c r="R117" s="58"/>
      <c r="S117" s="165" t="s">
        <v>28</v>
      </c>
      <c r="T117" s="146" t="s">
        <v>35</v>
      </c>
      <c r="U117" s="35">
        <f ca="1">OFFSET(①簡易状況入力!$C$5,MATCH(A115,①簡易状況入力!$C$5:$C$104,0)-1,2)</f>
        <v>0</v>
      </c>
      <c r="V117" s="58"/>
      <c r="W117" s="146" t="s">
        <v>33</v>
      </c>
      <c r="X117" s="37">
        <f ca="1">OFFSET(①簡易状況入力!$C$5,MATCH(A115,①簡易状況入力!$C$5:$C$104,0)-1,6)</f>
        <v>0</v>
      </c>
      <c r="Y117" s="149">
        <f ca="1">OFFSET(①簡易状況入力!$C$5,MATCH(A115,①簡易状況入力!$C$5:$C$104,0)-1,11)</f>
        <v>0</v>
      </c>
      <c r="Z117" s="167">
        <f ca="1">OFFSET(①簡易状況入力!$C$5,MATCH(A115,①簡易状況入力!$C$5:$C$104,0)-1,12)</f>
        <v>0</v>
      </c>
      <c r="AA117" s="168"/>
      <c r="AB117" s="148" t="s">
        <v>50</v>
      </c>
      <c r="AC117" s="56">
        <f t="shared" ref="AC117:AD117" ca="1" si="397">AC116</f>
        <v>0</v>
      </c>
      <c r="AD117" s="56">
        <f t="shared" ca="1" si="397"/>
        <v>0</v>
      </c>
      <c r="AE117" s="63">
        <f ca="1">IF($C117="あり",IF(AC117&gt;=1,G117/AQ117,0),IF(AC117&gt;=1,AO117*AC117,0))</f>
        <v>0</v>
      </c>
      <c r="AF117" s="63">
        <f t="shared" ca="1" si="390"/>
        <v>0</v>
      </c>
      <c r="AG117" s="63">
        <f t="shared" ca="1" si="391"/>
        <v>0</v>
      </c>
      <c r="AH117" s="63">
        <f t="shared" ca="1" si="392"/>
        <v>0</v>
      </c>
      <c r="AI117" s="63">
        <f t="shared" ca="1" si="393"/>
        <v>0</v>
      </c>
      <c r="AJ117" s="63">
        <f t="shared" ca="1" si="394"/>
        <v>0</v>
      </c>
      <c r="AK117" s="63">
        <f t="shared" ca="1" si="395"/>
        <v>0</v>
      </c>
      <c r="AL117" s="63">
        <f ca="1">IF($C117="あり",IF($AD117&gt;=7,N117/$AQ117,0),IF($AD117&gt;=7,$AO117*($AD117-6),0))</f>
        <v>0</v>
      </c>
      <c r="AM117" s="65">
        <f ca="1">IF(C117="あり",O117/AQ117,AP117)</f>
        <v>0</v>
      </c>
      <c r="AN117" s="63">
        <f ca="1">SUM(AE117:AM117)</f>
        <v>0</v>
      </c>
      <c r="AO117" s="68" t="e">
        <f ca="1">1/(AC117+AD117)</f>
        <v>#DIV/0!</v>
      </c>
      <c r="AP117" s="67">
        <v>0</v>
      </c>
      <c r="AQ117" s="68">
        <f ca="1">IF(AC117&gt;=1,G117,0)+SUMIF($H$4:$M$4,"&lt;="&amp;AD117,$H117:$M117)+IF(AD117&gt;=7,N117,0)+O117</f>
        <v>0</v>
      </c>
    </row>
    <row r="118" spans="1:43" x14ac:dyDescent="0.15">
      <c r="A118" s="50"/>
      <c r="B118" s="50"/>
      <c r="C118" s="145">
        <f ca="1">OFFSET(①簡易状況入力!$C$5,MATCH(A115,①簡易状況入力!$C$5:$C$104,0)-1,20)</f>
        <v>0</v>
      </c>
      <c r="D118" s="148" t="s">
        <v>51</v>
      </c>
      <c r="E118" s="56">
        <f t="shared" ref="E118:F118" ca="1" si="398">E117</f>
        <v>0</v>
      </c>
      <c r="F118" s="56">
        <f t="shared" ca="1" si="398"/>
        <v>0</v>
      </c>
      <c r="G118" s="104"/>
      <c r="H118" s="104"/>
      <c r="I118" s="104"/>
      <c r="J118" s="104"/>
      <c r="K118" s="104"/>
      <c r="L118" s="104"/>
      <c r="M118" s="104"/>
      <c r="N118" s="104"/>
      <c r="O118" s="106"/>
      <c r="Q118" s="50"/>
      <c r="R118" s="58"/>
      <c r="S118" s="166"/>
      <c r="T118" s="146" t="s">
        <v>34</v>
      </c>
      <c r="U118" s="35">
        <f ca="1">OFFSET(①簡易状況入力!$C$5,MATCH(A115,①簡易状況入力!$C$5:$C$104,0)-1,3)</f>
        <v>0</v>
      </c>
      <c r="V118" s="58"/>
      <c r="W118" s="146" t="s">
        <v>118</v>
      </c>
      <c r="X118" s="37">
        <f ca="1">OFFSET(①簡易状況入力!$C$5,MATCH(A115,①簡易状況入力!$C$5:$C$104,0)-1,7)</f>
        <v>0</v>
      </c>
      <c r="Y118" s="149">
        <f ca="1">OFFSET(①簡易状況入力!$C$5,MATCH(A115,①簡易状況入力!$C$5:$C$104,0)-1,13)</f>
        <v>0</v>
      </c>
      <c r="Z118" s="167">
        <f ca="1">OFFSET(①簡易状況入力!$C$5,MATCH(A115,①簡易状況入力!$C$5:$C$104,0)-1,14)</f>
        <v>0</v>
      </c>
      <c r="AA118" s="168"/>
      <c r="AB118" s="148" t="s">
        <v>51</v>
      </c>
      <c r="AC118" s="56">
        <f t="shared" ref="AC118:AD118" ca="1" si="399">AC117</f>
        <v>0</v>
      </c>
      <c r="AD118" s="56">
        <f t="shared" ca="1" si="399"/>
        <v>0</v>
      </c>
      <c r="AE118" s="63">
        <f ca="1">IF($C118="あり",IF(AC118&gt;=1,G118/AQ118,0),IF(AC118&gt;=1,AO118*AC118,0))</f>
        <v>0</v>
      </c>
      <c r="AF118" s="63">
        <f t="shared" ca="1" si="390"/>
        <v>0</v>
      </c>
      <c r="AG118" s="63">
        <f t="shared" ca="1" si="391"/>
        <v>0</v>
      </c>
      <c r="AH118" s="63">
        <f t="shared" ca="1" si="392"/>
        <v>0</v>
      </c>
      <c r="AI118" s="63">
        <f t="shared" ca="1" si="393"/>
        <v>0</v>
      </c>
      <c r="AJ118" s="63">
        <f t="shared" ca="1" si="394"/>
        <v>0</v>
      </c>
      <c r="AK118" s="63">
        <f t="shared" ca="1" si="395"/>
        <v>0</v>
      </c>
      <c r="AL118" s="63">
        <f ca="1">IF($C118="あり",IF($AD118&gt;=7,N118/$AQ118,0),IF($AD118&gt;=7,$AO118*($AD118-6),0))</f>
        <v>0</v>
      </c>
      <c r="AM118" s="65">
        <f ca="1">IF(C118="あり",O118/AQ118,AP118)</f>
        <v>0</v>
      </c>
      <c r="AN118" s="63">
        <f ca="1">SUM(AE118:AM118)</f>
        <v>0</v>
      </c>
      <c r="AO118" s="68" t="e">
        <f ca="1">1/(AC118+AD118)</f>
        <v>#DIV/0!</v>
      </c>
      <c r="AP118" s="67">
        <v>0</v>
      </c>
      <c r="AQ118" s="68">
        <f ca="1">IF(AC118&gt;=1,G118,0)+SUMIF($H$4:$M$4,"&lt;="&amp;AD118,$H118:$M118)+IF(AD118&gt;=7,N118,0)+O118</f>
        <v>0</v>
      </c>
    </row>
    <row r="119" spans="1:43" x14ac:dyDescent="0.15">
      <c r="G119" s="107"/>
      <c r="H119" s="107"/>
      <c r="I119" s="107"/>
      <c r="J119" s="107"/>
      <c r="K119" s="107"/>
      <c r="L119" s="107"/>
      <c r="M119" s="107"/>
      <c r="N119" s="107"/>
      <c r="O119" s="107"/>
    </row>
    <row r="120" spans="1:43" x14ac:dyDescent="0.15">
      <c r="A120" s="59" t="s">
        <v>339</v>
      </c>
      <c r="B120" s="60">
        <f ca="1">OFFSET(①簡易状況入力!$C$5,MATCH(A120,①簡易状況入力!$C$5:$C$104,0)-1,1)</f>
        <v>0</v>
      </c>
      <c r="C120" s="145">
        <f ca="1">OFFSET(①簡易状況入力!$C$5,MATCH(A120,①簡易状況入力!$C$5:$C$104,0)-1,17)</f>
        <v>0</v>
      </c>
      <c r="D120" s="148" t="s">
        <v>47</v>
      </c>
      <c r="E120" s="56">
        <f ca="1">U123</f>
        <v>0</v>
      </c>
      <c r="F120" s="56">
        <f ca="1">U122</f>
        <v>0</v>
      </c>
      <c r="G120" s="102"/>
      <c r="H120" s="103"/>
      <c r="I120" s="103"/>
      <c r="J120" s="103"/>
      <c r="K120" s="103"/>
      <c r="L120" s="103"/>
      <c r="M120" s="103"/>
      <c r="N120" s="103"/>
      <c r="O120" s="103"/>
      <c r="Q120" s="57">
        <f ca="1">OFFSET(①簡易状況入力!$C$5,MATCH(A120,①簡易状況入力!$C$5:$C$104,0)-1,15)</f>
        <v>0</v>
      </c>
      <c r="R120" s="58"/>
      <c r="S120" s="58"/>
      <c r="T120" s="58"/>
      <c r="U120" s="58"/>
      <c r="V120" s="58"/>
      <c r="W120" s="58"/>
      <c r="X120" s="58"/>
      <c r="Y120" s="58"/>
      <c r="Z120" s="58"/>
      <c r="AA120" s="58"/>
      <c r="AB120" s="148" t="s">
        <v>47</v>
      </c>
      <c r="AC120" s="56">
        <f ca="1">U123</f>
        <v>0</v>
      </c>
      <c r="AD120" s="56">
        <f ca="1">U122</f>
        <v>0</v>
      </c>
      <c r="AE120" s="62" t="s">
        <v>46</v>
      </c>
      <c r="AF120" s="62" t="str">
        <f t="shared" ref="AF120" ca="1" si="400">IF($C120="あり",IF(AF$4&lt;=$AD120,H120,"-"),IF(AF$4&lt;=$AD120,$AO120,"-"))</f>
        <v>-</v>
      </c>
      <c r="AG120" s="62" t="str">
        <f t="shared" ref="AG120" ca="1" si="401">IF($C120="あり",IF(AG$4&lt;=$AD120,I120,"-"),IF(AG$4&lt;=$AD120,$AO120,"-"))</f>
        <v>-</v>
      </c>
      <c r="AH120" s="62" t="str">
        <f t="shared" ref="AH120" ca="1" si="402">IF($C120="あり",IF(AH$4&lt;=$AD120,J120,"-"),IF(AH$4&lt;=$AD120,$AO120,"-"))</f>
        <v>-</v>
      </c>
      <c r="AI120" s="62" t="str">
        <f t="shared" ref="AI120" ca="1" si="403">IF($C120="あり",IF(AI$4&lt;=$AD120,K120,"-"),IF(AI$4&lt;=$AD120,$AO120,"-"))</f>
        <v>-</v>
      </c>
      <c r="AJ120" s="62" t="str">
        <f t="shared" ref="AJ120" ca="1" si="404">IF($C120="あり",IF(AJ$4&lt;=$AD120,L120,"-"),IF(AJ$4&lt;=$AD120,$AO120,"-"))</f>
        <v>-</v>
      </c>
      <c r="AK120" s="62" t="str">
        <f t="shared" ref="AK120" ca="1" si="405">IF($C120="あり",IF(AK$4&lt;=$AD120,M120,"-"),IF(AK$4&lt;=$AD120,$AO120,"-"))</f>
        <v>-</v>
      </c>
      <c r="AL120" s="62" t="str">
        <f ca="1">IF($C120="あり",IF(7&lt;=$AD120,N120,"-"),IF(7&lt;=$AD120,$AO120*($AD120-6),"-"))</f>
        <v>-</v>
      </c>
      <c r="AM120" s="62">
        <f ca="1">IF(C120="あり",O120,AP120)</f>
        <v>0</v>
      </c>
      <c r="AN120" s="62">
        <f ca="1">SUM(U121,AF120:AM120)</f>
        <v>0</v>
      </c>
      <c r="AO120" s="42">
        <f ca="1">OFFSET(【DB】被害率係数!$A$4,MATCH(②詳細状況入力!$Y121,【DB】被害率係数!$A$4:$A$19,0)-1,16)</f>
        <v>0</v>
      </c>
      <c r="AP120" s="42">
        <f ca="1">OFFSET(【DB】被害率係数!$A$4,MATCH(②詳細状況入力!$Y121,【DB】被害率係数!$A$4:$A$19,0)-1,17)</f>
        <v>0</v>
      </c>
      <c r="AQ120" s="42"/>
    </row>
    <row r="121" spans="1:43" x14ac:dyDescent="0.15">
      <c r="A121" s="50"/>
      <c r="B121" s="50"/>
      <c r="C121" s="145">
        <f ca="1">OFFSET(①簡易状況入力!$C$5,MATCH(A120,①簡易状況入力!$C$5:$C$104,0)-1,18)</f>
        <v>0</v>
      </c>
      <c r="D121" s="148" t="s">
        <v>52</v>
      </c>
      <c r="E121" s="56">
        <f t="shared" ref="E121:F121" ca="1" si="406">E120</f>
        <v>0</v>
      </c>
      <c r="F121" s="56">
        <f t="shared" ca="1" si="406"/>
        <v>0</v>
      </c>
      <c r="G121" s="104"/>
      <c r="H121" s="104"/>
      <c r="I121" s="104"/>
      <c r="J121" s="104"/>
      <c r="K121" s="104"/>
      <c r="L121" s="104"/>
      <c r="M121" s="104"/>
      <c r="N121" s="104"/>
      <c r="O121" s="105"/>
      <c r="Q121" s="57">
        <f ca="1">OFFSET(①簡易状況入力!$C$5,MATCH(A120,①簡易状況入力!$C$5:$C$104,0)-1,16)</f>
        <v>0</v>
      </c>
      <c r="R121" s="58"/>
      <c r="S121" s="146" t="s">
        <v>115</v>
      </c>
      <c r="T121" s="146" t="s">
        <v>116</v>
      </c>
      <c r="U121" s="36">
        <f ca="1">OFFSET(①簡易状況入力!$C$5,MATCH(A120,①簡易状況入力!$C$5:$C$104,0)-1,4)</f>
        <v>0</v>
      </c>
      <c r="V121" s="58"/>
      <c r="W121" s="146" t="s">
        <v>30</v>
      </c>
      <c r="X121" s="37">
        <f ca="1">OFFSET(①簡易状況入力!$C$5,MATCH(A120,①簡易状況入力!$C$5:$C$104,0)-1,5)</f>
        <v>0</v>
      </c>
      <c r="Y121" s="149">
        <f ca="1">OFFSET(①簡易状況入力!$C$5,MATCH(A120,①簡易状況入力!$C$5:$C$104,0)-1,8)</f>
        <v>0</v>
      </c>
      <c r="Z121" s="149">
        <f ca="1">OFFSET(①簡易状況入力!$C$5,MATCH(A120,①簡易状況入力!$C$5:$C$104,0)-1,9)</f>
        <v>0</v>
      </c>
      <c r="AA121" s="149">
        <f ca="1">OFFSET(①簡易状況入力!$C$5,MATCH(A120,①簡易状況入力!$C$5:$C$104,0)-1,10)</f>
        <v>0</v>
      </c>
      <c r="AB121" s="148" t="s">
        <v>52</v>
      </c>
      <c r="AC121" s="56">
        <f t="shared" ref="AC121:AD121" ca="1" si="407">AC120</f>
        <v>0</v>
      </c>
      <c r="AD121" s="56">
        <f t="shared" ca="1" si="407"/>
        <v>0</v>
      </c>
      <c r="AE121" s="63">
        <f ca="1">IF($C121="あり",IF(AC121&gt;=1,G121/AQ121,0),IF(AC121&gt;=1,AO121*AC121,0))</f>
        <v>0</v>
      </c>
      <c r="AF121" s="63">
        <f t="shared" ref="AF121:AF123" ca="1" si="408">IF($C121="あり",IF($AD121&gt;=AF$4,H121/$AQ121,0),IF($AD121&gt;=AF$4,$AO121,0))</f>
        <v>0</v>
      </c>
      <c r="AG121" s="63">
        <f t="shared" ref="AG121:AG123" ca="1" si="409">IF($C121="あり",IF($AD121&gt;=AG$4,I121/$AQ121,0),IF($AD121&gt;=AG$4,$AO121,0))</f>
        <v>0</v>
      </c>
      <c r="AH121" s="63">
        <f t="shared" ref="AH121:AH123" ca="1" si="410">IF($C121="あり",IF($AD121&gt;=AH$4,J121/$AQ121,0),IF($AD121&gt;=AH$4,$AO121,0))</f>
        <v>0</v>
      </c>
      <c r="AI121" s="63">
        <f t="shared" ref="AI121:AI123" ca="1" si="411">IF($C121="あり",IF($AD121&gt;=AI$4,K121/$AQ121,0),IF($AD121&gt;=AI$4,$AO121,0))</f>
        <v>0</v>
      </c>
      <c r="AJ121" s="63">
        <f t="shared" ref="AJ121:AJ123" ca="1" si="412">IF($C121="あり",IF($AD121&gt;=AJ$4,L121/$AQ121,0),IF($AD121&gt;=AJ$4,$AO121,0))</f>
        <v>0</v>
      </c>
      <c r="AK121" s="63">
        <f t="shared" ref="AK121:AK123" ca="1" si="413">IF($C121="あり",IF($AD121&gt;=AK$4,M121/$AQ121,0),IF($AD121&gt;=AK$4,$AO121,0))</f>
        <v>0</v>
      </c>
      <c r="AL121" s="63">
        <f ca="1">IF($C121="あり",IF($AD121&gt;=7,N121/$AQ121,0),IF($AD121&gt;=7,$AO121*($AD121-6),0))</f>
        <v>0</v>
      </c>
      <c r="AM121" s="64" t="s">
        <v>46</v>
      </c>
      <c r="AN121" s="63">
        <f ca="1">SUM(AE121:AM121)</f>
        <v>0</v>
      </c>
      <c r="AO121" s="68" t="e">
        <f ca="1">1/(AC121+AD121)</f>
        <v>#DIV/0!</v>
      </c>
      <c r="AP121" s="67">
        <v>0</v>
      </c>
      <c r="AQ121" s="68">
        <f ca="1">IF(AC121&gt;=1,G121,0)+SUMIF($H$4:$M$4,"&lt;="&amp;AD121,$H121:$M121)+IF(AD121&gt;=7,N121,0)</f>
        <v>0</v>
      </c>
    </row>
    <row r="122" spans="1:43" x14ac:dyDescent="0.15">
      <c r="A122" s="50"/>
      <c r="B122" s="50"/>
      <c r="C122" s="145">
        <f ca="1">OFFSET(①簡易状況入力!$C$5,MATCH(A120,①簡易状況入力!$C$5:$C$104,0)-1,19)</f>
        <v>0</v>
      </c>
      <c r="D122" s="148" t="s">
        <v>50</v>
      </c>
      <c r="E122" s="56">
        <f t="shared" ref="E122" ca="1" si="414">E121</f>
        <v>0</v>
      </c>
      <c r="F122" s="56">
        <f ca="1">F121</f>
        <v>0</v>
      </c>
      <c r="G122" s="104"/>
      <c r="H122" s="104"/>
      <c r="I122" s="104"/>
      <c r="J122" s="104"/>
      <c r="K122" s="104"/>
      <c r="L122" s="104"/>
      <c r="M122" s="104"/>
      <c r="N122" s="104"/>
      <c r="O122" s="106"/>
      <c r="Q122" s="50"/>
      <c r="R122" s="58"/>
      <c r="S122" s="165" t="s">
        <v>28</v>
      </c>
      <c r="T122" s="146" t="s">
        <v>35</v>
      </c>
      <c r="U122" s="35">
        <f ca="1">OFFSET(①簡易状況入力!$C$5,MATCH(A120,①簡易状況入力!$C$5:$C$104,0)-1,2)</f>
        <v>0</v>
      </c>
      <c r="V122" s="58"/>
      <c r="W122" s="146" t="s">
        <v>33</v>
      </c>
      <c r="X122" s="37">
        <f ca="1">OFFSET(①簡易状況入力!$C$5,MATCH(A120,①簡易状況入力!$C$5:$C$104,0)-1,6)</f>
        <v>0</v>
      </c>
      <c r="Y122" s="149">
        <f ca="1">OFFSET(①簡易状況入力!$C$5,MATCH(A120,①簡易状況入力!$C$5:$C$104,0)-1,11)</f>
        <v>0</v>
      </c>
      <c r="Z122" s="167">
        <f ca="1">OFFSET(①簡易状況入力!$C$5,MATCH(A120,①簡易状況入力!$C$5:$C$104,0)-1,12)</f>
        <v>0</v>
      </c>
      <c r="AA122" s="168"/>
      <c r="AB122" s="148" t="s">
        <v>50</v>
      </c>
      <c r="AC122" s="56">
        <f t="shared" ref="AC122:AD122" ca="1" si="415">AC121</f>
        <v>0</v>
      </c>
      <c r="AD122" s="56">
        <f t="shared" ca="1" si="415"/>
        <v>0</v>
      </c>
      <c r="AE122" s="63">
        <f ca="1">IF($C122="あり",IF(AC122&gt;=1,G122/AQ122,0),IF(AC122&gt;=1,AO122*AC122,0))</f>
        <v>0</v>
      </c>
      <c r="AF122" s="63">
        <f t="shared" ca="1" si="408"/>
        <v>0</v>
      </c>
      <c r="AG122" s="63">
        <f t="shared" ca="1" si="409"/>
        <v>0</v>
      </c>
      <c r="AH122" s="63">
        <f t="shared" ca="1" si="410"/>
        <v>0</v>
      </c>
      <c r="AI122" s="63">
        <f t="shared" ca="1" si="411"/>
        <v>0</v>
      </c>
      <c r="AJ122" s="63">
        <f t="shared" ca="1" si="412"/>
        <v>0</v>
      </c>
      <c r="AK122" s="63">
        <f t="shared" ca="1" si="413"/>
        <v>0</v>
      </c>
      <c r="AL122" s="63">
        <f ca="1">IF($C122="あり",IF($AD122&gt;=7,N122/$AQ122,0),IF($AD122&gt;=7,$AO122*($AD122-6),0))</f>
        <v>0</v>
      </c>
      <c r="AM122" s="65">
        <f ca="1">IF(C122="あり",O122/AQ122,AP122)</f>
        <v>0</v>
      </c>
      <c r="AN122" s="63">
        <f ca="1">SUM(AE122:AM122)</f>
        <v>0</v>
      </c>
      <c r="AO122" s="68" t="e">
        <f ca="1">1/(AC122+AD122)</f>
        <v>#DIV/0!</v>
      </c>
      <c r="AP122" s="67">
        <v>0</v>
      </c>
      <c r="AQ122" s="68">
        <f ca="1">IF(AC122&gt;=1,G122,0)+SUMIF($H$4:$M$4,"&lt;="&amp;AD122,$H122:$M122)+IF(AD122&gt;=7,N122,0)+O122</f>
        <v>0</v>
      </c>
    </row>
    <row r="123" spans="1:43" x14ac:dyDescent="0.15">
      <c r="A123" s="50"/>
      <c r="B123" s="50"/>
      <c r="C123" s="145">
        <f ca="1">OFFSET(①簡易状況入力!$C$5,MATCH(A120,①簡易状況入力!$C$5:$C$104,0)-1,20)</f>
        <v>0</v>
      </c>
      <c r="D123" s="148" t="s">
        <v>51</v>
      </c>
      <c r="E123" s="56">
        <f t="shared" ref="E123:F123" ca="1" si="416">E122</f>
        <v>0</v>
      </c>
      <c r="F123" s="56">
        <f t="shared" ca="1" si="416"/>
        <v>0</v>
      </c>
      <c r="G123" s="104"/>
      <c r="H123" s="104"/>
      <c r="I123" s="104"/>
      <c r="J123" s="104"/>
      <c r="K123" s="104"/>
      <c r="L123" s="104"/>
      <c r="M123" s="104"/>
      <c r="N123" s="104"/>
      <c r="O123" s="106"/>
      <c r="Q123" s="50"/>
      <c r="R123" s="58"/>
      <c r="S123" s="166"/>
      <c r="T123" s="146" t="s">
        <v>34</v>
      </c>
      <c r="U123" s="35">
        <f ca="1">OFFSET(①簡易状況入力!$C$5,MATCH(A120,①簡易状況入力!$C$5:$C$104,0)-1,3)</f>
        <v>0</v>
      </c>
      <c r="V123" s="58"/>
      <c r="W123" s="146" t="s">
        <v>118</v>
      </c>
      <c r="X123" s="37">
        <f ca="1">OFFSET(①簡易状況入力!$C$5,MATCH(A120,①簡易状況入力!$C$5:$C$104,0)-1,7)</f>
        <v>0</v>
      </c>
      <c r="Y123" s="149">
        <f ca="1">OFFSET(①簡易状況入力!$C$5,MATCH(A120,①簡易状況入力!$C$5:$C$104,0)-1,13)</f>
        <v>0</v>
      </c>
      <c r="Z123" s="167">
        <f ca="1">OFFSET(①簡易状況入力!$C$5,MATCH(A120,①簡易状況入力!$C$5:$C$104,0)-1,14)</f>
        <v>0</v>
      </c>
      <c r="AA123" s="168"/>
      <c r="AB123" s="148" t="s">
        <v>51</v>
      </c>
      <c r="AC123" s="56">
        <f t="shared" ref="AC123:AD123" ca="1" si="417">AC122</f>
        <v>0</v>
      </c>
      <c r="AD123" s="56">
        <f t="shared" ca="1" si="417"/>
        <v>0</v>
      </c>
      <c r="AE123" s="63">
        <f ca="1">IF($C123="あり",IF(AC123&gt;=1,G123/AQ123,0),IF(AC123&gt;=1,AO123*AC123,0))</f>
        <v>0</v>
      </c>
      <c r="AF123" s="63">
        <f t="shared" ca="1" si="408"/>
        <v>0</v>
      </c>
      <c r="AG123" s="63">
        <f t="shared" ca="1" si="409"/>
        <v>0</v>
      </c>
      <c r="AH123" s="63">
        <f t="shared" ca="1" si="410"/>
        <v>0</v>
      </c>
      <c r="AI123" s="63">
        <f t="shared" ca="1" si="411"/>
        <v>0</v>
      </c>
      <c r="AJ123" s="63">
        <f t="shared" ca="1" si="412"/>
        <v>0</v>
      </c>
      <c r="AK123" s="63">
        <f t="shared" ca="1" si="413"/>
        <v>0</v>
      </c>
      <c r="AL123" s="63">
        <f ca="1">IF($C123="あり",IF($AD123&gt;=7,N123/$AQ123,0),IF($AD123&gt;=7,$AO123*($AD123-6),0))</f>
        <v>0</v>
      </c>
      <c r="AM123" s="65">
        <f ca="1">IF(C123="あり",O123/AQ123,AP123)</f>
        <v>0</v>
      </c>
      <c r="AN123" s="63">
        <f ca="1">SUM(AE123:AM123)</f>
        <v>0</v>
      </c>
      <c r="AO123" s="68" t="e">
        <f ca="1">1/(AC123+AD123)</f>
        <v>#DIV/0!</v>
      </c>
      <c r="AP123" s="67">
        <v>0</v>
      </c>
      <c r="AQ123" s="68">
        <f ca="1">IF(AC123&gt;=1,G123,0)+SUMIF($H$4:$M$4,"&lt;="&amp;AD123,$H123:$M123)+IF(AD123&gt;=7,N123,0)+O123</f>
        <v>0</v>
      </c>
    </row>
    <row r="124" spans="1:43" x14ac:dyDescent="0.15">
      <c r="G124" s="107"/>
      <c r="H124" s="107"/>
      <c r="I124" s="107"/>
      <c r="J124" s="107"/>
      <c r="K124" s="107"/>
      <c r="L124" s="107"/>
      <c r="M124" s="107"/>
      <c r="N124" s="107"/>
      <c r="O124" s="107"/>
    </row>
    <row r="125" spans="1:43" x14ac:dyDescent="0.15">
      <c r="A125" s="59" t="s">
        <v>340</v>
      </c>
      <c r="B125" s="60">
        <f ca="1">OFFSET(①簡易状況入力!$C$5,MATCH(A125,①簡易状況入力!$C$5:$C$104,0)-1,1)</f>
        <v>0</v>
      </c>
      <c r="C125" s="145">
        <f ca="1">OFFSET(①簡易状況入力!$C$5,MATCH(A125,①簡易状況入力!$C$5:$C$104,0)-1,17)</f>
        <v>0</v>
      </c>
      <c r="D125" s="148" t="s">
        <v>47</v>
      </c>
      <c r="E125" s="56">
        <f ca="1">U128</f>
        <v>0</v>
      </c>
      <c r="F125" s="56">
        <f ca="1">U127</f>
        <v>0</v>
      </c>
      <c r="G125" s="102"/>
      <c r="H125" s="103"/>
      <c r="I125" s="103"/>
      <c r="J125" s="103"/>
      <c r="K125" s="103"/>
      <c r="L125" s="103"/>
      <c r="M125" s="103"/>
      <c r="N125" s="103"/>
      <c r="O125" s="103"/>
      <c r="Q125" s="57">
        <f ca="1">OFFSET(①簡易状況入力!$C$5,MATCH(A125,①簡易状況入力!$C$5:$C$104,0)-1,15)</f>
        <v>0</v>
      </c>
      <c r="R125" s="58"/>
      <c r="S125" s="58"/>
      <c r="T125" s="58"/>
      <c r="U125" s="58"/>
      <c r="V125" s="58"/>
      <c r="W125" s="58"/>
      <c r="X125" s="58"/>
      <c r="Y125" s="58"/>
      <c r="Z125" s="58"/>
      <c r="AA125" s="58"/>
      <c r="AB125" s="148" t="s">
        <v>47</v>
      </c>
      <c r="AC125" s="56">
        <f ca="1">U128</f>
        <v>0</v>
      </c>
      <c r="AD125" s="56">
        <f ca="1">U127</f>
        <v>0</v>
      </c>
      <c r="AE125" s="62" t="s">
        <v>46</v>
      </c>
      <c r="AF125" s="62" t="str">
        <f t="shared" ref="AF125" ca="1" si="418">IF($C125="あり",IF(AF$4&lt;=$AD125,H125,"-"),IF(AF$4&lt;=$AD125,$AO125,"-"))</f>
        <v>-</v>
      </c>
      <c r="AG125" s="62" t="str">
        <f t="shared" ref="AG125" ca="1" si="419">IF($C125="あり",IF(AG$4&lt;=$AD125,I125,"-"),IF(AG$4&lt;=$AD125,$AO125,"-"))</f>
        <v>-</v>
      </c>
      <c r="AH125" s="62" t="str">
        <f t="shared" ref="AH125" ca="1" si="420">IF($C125="あり",IF(AH$4&lt;=$AD125,J125,"-"),IF(AH$4&lt;=$AD125,$AO125,"-"))</f>
        <v>-</v>
      </c>
      <c r="AI125" s="62" t="str">
        <f t="shared" ref="AI125" ca="1" si="421">IF($C125="あり",IF(AI$4&lt;=$AD125,K125,"-"),IF(AI$4&lt;=$AD125,$AO125,"-"))</f>
        <v>-</v>
      </c>
      <c r="AJ125" s="62" t="str">
        <f t="shared" ref="AJ125" ca="1" si="422">IF($C125="あり",IF(AJ$4&lt;=$AD125,L125,"-"),IF(AJ$4&lt;=$AD125,$AO125,"-"))</f>
        <v>-</v>
      </c>
      <c r="AK125" s="62" t="str">
        <f t="shared" ref="AK125" ca="1" si="423">IF($C125="あり",IF(AK$4&lt;=$AD125,M125,"-"),IF(AK$4&lt;=$AD125,$AO125,"-"))</f>
        <v>-</v>
      </c>
      <c r="AL125" s="62" t="str">
        <f ca="1">IF($C125="あり",IF(7&lt;=$AD125,N125,"-"),IF(7&lt;=$AD125,$AO125*($AD125-6),"-"))</f>
        <v>-</v>
      </c>
      <c r="AM125" s="62">
        <f ca="1">IF(C125="あり",O125,AP125)</f>
        <v>0</v>
      </c>
      <c r="AN125" s="62">
        <f ca="1">SUM(U126,AF125:AM125)</f>
        <v>0</v>
      </c>
      <c r="AO125" s="42">
        <f ca="1">OFFSET(【DB】被害率係数!$A$4,MATCH(②詳細状況入力!$Y126,【DB】被害率係数!$A$4:$A$19,0)-1,16)</f>
        <v>0</v>
      </c>
      <c r="AP125" s="42">
        <f ca="1">OFFSET(【DB】被害率係数!$A$4,MATCH(②詳細状況入力!$Y126,【DB】被害率係数!$A$4:$A$19,0)-1,17)</f>
        <v>0</v>
      </c>
      <c r="AQ125" s="42"/>
    </row>
    <row r="126" spans="1:43" x14ac:dyDescent="0.15">
      <c r="A126" s="50"/>
      <c r="B126" s="50"/>
      <c r="C126" s="145">
        <f ca="1">OFFSET(①簡易状況入力!$C$5,MATCH(A125,①簡易状況入力!$C$5:$C$104,0)-1,18)</f>
        <v>0</v>
      </c>
      <c r="D126" s="148" t="s">
        <v>52</v>
      </c>
      <c r="E126" s="56">
        <f t="shared" ref="E126:F126" ca="1" si="424">E125</f>
        <v>0</v>
      </c>
      <c r="F126" s="56">
        <f t="shared" ca="1" si="424"/>
        <v>0</v>
      </c>
      <c r="G126" s="104"/>
      <c r="H126" s="104"/>
      <c r="I126" s="104"/>
      <c r="J126" s="104"/>
      <c r="K126" s="104"/>
      <c r="L126" s="104"/>
      <c r="M126" s="104"/>
      <c r="N126" s="104"/>
      <c r="O126" s="105"/>
      <c r="Q126" s="57">
        <f ca="1">OFFSET(①簡易状況入力!$C$5,MATCH(A125,①簡易状況入力!$C$5:$C$104,0)-1,16)</f>
        <v>0</v>
      </c>
      <c r="R126" s="58"/>
      <c r="S126" s="146" t="s">
        <v>115</v>
      </c>
      <c r="T126" s="146" t="s">
        <v>116</v>
      </c>
      <c r="U126" s="36">
        <f ca="1">OFFSET(①簡易状況入力!$C$5,MATCH(A125,①簡易状況入力!$C$5:$C$104,0)-1,4)</f>
        <v>0</v>
      </c>
      <c r="V126" s="58"/>
      <c r="W126" s="146" t="s">
        <v>30</v>
      </c>
      <c r="X126" s="37">
        <f ca="1">OFFSET(①簡易状況入力!$C$5,MATCH(A125,①簡易状況入力!$C$5:$C$104,0)-1,5)</f>
        <v>0</v>
      </c>
      <c r="Y126" s="149">
        <f ca="1">OFFSET(①簡易状況入力!$C$5,MATCH(A125,①簡易状況入力!$C$5:$C$104,0)-1,8)</f>
        <v>0</v>
      </c>
      <c r="Z126" s="149">
        <f ca="1">OFFSET(①簡易状況入力!$C$5,MATCH(A125,①簡易状況入力!$C$5:$C$104,0)-1,9)</f>
        <v>0</v>
      </c>
      <c r="AA126" s="149">
        <f ca="1">OFFSET(①簡易状況入力!$C$5,MATCH(A125,①簡易状況入力!$C$5:$C$104,0)-1,10)</f>
        <v>0</v>
      </c>
      <c r="AB126" s="148" t="s">
        <v>52</v>
      </c>
      <c r="AC126" s="56">
        <f t="shared" ref="AC126:AD126" ca="1" si="425">AC125</f>
        <v>0</v>
      </c>
      <c r="AD126" s="56">
        <f t="shared" ca="1" si="425"/>
        <v>0</v>
      </c>
      <c r="AE126" s="63">
        <f ca="1">IF($C126="あり",IF(AC126&gt;=1,G126/AQ126,0),IF(AC126&gt;=1,AO126*AC126,0))</f>
        <v>0</v>
      </c>
      <c r="AF126" s="63">
        <f t="shared" ref="AF126:AF128" ca="1" si="426">IF($C126="あり",IF($AD126&gt;=AF$4,H126/$AQ126,0),IF($AD126&gt;=AF$4,$AO126,0))</f>
        <v>0</v>
      </c>
      <c r="AG126" s="63">
        <f t="shared" ref="AG126:AG128" ca="1" si="427">IF($C126="あり",IF($AD126&gt;=AG$4,I126/$AQ126,0),IF($AD126&gt;=AG$4,$AO126,0))</f>
        <v>0</v>
      </c>
      <c r="AH126" s="63">
        <f t="shared" ref="AH126:AH128" ca="1" si="428">IF($C126="あり",IF($AD126&gt;=AH$4,J126/$AQ126,0),IF($AD126&gt;=AH$4,$AO126,0))</f>
        <v>0</v>
      </c>
      <c r="AI126" s="63">
        <f t="shared" ref="AI126:AI128" ca="1" si="429">IF($C126="あり",IF($AD126&gt;=AI$4,K126/$AQ126,0),IF($AD126&gt;=AI$4,$AO126,0))</f>
        <v>0</v>
      </c>
      <c r="AJ126" s="63">
        <f t="shared" ref="AJ126:AJ128" ca="1" si="430">IF($C126="あり",IF($AD126&gt;=AJ$4,L126/$AQ126,0),IF($AD126&gt;=AJ$4,$AO126,0))</f>
        <v>0</v>
      </c>
      <c r="AK126" s="63">
        <f t="shared" ref="AK126:AK128" ca="1" si="431">IF($C126="あり",IF($AD126&gt;=AK$4,M126/$AQ126,0),IF($AD126&gt;=AK$4,$AO126,0))</f>
        <v>0</v>
      </c>
      <c r="AL126" s="63">
        <f ca="1">IF($C126="あり",IF($AD126&gt;=7,N126/$AQ126,0),IF($AD126&gt;=7,$AO126*($AD126-6),0))</f>
        <v>0</v>
      </c>
      <c r="AM126" s="64" t="s">
        <v>46</v>
      </c>
      <c r="AN126" s="63">
        <f ca="1">SUM(AE126:AM126)</f>
        <v>0</v>
      </c>
      <c r="AO126" s="68" t="e">
        <f ca="1">1/(AC126+AD126)</f>
        <v>#DIV/0!</v>
      </c>
      <c r="AP126" s="67">
        <v>0</v>
      </c>
      <c r="AQ126" s="68">
        <f ca="1">IF(AC126&gt;=1,G126,0)+SUMIF($H$4:$M$4,"&lt;="&amp;AD126,$H126:$M126)+IF(AD126&gt;=7,N126,0)</f>
        <v>0</v>
      </c>
    </row>
    <row r="127" spans="1:43" x14ac:dyDescent="0.15">
      <c r="A127" s="50"/>
      <c r="B127" s="50"/>
      <c r="C127" s="145">
        <f ca="1">OFFSET(①簡易状況入力!$C$5,MATCH(A125,①簡易状況入力!$C$5:$C$104,0)-1,19)</f>
        <v>0</v>
      </c>
      <c r="D127" s="148" t="s">
        <v>50</v>
      </c>
      <c r="E127" s="56">
        <f t="shared" ref="E127" ca="1" si="432">E126</f>
        <v>0</v>
      </c>
      <c r="F127" s="56">
        <f ca="1">F126</f>
        <v>0</v>
      </c>
      <c r="G127" s="104"/>
      <c r="H127" s="104"/>
      <c r="I127" s="104"/>
      <c r="J127" s="104"/>
      <c r="K127" s="104"/>
      <c r="L127" s="104"/>
      <c r="M127" s="104"/>
      <c r="N127" s="104"/>
      <c r="O127" s="106"/>
      <c r="Q127" s="50"/>
      <c r="R127" s="58"/>
      <c r="S127" s="165" t="s">
        <v>28</v>
      </c>
      <c r="T127" s="146" t="s">
        <v>35</v>
      </c>
      <c r="U127" s="35">
        <f ca="1">OFFSET(①簡易状況入力!$C$5,MATCH(A125,①簡易状況入力!$C$5:$C$104,0)-1,2)</f>
        <v>0</v>
      </c>
      <c r="V127" s="58"/>
      <c r="W127" s="146" t="s">
        <v>33</v>
      </c>
      <c r="X127" s="37">
        <f ca="1">OFFSET(①簡易状況入力!$C$5,MATCH(A125,①簡易状況入力!$C$5:$C$104,0)-1,6)</f>
        <v>0</v>
      </c>
      <c r="Y127" s="149">
        <f ca="1">OFFSET(①簡易状況入力!$C$5,MATCH(A125,①簡易状況入力!$C$5:$C$104,0)-1,11)</f>
        <v>0</v>
      </c>
      <c r="Z127" s="167">
        <f ca="1">OFFSET(①簡易状況入力!$C$5,MATCH(A125,①簡易状況入力!$C$5:$C$104,0)-1,12)</f>
        <v>0</v>
      </c>
      <c r="AA127" s="168"/>
      <c r="AB127" s="148" t="s">
        <v>50</v>
      </c>
      <c r="AC127" s="56">
        <f t="shared" ref="AC127:AD127" ca="1" si="433">AC126</f>
        <v>0</v>
      </c>
      <c r="AD127" s="56">
        <f t="shared" ca="1" si="433"/>
        <v>0</v>
      </c>
      <c r="AE127" s="63">
        <f ca="1">IF($C127="あり",IF(AC127&gt;=1,G127/AQ127,0),IF(AC127&gt;=1,AO127*AC127,0))</f>
        <v>0</v>
      </c>
      <c r="AF127" s="63">
        <f t="shared" ca="1" si="426"/>
        <v>0</v>
      </c>
      <c r="AG127" s="63">
        <f t="shared" ca="1" si="427"/>
        <v>0</v>
      </c>
      <c r="AH127" s="63">
        <f t="shared" ca="1" si="428"/>
        <v>0</v>
      </c>
      <c r="AI127" s="63">
        <f t="shared" ca="1" si="429"/>
        <v>0</v>
      </c>
      <c r="AJ127" s="63">
        <f t="shared" ca="1" si="430"/>
        <v>0</v>
      </c>
      <c r="AK127" s="63">
        <f t="shared" ca="1" si="431"/>
        <v>0</v>
      </c>
      <c r="AL127" s="63">
        <f ca="1">IF($C127="あり",IF($AD127&gt;=7,N127/$AQ127,0),IF($AD127&gt;=7,$AO127*($AD127-6),0))</f>
        <v>0</v>
      </c>
      <c r="AM127" s="65">
        <f ca="1">IF(C127="あり",O127/AQ127,AP127)</f>
        <v>0</v>
      </c>
      <c r="AN127" s="63">
        <f ca="1">SUM(AE127:AM127)</f>
        <v>0</v>
      </c>
      <c r="AO127" s="68" t="e">
        <f ca="1">1/(AC127+AD127)</f>
        <v>#DIV/0!</v>
      </c>
      <c r="AP127" s="67">
        <v>0</v>
      </c>
      <c r="AQ127" s="68">
        <f ca="1">IF(AC127&gt;=1,G127,0)+SUMIF($H$4:$M$4,"&lt;="&amp;AD127,$H127:$M127)+IF(AD127&gt;=7,N127,0)+O127</f>
        <v>0</v>
      </c>
    </row>
    <row r="128" spans="1:43" x14ac:dyDescent="0.15">
      <c r="A128" s="50"/>
      <c r="B128" s="50"/>
      <c r="C128" s="145">
        <f ca="1">OFFSET(①簡易状況入力!$C$5,MATCH(A125,①簡易状況入力!$C$5:$C$104,0)-1,20)</f>
        <v>0</v>
      </c>
      <c r="D128" s="148" t="s">
        <v>51</v>
      </c>
      <c r="E128" s="56">
        <f t="shared" ref="E128:F128" ca="1" si="434">E127</f>
        <v>0</v>
      </c>
      <c r="F128" s="56">
        <f t="shared" ca="1" si="434"/>
        <v>0</v>
      </c>
      <c r="G128" s="104"/>
      <c r="H128" s="104"/>
      <c r="I128" s="104"/>
      <c r="J128" s="104"/>
      <c r="K128" s="104"/>
      <c r="L128" s="104"/>
      <c r="M128" s="104"/>
      <c r="N128" s="104"/>
      <c r="O128" s="106"/>
      <c r="Q128" s="50"/>
      <c r="R128" s="58"/>
      <c r="S128" s="166"/>
      <c r="T128" s="146" t="s">
        <v>34</v>
      </c>
      <c r="U128" s="35">
        <f ca="1">OFFSET(①簡易状況入力!$C$5,MATCH(A125,①簡易状況入力!$C$5:$C$104,0)-1,3)</f>
        <v>0</v>
      </c>
      <c r="V128" s="58"/>
      <c r="W128" s="146" t="s">
        <v>118</v>
      </c>
      <c r="X128" s="37">
        <f ca="1">OFFSET(①簡易状況入力!$C$5,MATCH(A125,①簡易状況入力!$C$5:$C$104,0)-1,7)</f>
        <v>0</v>
      </c>
      <c r="Y128" s="149">
        <f ca="1">OFFSET(①簡易状況入力!$C$5,MATCH(A125,①簡易状況入力!$C$5:$C$104,0)-1,13)</f>
        <v>0</v>
      </c>
      <c r="Z128" s="167">
        <f ca="1">OFFSET(①簡易状況入力!$C$5,MATCH(A125,①簡易状況入力!$C$5:$C$104,0)-1,14)</f>
        <v>0</v>
      </c>
      <c r="AA128" s="168"/>
      <c r="AB128" s="148" t="s">
        <v>51</v>
      </c>
      <c r="AC128" s="56">
        <f t="shared" ref="AC128:AD128" ca="1" si="435">AC127</f>
        <v>0</v>
      </c>
      <c r="AD128" s="56">
        <f t="shared" ca="1" si="435"/>
        <v>0</v>
      </c>
      <c r="AE128" s="63">
        <f ca="1">IF($C128="あり",IF(AC128&gt;=1,G128/AQ128,0),IF(AC128&gt;=1,AO128*AC128,0))</f>
        <v>0</v>
      </c>
      <c r="AF128" s="63">
        <f t="shared" ca="1" si="426"/>
        <v>0</v>
      </c>
      <c r="AG128" s="63">
        <f t="shared" ca="1" si="427"/>
        <v>0</v>
      </c>
      <c r="AH128" s="63">
        <f t="shared" ca="1" si="428"/>
        <v>0</v>
      </c>
      <c r="AI128" s="63">
        <f t="shared" ca="1" si="429"/>
        <v>0</v>
      </c>
      <c r="AJ128" s="63">
        <f t="shared" ca="1" si="430"/>
        <v>0</v>
      </c>
      <c r="AK128" s="63">
        <f t="shared" ca="1" si="431"/>
        <v>0</v>
      </c>
      <c r="AL128" s="63">
        <f ca="1">IF($C128="あり",IF($AD128&gt;=7,N128/$AQ128,0),IF($AD128&gt;=7,$AO128*($AD128-6),0))</f>
        <v>0</v>
      </c>
      <c r="AM128" s="65">
        <f ca="1">IF(C128="あり",O128/AQ128,AP128)</f>
        <v>0</v>
      </c>
      <c r="AN128" s="63">
        <f ca="1">SUM(AE128:AM128)</f>
        <v>0</v>
      </c>
      <c r="AO128" s="68" t="e">
        <f ca="1">1/(AC128+AD128)</f>
        <v>#DIV/0!</v>
      </c>
      <c r="AP128" s="67">
        <v>0</v>
      </c>
      <c r="AQ128" s="68">
        <f ca="1">IF(AC128&gt;=1,G128,0)+SUMIF($H$4:$M$4,"&lt;="&amp;AD128,$H128:$M128)+IF(AD128&gt;=7,N128,0)+O128</f>
        <v>0</v>
      </c>
    </row>
    <row r="129" spans="1:43" x14ac:dyDescent="0.15">
      <c r="G129" s="107"/>
      <c r="H129" s="107"/>
      <c r="I129" s="107"/>
      <c r="J129" s="107"/>
      <c r="K129" s="107"/>
      <c r="L129" s="107"/>
      <c r="M129" s="107"/>
      <c r="N129" s="107"/>
      <c r="O129" s="107"/>
    </row>
    <row r="130" spans="1:43" x14ac:dyDescent="0.15">
      <c r="A130" s="59" t="s">
        <v>341</v>
      </c>
      <c r="B130" s="60">
        <f ca="1">OFFSET(①簡易状況入力!$C$5,MATCH(A130,①簡易状況入力!$C$5:$C$104,0)-1,1)</f>
        <v>0</v>
      </c>
      <c r="C130" s="145">
        <f ca="1">OFFSET(①簡易状況入力!$C$5,MATCH(A130,①簡易状況入力!$C$5:$C$104,0)-1,17)</f>
        <v>0</v>
      </c>
      <c r="D130" s="148" t="s">
        <v>47</v>
      </c>
      <c r="E130" s="56">
        <f ca="1">U133</f>
        <v>0</v>
      </c>
      <c r="F130" s="56">
        <f ca="1">U132</f>
        <v>0</v>
      </c>
      <c r="G130" s="102"/>
      <c r="H130" s="103"/>
      <c r="I130" s="103"/>
      <c r="J130" s="103"/>
      <c r="K130" s="103"/>
      <c r="L130" s="103"/>
      <c r="M130" s="103"/>
      <c r="N130" s="103"/>
      <c r="O130" s="103"/>
      <c r="Q130" s="57">
        <f ca="1">OFFSET(①簡易状況入力!$C$5,MATCH(A130,①簡易状況入力!$C$5:$C$104,0)-1,15)</f>
        <v>0</v>
      </c>
      <c r="R130" s="58"/>
      <c r="S130" s="58"/>
      <c r="T130" s="58"/>
      <c r="U130" s="58"/>
      <c r="V130" s="58"/>
      <c r="W130" s="58"/>
      <c r="X130" s="58"/>
      <c r="Y130" s="58"/>
      <c r="Z130" s="58"/>
      <c r="AA130" s="58"/>
      <c r="AB130" s="148" t="s">
        <v>47</v>
      </c>
      <c r="AC130" s="56">
        <f ca="1">U133</f>
        <v>0</v>
      </c>
      <c r="AD130" s="56">
        <f ca="1">U132</f>
        <v>0</v>
      </c>
      <c r="AE130" s="62" t="s">
        <v>46</v>
      </c>
      <c r="AF130" s="62" t="str">
        <f t="shared" ref="AF130" ca="1" si="436">IF($C130="あり",IF(AF$4&lt;=$AD130,H130,"-"),IF(AF$4&lt;=$AD130,$AO130,"-"))</f>
        <v>-</v>
      </c>
      <c r="AG130" s="62" t="str">
        <f t="shared" ref="AG130" ca="1" si="437">IF($C130="あり",IF(AG$4&lt;=$AD130,I130,"-"),IF(AG$4&lt;=$AD130,$AO130,"-"))</f>
        <v>-</v>
      </c>
      <c r="AH130" s="62" t="str">
        <f t="shared" ref="AH130" ca="1" si="438">IF($C130="あり",IF(AH$4&lt;=$AD130,J130,"-"),IF(AH$4&lt;=$AD130,$AO130,"-"))</f>
        <v>-</v>
      </c>
      <c r="AI130" s="62" t="str">
        <f t="shared" ref="AI130" ca="1" si="439">IF($C130="あり",IF(AI$4&lt;=$AD130,K130,"-"),IF(AI$4&lt;=$AD130,$AO130,"-"))</f>
        <v>-</v>
      </c>
      <c r="AJ130" s="62" t="str">
        <f t="shared" ref="AJ130" ca="1" si="440">IF($C130="あり",IF(AJ$4&lt;=$AD130,L130,"-"),IF(AJ$4&lt;=$AD130,$AO130,"-"))</f>
        <v>-</v>
      </c>
      <c r="AK130" s="62" t="str">
        <f t="shared" ref="AK130" ca="1" si="441">IF($C130="あり",IF(AK$4&lt;=$AD130,M130,"-"),IF(AK$4&lt;=$AD130,$AO130,"-"))</f>
        <v>-</v>
      </c>
      <c r="AL130" s="62" t="str">
        <f ca="1">IF($C130="あり",IF(7&lt;=$AD130,N130,"-"),IF(7&lt;=$AD130,$AO130*($AD130-6),"-"))</f>
        <v>-</v>
      </c>
      <c r="AM130" s="62">
        <f ca="1">IF(C130="あり",O130,AP130)</f>
        <v>0</v>
      </c>
      <c r="AN130" s="62">
        <f ca="1">SUM(U131,AF130:AM130)</f>
        <v>0</v>
      </c>
      <c r="AO130" s="42">
        <f ca="1">OFFSET(【DB】被害率係数!$A$4,MATCH(②詳細状況入力!$Y131,【DB】被害率係数!$A$4:$A$19,0)-1,16)</f>
        <v>0</v>
      </c>
      <c r="AP130" s="42">
        <f ca="1">OFFSET(【DB】被害率係数!$A$4,MATCH(②詳細状況入力!$Y131,【DB】被害率係数!$A$4:$A$19,0)-1,17)</f>
        <v>0</v>
      </c>
      <c r="AQ130" s="42"/>
    </row>
    <row r="131" spans="1:43" x14ac:dyDescent="0.15">
      <c r="A131" s="50"/>
      <c r="B131" s="50"/>
      <c r="C131" s="145">
        <f ca="1">OFFSET(①簡易状況入力!$C$5,MATCH(A130,①簡易状況入力!$C$5:$C$104,0)-1,18)</f>
        <v>0</v>
      </c>
      <c r="D131" s="148" t="s">
        <v>52</v>
      </c>
      <c r="E131" s="56">
        <f t="shared" ref="E131:F131" ca="1" si="442">E130</f>
        <v>0</v>
      </c>
      <c r="F131" s="56">
        <f t="shared" ca="1" si="442"/>
        <v>0</v>
      </c>
      <c r="G131" s="104"/>
      <c r="H131" s="104"/>
      <c r="I131" s="104"/>
      <c r="J131" s="104"/>
      <c r="K131" s="104"/>
      <c r="L131" s="104"/>
      <c r="M131" s="104"/>
      <c r="N131" s="104"/>
      <c r="O131" s="105"/>
      <c r="Q131" s="57">
        <f ca="1">OFFSET(①簡易状況入力!$C$5,MATCH(A130,①簡易状況入力!$C$5:$C$104,0)-1,16)</f>
        <v>0</v>
      </c>
      <c r="R131" s="58"/>
      <c r="S131" s="146" t="s">
        <v>115</v>
      </c>
      <c r="T131" s="146" t="s">
        <v>116</v>
      </c>
      <c r="U131" s="36">
        <f ca="1">OFFSET(①簡易状況入力!$C$5,MATCH(A130,①簡易状況入力!$C$5:$C$104,0)-1,4)</f>
        <v>0</v>
      </c>
      <c r="V131" s="58"/>
      <c r="W131" s="146" t="s">
        <v>30</v>
      </c>
      <c r="X131" s="37">
        <f ca="1">OFFSET(①簡易状況入力!$C$5,MATCH(A130,①簡易状況入力!$C$5:$C$104,0)-1,5)</f>
        <v>0</v>
      </c>
      <c r="Y131" s="149">
        <f ca="1">OFFSET(①簡易状況入力!$C$5,MATCH(A130,①簡易状況入力!$C$5:$C$104,0)-1,8)</f>
        <v>0</v>
      </c>
      <c r="Z131" s="149">
        <f ca="1">OFFSET(①簡易状況入力!$C$5,MATCH(A130,①簡易状況入力!$C$5:$C$104,0)-1,9)</f>
        <v>0</v>
      </c>
      <c r="AA131" s="149">
        <f ca="1">OFFSET(①簡易状況入力!$C$5,MATCH(A130,①簡易状況入力!$C$5:$C$104,0)-1,10)</f>
        <v>0</v>
      </c>
      <c r="AB131" s="148" t="s">
        <v>52</v>
      </c>
      <c r="AC131" s="56">
        <f t="shared" ref="AC131:AD131" ca="1" si="443">AC130</f>
        <v>0</v>
      </c>
      <c r="AD131" s="56">
        <f t="shared" ca="1" si="443"/>
        <v>0</v>
      </c>
      <c r="AE131" s="63">
        <f ca="1">IF($C131="あり",IF(AC131&gt;=1,G131/AQ131,0),IF(AC131&gt;=1,AO131*AC131,0))</f>
        <v>0</v>
      </c>
      <c r="AF131" s="63">
        <f t="shared" ref="AF131:AF133" ca="1" si="444">IF($C131="あり",IF($AD131&gt;=AF$4,H131/$AQ131,0),IF($AD131&gt;=AF$4,$AO131,0))</f>
        <v>0</v>
      </c>
      <c r="AG131" s="63">
        <f t="shared" ref="AG131:AG133" ca="1" si="445">IF($C131="あり",IF($AD131&gt;=AG$4,I131/$AQ131,0),IF($AD131&gt;=AG$4,$AO131,0))</f>
        <v>0</v>
      </c>
      <c r="AH131" s="63">
        <f t="shared" ref="AH131:AH133" ca="1" si="446">IF($C131="あり",IF($AD131&gt;=AH$4,J131/$AQ131,0),IF($AD131&gt;=AH$4,$AO131,0))</f>
        <v>0</v>
      </c>
      <c r="AI131" s="63">
        <f t="shared" ref="AI131:AI133" ca="1" si="447">IF($C131="あり",IF($AD131&gt;=AI$4,K131/$AQ131,0),IF($AD131&gt;=AI$4,$AO131,0))</f>
        <v>0</v>
      </c>
      <c r="AJ131" s="63">
        <f t="shared" ref="AJ131:AJ133" ca="1" si="448">IF($C131="あり",IF($AD131&gt;=AJ$4,L131/$AQ131,0),IF($AD131&gt;=AJ$4,$AO131,0))</f>
        <v>0</v>
      </c>
      <c r="AK131" s="63">
        <f t="shared" ref="AK131:AK133" ca="1" si="449">IF($C131="あり",IF($AD131&gt;=AK$4,M131/$AQ131,0),IF($AD131&gt;=AK$4,$AO131,0))</f>
        <v>0</v>
      </c>
      <c r="AL131" s="63">
        <f ca="1">IF($C131="あり",IF($AD131&gt;=7,N131/$AQ131,0),IF($AD131&gt;=7,$AO131*($AD131-6),0))</f>
        <v>0</v>
      </c>
      <c r="AM131" s="64" t="s">
        <v>46</v>
      </c>
      <c r="AN131" s="63">
        <f ca="1">SUM(AE131:AM131)</f>
        <v>0</v>
      </c>
      <c r="AO131" s="68" t="e">
        <f ca="1">1/(AC131+AD131)</f>
        <v>#DIV/0!</v>
      </c>
      <c r="AP131" s="67">
        <v>0</v>
      </c>
      <c r="AQ131" s="68">
        <f ca="1">IF(AC131&gt;=1,G131,0)+SUMIF($H$4:$M$4,"&lt;="&amp;AD131,$H131:$M131)+IF(AD131&gt;=7,N131,0)</f>
        <v>0</v>
      </c>
    </row>
    <row r="132" spans="1:43" x14ac:dyDescent="0.15">
      <c r="A132" s="50"/>
      <c r="B132" s="50"/>
      <c r="C132" s="145">
        <f ca="1">OFFSET(①簡易状況入力!$C$5,MATCH(A130,①簡易状況入力!$C$5:$C$104,0)-1,19)</f>
        <v>0</v>
      </c>
      <c r="D132" s="148" t="s">
        <v>50</v>
      </c>
      <c r="E132" s="56">
        <f t="shared" ref="E132" ca="1" si="450">E131</f>
        <v>0</v>
      </c>
      <c r="F132" s="56">
        <f ca="1">F131</f>
        <v>0</v>
      </c>
      <c r="G132" s="104"/>
      <c r="H132" s="104"/>
      <c r="I132" s="104"/>
      <c r="J132" s="104"/>
      <c r="K132" s="104"/>
      <c r="L132" s="104"/>
      <c r="M132" s="104"/>
      <c r="N132" s="104"/>
      <c r="O132" s="106"/>
      <c r="Q132" s="50"/>
      <c r="R132" s="58"/>
      <c r="S132" s="165" t="s">
        <v>28</v>
      </c>
      <c r="T132" s="146" t="s">
        <v>35</v>
      </c>
      <c r="U132" s="35">
        <f ca="1">OFFSET(①簡易状況入力!$C$5,MATCH(A130,①簡易状況入力!$C$5:$C$104,0)-1,2)</f>
        <v>0</v>
      </c>
      <c r="V132" s="58"/>
      <c r="W132" s="146" t="s">
        <v>33</v>
      </c>
      <c r="X132" s="37">
        <f ca="1">OFFSET(①簡易状況入力!$C$5,MATCH(A130,①簡易状況入力!$C$5:$C$104,0)-1,6)</f>
        <v>0</v>
      </c>
      <c r="Y132" s="149">
        <f ca="1">OFFSET(①簡易状況入力!$C$5,MATCH(A130,①簡易状況入力!$C$5:$C$104,0)-1,11)</f>
        <v>0</v>
      </c>
      <c r="Z132" s="167">
        <f ca="1">OFFSET(①簡易状況入力!$C$5,MATCH(A130,①簡易状況入力!$C$5:$C$104,0)-1,12)</f>
        <v>0</v>
      </c>
      <c r="AA132" s="168"/>
      <c r="AB132" s="148" t="s">
        <v>50</v>
      </c>
      <c r="AC132" s="56">
        <f t="shared" ref="AC132:AD132" ca="1" si="451">AC131</f>
        <v>0</v>
      </c>
      <c r="AD132" s="56">
        <f t="shared" ca="1" si="451"/>
        <v>0</v>
      </c>
      <c r="AE132" s="63">
        <f ca="1">IF($C132="あり",IF(AC132&gt;=1,G132/AQ132,0),IF(AC132&gt;=1,AO132*AC132,0))</f>
        <v>0</v>
      </c>
      <c r="AF132" s="63">
        <f t="shared" ca="1" si="444"/>
        <v>0</v>
      </c>
      <c r="AG132" s="63">
        <f t="shared" ca="1" si="445"/>
        <v>0</v>
      </c>
      <c r="AH132" s="63">
        <f t="shared" ca="1" si="446"/>
        <v>0</v>
      </c>
      <c r="AI132" s="63">
        <f t="shared" ca="1" si="447"/>
        <v>0</v>
      </c>
      <c r="AJ132" s="63">
        <f t="shared" ca="1" si="448"/>
        <v>0</v>
      </c>
      <c r="AK132" s="63">
        <f t="shared" ca="1" si="449"/>
        <v>0</v>
      </c>
      <c r="AL132" s="63">
        <f ca="1">IF($C132="あり",IF($AD132&gt;=7,N132/$AQ132,0),IF($AD132&gt;=7,$AO132*($AD132-6),0))</f>
        <v>0</v>
      </c>
      <c r="AM132" s="65">
        <f ca="1">IF(C132="あり",O132/AQ132,AP132)</f>
        <v>0</v>
      </c>
      <c r="AN132" s="63">
        <f ca="1">SUM(AE132:AM132)</f>
        <v>0</v>
      </c>
      <c r="AO132" s="68" t="e">
        <f ca="1">1/(AC132+AD132)</f>
        <v>#DIV/0!</v>
      </c>
      <c r="AP132" s="67">
        <v>0</v>
      </c>
      <c r="AQ132" s="68">
        <f ca="1">IF(AC132&gt;=1,G132,0)+SUMIF($H$4:$M$4,"&lt;="&amp;AD132,$H132:$M132)+IF(AD132&gt;=7,N132,0)+O132</f>
        <v>0</v>
      </c>
    </row>
    <row r="133" spans="1:43" x14ac:dyDescent="0.15">
      <c r="A133" s="50"/>
      <c r="B133" s="50"/>
      <c r="C133" s="145">
        <f ca="1">OFFSET(①簡易状況入力!$C$5,MATCH(A130,①簡易状況入力!$C$5:$C$104,0)-1,20)</f>
        <v>0</v>
      </c>
      <c r="D133" s="148" t="s">
        <v>51</v>
      </c>
      <c r="E133" s="56">
        <f t="shared" ref="E133:F133" ca="1" si="452">E132</f>
        <v>0</v>
      </c>
      <c r="F133" s="56">
        <f t="shared" ca="1" si="452"/>
        <v>0</v>
      </c>
      <c r="G133" s="104"/>
      <c r="H133" s="104"/>
      <c r="I133" s="104"/>
      <c r="J133" s="104"/>
      <c r="K133" s="104"/>
      <c r="L133" s="104"/>
      <c r="M133" s="104"/>
      <c r="N133" s="104"/>
      <c r="O133" s="106"/>
      <c r="Q133" s="50"/>
      <c r="R133" s="58"/>
      <c r="S133" s="166"/>
      <c r="T133" s="146" t="s">
        <v>34</v>
      </c>
      <c r="U133" s="35">
        <f ca="1">OFFSET(①簡易状況入力!$C$5,MATCH(A130,①簡易状況入力!$C$5:$C$104,0)-1,3)</f>
        <v>0</v>
      </c>
      <c r="V133" s="58"/>
      <c r="W133" s="146" t="s">
        <v>118</v>
      </c>
      <c r="X133" s="37">
        <f ca="1">OFFSET(①簡易状況入力!$C$5,MATCH(A130,①簡易状況入力!$C$5:$C$104,0)-1,7)</f>
        <v>0</v>
      </c>
      <c r="Y133" s="149">
        <f ca="1">OFFSET(①簡易状況入力!$C$5,MATCH(A130,①簡易状況入力!$C$5:$C$104,0)-1,13)</f>
        <v>0</v>
      </c>
      <c r="Z133" s="167">
        <f ca="1">OFFSET(①簡易状況入力!$C$5,MATCH(A130,①簡易状況入力!$C$5:$C$104,0)-1,14)</f>
        <v>0</v>
      </c>
      <c r="AA133" s="168"/>
      <c r="AB133" s="148" t="s">
        <v>51</v>
      </c>
      <c r="AC133" s="56">
        <f t="shared" ref="AC133:AD133" ca="1" si="453">AC132</f>
        <v>0</v>
      </c>
      <c r="AD133" s="56">
        <f t="shared" ca="1" si="453"/>
        <v>0</v>
      </c>
      <c r="AE133" s="63">
        <f ca="1">IF($C133="あり",IF(AC133&gt;=1,G133/AQ133,0),IF(AC133&gt;=1,AO133*AC133,0))</f>
        <v>0</v>
      </c>
      <c r="AF133" s="63">
        <f t="shared" ca="1" si="444"/>
        <v>0</v>
      </c>
      <c r="AG133" s="63">
        <f t="shared" ca="1" si="445"/>
        <v>0</v>
      </c>
      <c r="AH133" s="63">
        <f t="shared" ca="1" si="446"/>
        <v>0</v>
      </c>
      <c r="AI133" s="63">
        <f t="shared" ca="1" si="447"/>
        <v>0</v>
      </c>
      <c r="AJ133" s="63">
        <f t="shared" ca="1" si="448"/>
        <v>0</v>
      </c>
      <c r="AK133" s="63">
        <f t="shared" ca="1" si="449"/>
        <v>0</v>
      </c>
      <c r="AL133" s="63">
        <f ca="1">IF($C133="あり",IF($AD133&gt;=7,N133/$AQ133,0),IF($AD133&gt;=7,$AO133*($AD133-6),0))</f>
        <v>0</v>
      </c>
      <c r="AM133" s="65">
        <f ca="1">IF(C133="あり",O133/AQ133,AP133)</f>
        <v>0</v>
      </c>
      <c r="AN133" s="63">
        <f ca="1">SUM(AE133:AM133)</f>
        <v>0</v>
      </c>
      <c r="AO133" s="68" t="e">
        <f ca="1">1/(AC133+AD133)</f>
        <v>#DIV/0!</v>
      </c>
      <c r="AP133" s="67">
        <v>0</v>
      </c>
      <c r="AQ133" s="68">
        <f ca="1">IF(AC133&gt;=1,G133,0)+SUMIF($H$4:$M$4,"&lt;="&amp;AD133,$H133:$M133)+IF(AD133&gt;=7,N133,0)+O133</f>
        <v>0</v>
      </c>
    </row>
    <row r="134" spans="1:43" x14ac:dyDescent="0.15">
      <c r="G134" s="107"/>
      <c r="H134" s="107"/>
      <c r="I134" s="107"/>
      <c r="J134" s="107"/>
      <c r="K134" s="107"/>
      <c r="L134" s="107"/>
      <c r="M134" s="107"/>
      <c r="N134" s="107"/>
      <c r="O134" s="107"/>
    </row>
    <row r="135" spans="1:43" x14ac:dyDescent="0.15">
      <c r="A135" s="59" t="s">
        <v>342</v>
      </c>
      <c r="B135" s="60">
        <f ca="1">OFFSET(①簡易状況入力!$C$5,MATCH(A135,①簡易状況入力!$C$5:$C$104,0)-1,1)</f>
        <v>0</v>
      </c>
      <c r="C135" s="145">
        <f ca="1">OFFSET(①簡易状況入力!$C$5,MATCH(A135,①簡易状況入力!$C$5:$C$104,0)-1,17)</f>
        <v>0</v>
      </c>
      <c r="D135" s="148" t="s">
        <v>47</v>
      </c>
      <c r="E135" s="56">
        <f ca="1">U138</f>
        <v>0</v>
      </c>
      <c r="F135" s="56">
        <f ca="1">U137</f>
        <v>0</v>
      </c>
      <c r="G135" s="102"/>
      <c r="H135" s="103"/>
      <c r="I135" s="103"/>
      <c r="J135" s="103"/>
      <c r="K135" s="103"/>
      <c r="L135" s="103"/>
      <c r="M135" s="103"/>
      <c r="N135" s="103"/>
      <c r="O135" s="103"/>
      <c r="Q135" s="57">
        <f ca="1">OFFSET(①簡易状況入力!$C$5,MATCH(A135,①簡易状況入力!$C$5:$C$104,0)-1,15)</f>
        <v>0</v>
      </c>
      <c r="R135" s="58"/>
      <c r="S135" s="58"/>
      <c r="T135" s="58"/>
      <c r="U135" s="58"/>
      <c r="V135" s="58"/>
      <c r="W135" s="58"/>
      <c r="X135" s="58"/>
      <c r="Y135" s="58"/>
      <c r="Z135" s="58"/>
      <c r="AA135" s="58"/>
      <c r="AB135" s="148" t="s">
        <v>47</v>
      </c>
      <c r="AC135" s="56">
        <f ca="1">U138</f>
        <v>0</v>
      </c>
      <c r="AD135" s="56">
        <f ca="1">U137</f>
        <v>0</v>
      </c>
      <c r="AE135" s="62" t="s">
        <v>46</v>
      </c>
      <c r="AF135" s="62" t="str">
        <f t="shared" ref="AF135" ca="1" si="454">IF($C135="あり",IF(AF$4&lt;=$AD135,H135,"-"),IF(AF$4&lt;=$AD135,$AO135,"-"))</f>
        <v>-</v>
      </c>
      <c r="AG135" s="62" t="str">
        <f t="shared" ref="AG135" ca="1" si="455">IF($C135="あり",IF(AG$4&lt;=$AD135,I135,"-"),IF(AG$4&lt;=$AD135,$AO135,"-"))</f>
        <v>-</v>
      </c>
      <c r="AH135" s="62" t="str">
        <f t="shared" ref="AH135" ca="1" si="456">IF($C135="あり",IF(AH$4&lt;=$AD135,J135,"-"),IF(AH$4&lt;=$AD135,$AO135,"-"))</f>
        <v>-</v>
      </c>
      <c r="AI135" s="62" t="str">
        <f t="shared" ref="AI135" ca="1" si="457">IF($C135="あり",IF(AI$4&lt;=$AD135,K135,"-"),IF(AI$4&lt;=$AD135,$AO135,"-"))</f>
        <v>-</v>
      </c>
      <c r="AJ135" s="62" t="str">
        <f t="shared" ref="AJ135" ca="1" si="458">IF($C135="あり",IF(AJ$4&lt;=$AD135,L135,"-"),IF(AJ$4&lt;=$AD135,$AO135,"-"))</f>
        <v>-</v>
      </c>
      <c r="AK135" s="62" t="str">
        <f t="shared" ref="AK135" ca="1" si="459">IF($C135="あり",IF(AK$4&lt;=$AD135,M135,"-"),IF(AK$4&lt;=$AD135,$AO135,"-"))</f>
        <v>-</v>
      </c>
      <c r="AL135" s="62" t="str">
        <f ca="1">IF($C135="あり",IF(7&lt;=$AD135,N135,"-"),IF(7&lt;=$AD135,$AO135*($AD135-6),"-"))</f>
        <v>-</v>
      </c>
      <c r="AM135" s="62">
        <f ca="1">IF(C135="あり",O135,AP135)</f>
        <v>0</v>
      </c>
      <c r="AN135" s="62">
        <f ca="1">SUM(U136,AF135:AM135)</f>
        <v>0</v>
      </c>
      <c r="AO135" s="42">
        <f ca="1">OFFSET(【DB】被害率係数!$A$4,MATCH(②詳細状況入力!$Y136,【DB】被害率係数!$A$4:$A$19,0)-1,16)</f>
        <v>0</v>
      </c>
      <c r="AP135" s="42">
        <f ca="1">OFFSET(【DB】被害率係数!$A$4,MATCH(②詳細状況入力!$Y136,【DB】被害率係数!$A$4:$A$19,0)-1,17)</f>
        <v>0</v>
      </c>
      <c r="AQ135" s="42"/>
    </row>
    <row r="136" spans="1:43" x14ac:dyDescent="0.15">
      <c r="A136" s="50"/>
      <c r="B136" s="50"/>
      <c r="C136" s="145">
        <f ca="1">OFFSET(①簡易状況入力!$C$5,MATCH(A135,①簡易状況入力!$C$5:$C$104,0)-1,18)</f>
        <v>0</v>
      </c>
      <c r="D136" s="148" t="s">
        <v>52</v>
      </c>
      <c r="E136" s="56">
        <f t="shared" ref="E136:F136" ca="1" si="460">E135</f>
        <v>0</v>
      </c>
      <c r="F136" s="56">
        <f t="shared" ca="1" si="460"/>
        <v>0</v>
      </c>
      <c r="G136" s="104"/>
      <c r="H136" s="104"/>
      <c r="I136" s="104"/>
      <c r="J136" s="104"/>
      <c r="K136" s="104"/>
      <c r="L136" s="104"/>
      <c r="M136" s="104"/>
      <c r="N136" s="104"/>
      <c r="O136" s="105"/>
      <c r="Q136" s="57">
        <f ca="1">OFFSET(①簡易状況入力!$C$5,MATCH(A135,①簡易状況入力!$C$5:$C$104,0)-1,16)</f>
        <v>0</v>
      </c>
      <c r="R136" s="58"/>
      <c r="S136" s="146" t="s">
        <v>115</v>
      </c>
      <c r="T136" s="146" t="s">
        <v>116</v>
      </c>
      <c r="U136" s="36">
        <f ca="1">OFFSET(①簡易状況入力!$C$5,MATCH(A135,①簡易状況入力!$C$5:$C$104,0)-1,4)</f>
        <v>0</v>
      </c>
      <c r="V136" s="58"/>
      <c r="W136" s="146" t="s">
        <v>30</v>
      </c>
      <c r="X136" s="37">
        <f ca="1">OFFSET(①簡易状況入力!$C$5,MATCH(A135,①簡易状況入力!$C$5:$C$104,0)-1,5)</f>
        <v>0</v>
      </c>
      <c r="Y136" s="149">
        <f ca="1">OFFSET(①簡易状況入力!$C$5,MATCH(A135,①簡易状況入力!$C$5:$C$104,0)-1,8)</f>
        <v>0</v>
      </c>
      <c r="Z136" s="149">
        <f ca="1">OFFSET(①簡易状況入力!$C$5,MATCH(A135,①簡易状況入力!$C$5:$C$104,0)-1,9)</f>
        <v>0</v>
      </c>
      <c r="AA136" s="149">
        <f ca="1">OFFSET(①簡易状況入力!$C$5,MATCH(A135,①簡易状況入力!$C$5:$C$104,0)-1,10)</f>
        <v>0</v>
      </c>
      <c r="AB136" s="148" t="s">
        <v>52</v>
      </c>
      <c r="AC136" s="56">
        <f t="shared" ref="AC136:AD136" ca="1" si="461">AC135</f>
        <v>0</v>
      </c>
      <c r="AD136" s="56">
        <f t="shared" ca="1" si="461"/>
        <v>0</v>
      </c>
      <c r="AE136" s="63">
        <f ca="1">IF($C136="あり",IF(AC136&gt;=1,G136/AQ136,0),IF(AC136&gt;=1,AO136*AC136,0))</f>
        <v>0</v>
      </c>
      <c r="AF136" s="63">
        <f t="shared" ref="AF136:AF138" ca="1" si="462">IF($C136="あり",IF($AD136&gt;=AF$4,H136/$AQ136,0),IF($AD136&gt;=AF$4,$AO136,0))</f>
        <v>0</v>
      </c>
      <c r="AG136" s="63">
        <f t="shared" ref="AG136:AG138" ca="1" si="463">IF($C136="あり",IF($AD136&gt;=AG$4,I136/$AQ136,0),IF($AD136&gt;=AG$4,$AO136,0))</f>
        <v>0</v>
      </c>
      <c r="AH136" s="63">
        <f t="shared" ref="AH136:AH138" ca="1" si="464">IF($C136="あり",IF($AD136&gt;=AH$4,J136/$AQ136,0),IF($AD136&gt;=AH$4,$AO136,0))</f>
        <v>0</v>
      </c>
      <c r="AI136" s="63">
        <f t="shared" ref="AI136:AI138" ca="1" si="465">IF($C136="あり",IF($AD136&gt;=AI$4,K136/$AQ136,0),IF($AD136&gt;=AI$4,$AO136,0))</f>
        <v>0</v>
      </c>
      <c r="AJ136" s="63">
        <f t="shared" ref="AJ136:AJ138" ca="1" si="466">IF($C136="あり",IF($AD136&gt;=AJ$4,L136/$AQ136,0),IF($AD136&gt;=AJ$4,$AO136,0))</f>
        <v>0</v>
      </c>
      <c r="AK136" s="63">
        <f t="shared" ref="AK136:AK138" ca="1" si="467">IF($C136="あり",IF($AD136&gt;=AK$4,M136/$AQ136,0),IF($AD136&gt;=AK$4,$AO136,0))</f>
        <v>0</v>
      </c>
      <c r="AL136" s="63">
        <f ca="1">IF($C136="あり",IF($AD136&gt;=7,N136/$AQ136,0),IF($AD136&gt;=7,$AO136*($AD136-6),0))</f>
        <v>0</v>
      </c>
      <c r="AM136" s="64" t="s">
        <v>46</v>
      </c>
      <c r="AN136" s="63">
        <f ca="1">SUM(AE136:AM136)</f>
        <v>0</v>
      </c>
      <c r="AO136" s="68" t="e">
        <f ca="1">1/(AC136+AD136)</f>
        <v>#DIV/0!</v>
      </c>
      <c r="AP136" s="67">
        <v>0</v>
      </c>
      <c r="AQ136" s="68">
        <f ca="1">IF(AC136&gt;=1,G136,0)+SUMIF($H$4:$M$4,"&lt;="&amp;AD136,$H136:$M136)+IF(AD136&gt;=7,N136,0)</f>
        <v>0</v>
      </c>
    </row>
    <row r="137" spans="1:43" x14ac:dyDescent="0.15">
      <c r="A137" s="50"/>
      <c r="B137" s="50"/>
      <c r="C137" s="145">
        <f ca="1">OFFSET(①簡易状況入力!$C$5,MATCH(A135,①簡易状況入力!$C$5:$C$104,0)-1,19)</f>
        <v>0</v>
      </c>
      <c r="D137" s="148" t="s">
        <v>50</v>
      </c>
      <c r="E137" s="56">
        <f t="shared" ref="E137" ca="1" si="468">E136</f>
        <v>0</v>
      </c>
      <c r="F137" s="56">
        <f ca="1">F136</f>
        <v>0</v>
      </c>
      <c r="G137" s="104"/>
      <c r="H137" s="104"/>
      <c r="I137" s="104"/>
      <c r="J137" s="104"/>
      <c r="K137" s="104"/>
      <c r="L137" s="104"/>
      <c r="M137" s="104"/>
      <c r="N137" s="104"/>
      <c r="O137" s="106"/>
      <c r="Q137" s="50"/>
      <c r="R137" s="58"/>
      <c r="S137" s="165" t="s">
        <v>28</v>
      </c>
      <c r="T137" s="146" t="s">
        <v>35</v>
      </c>
      <c r="U137" s="35">
        <f ca="1">OFFSET(①簡易状況入力!$C$5,MATCH(A135,①簡易状況入力!$C$5:$C$104,0)-1,2)</f>
        <v>0</v>
      </c>
      <c r="V137" s="58"/>
      <c r="W137" s="146" t="s">
        <v>33</v>
      </c>
      <c r="X137" s="37">
        <f ca="1">OFFSET(①簡易状況入力!$C$5,MATCH(A135,①簡易状況入力!$C$5:$C$104,0)-1,6)</f>
        <v>0</v>
      </c>
      <c r="Y137" s="149">
        <f ca="1">OFFSET(①簡易状況入力!$C$5,MATCH(A135,①簡易状況入力!$C$5:$C$104,0)-1,11)</f>
        <v>0</v>
      </c>
      <c r="Z137" s="167">
        <f ca="1">OFFSET(①簡易状況入力!$C$5,MATCH(A135,①簡易状況入力!$C$5:$C$104,0)-1,12)</f>
        <v>0</v>
      </c>
      <c r="AA137" s="168"/>
      <c r="AB137" s="148" t="s">
        <v>50</v>
      </c>
      <c r="AC137" s="56">
        <f t="shared" ref="AC137:AD137" ca="1" si="469">AC136</f>
        <v>0</v>
      </c>
      <c r="AD137" s="56">
        <f t="shared" ca="1" si="469"/>
        <v>0</v>
      </c>
      <c r="AE137" s="63">
        <f ca="1">IF($C137="あり",IF(AC137&gt;=1,G137/AQ137,0),IF(AC137&gt;=1,AO137*AC137,0))</f>
        <v>0</v>
      </c>
      <c r="AF137" s="63">
        <f t="shared" ca="1" si="462"/>
        <v>0</v>
      </c>
      <c r="AG137" s="63">
        <f t="shared" ca="1" si="463"/>
        <v>0</v>
      </c>
      <c r="AH137" s="63">
        <f t="shared" ca="1" si="464"/>
        <v>0</v>
      </c>
      <c r="AI137" s="63">
        <f t="shared" ca="1" si="465"/>
        <v>0</v>
      </c>
      <c r="AJ137" s="63">
        <f t="shared" ca="1" si="466"/>
        <v>0</v>
      </c>
      <c r="AK137" s="63">
        <f t="shared" ca="1" si="467"/>
        <v>0</v>
      </c>
      <c r="AL137" s="63">
        <f ca="1">IF($C137="あり",IF($AD137&gt;=7,N137/$AQ137,0),IF($AD137&gt;=7,$AO137*($AD137-6),0))</f>
        <v>0</v>
      </c>
      <c r="AM137" s="65">
        <f ca="1">IF(C137="あり",O137/AQ137,AP137)</f>
        <v>0</v>
      </c>
      <c r="AN137" s="63">
        <f ca="1">SUM(AE137:AM137)</f>
        <v>0</v>
      </c>
      <c r="AO137" s="68" t="e">
        <f ca="1">1/(AC137+AD137)</f>
        <v>#DIV/0!</v>
      </c>
      <c r="AP137" s="67">
        <v>0</v>
      </c>
      <c r="AQ137" s="68">
        <f ca="1">IF(AC137&gt;=1,G137,0)+SUMIF($H$4:$M$4,"&lt;="&amp;AD137,$H137:$M137)+IF(AD137&gt;=7,N137,0)+O137</f>
        <v>0</v>
      </c>
    </row>
    <row r="138" spans="1:43" x14ac:dyDescent="0.15">
      <c r="A138" s="50"/>
      <c r="B138" s="50"/>
      <c r="C138" s="145">
        <f ca="1">OFFSET(①簡易状況入力!$C$5,MATCH(A135,①簡易状況入力!$C$5:$C$104,0)-1,20)</f>
        <v>0</v>
      </c>
      <c r="D138" s="148" t="s">
        <v>51</v>
      </c>
      <c r="E138" s="56">
        <f t="shared" ref="E138:F138" ca="1" si="470">E137</f>
        <v>0</v>
      </c>
      <c r="F138" s="56">
        <f t="shared" ca="1" si="470"/>
        <v>0</v>
      </c>
      <c r="G138" s="104"/>
      <c r="H138" s="104"/>
      <c r="I138" s="104"/>
      <c r="J138" s="104"/>
      <c r="K138" s="104"/>
      <c r="L138" s="104"/>
      <c r="M138" s="104"/>
      <c r="N138" s="104"/>
      <c r="O138" s="106"/>
      <c r="Q138" s="50"/>
      <c r="R138" s="58"/>
      <c r="S138" s="166"/>
      <c r="T138" s="146" t="s">
        <v>34</v>
      </c>
      <c r="U138" s="35">
        <f ca="1">OFFSET(①簡易状況入力!$C$5,MATCH(A135,①簡易状況入力!$C$5:$C$104,0)-1,3)</f>
        <v>0</v>
      </c>
      <c r="V138" s="58"/>
      <c r="W138" s="146" t="s">
        <v>118</v>
      </c>
      <c r="X138" s="37">
        <f ca="1">OFFSET(①簡易状況入力!$C$5,MATCH(A135,①簡易状況入力!$C$5:$C$104,0)-1,7)</f>
        <v>0</v>
      </c>
      <c r="Y138" s="149">
        <f ca="1">OFFSET(①簡易状況入力!$C$5,MATCH(A135,①簡易状況入力!$C$5:$C$104,0)-1,13)</f>
        <v>0</v>
      </c>
      <c r="Z138" s="167">
        <f ca="1">OFFSET(①簡易状況入力!$C$5,MATCH(A135,①簡易状況入力!$C$5:$C$104,0)-1,14)</f>
        <v>0</v>
      </c>
      <c r="AA138" s="168"/>
      <c r="AB138" s="148" t="s">
        <v>51</v>
      </c>
      <c r="AC138" s="56">
        <f t="shared" ref="AC138:AD138" ca="1" si="471">AC137</f>
        <v>0</v>
      </c>
      <c r="AD138" s="56">
        <f t="shared" ca="1" si="471"/>
        <v>0</v>
      </c>
      <c r="AE138" s="63">
        <f ca="1">IF($C138="あり",IF(AC138&gt;=1,G138/AQ138,0),IF(AC138&gt;=1,AO138*AC138,0))</f>
        <v>0</v>
      </c>
      <c r="AF138" s="63">
        <f t="shared" ca="1" si="462"/>
        <v>0</v>
      </c>
      <c r="AG138" s="63">
        <f t="shared" ca="1" si="463"/>
        <v>0</v>
      </c>
      <c r="AH138" s="63">
        <f t="shared" ca="1" si="464"/>
        <v>0</v>
      </c>
      <c r="AI138" s="63">
        <f t="shared" ca="1" si="465"/>
        <v>0</v>
      </c>
      <c r="AJ138" s="63">
        <f t="shared" ca="1" si="466"/>
        <v>0</v>
      </c>
      <c r="AK138" s="63">
        <f t="shared" ca="1" si="467"/>
        <v>0</v>
      </c>
      <c r="AL138" s="63">
        <f ca="1">IF($C138="あり",IF($AD138&gt;=7,N138/$AQ138,0),IF($AD138&gt;=7,$AO138*($AD138-6),0))</f>
        <v>0</v>
      </c>
      <c r="AM138" s="65">
        <f ca="1">IF(C138="あり",O138/AQ138,AP138)</f>
        <v>0</v>
      </c>
      <c r="AN138" s="63">
        <f ca="1">SUM(AE138:AM138)</f>
        <v>0</v>
      </c>
      <c r="AO138" s="68" t="e">
        <f ca="1">1/(AC138+AD138)</f>
        <v>#DIV/0!</v>
      </c>
      <c r="AP138" s="67">
        <v>0</v>
      </c>
      <c r="AQ138" s="68">
        <f ca="1">IF(AC138&gt;=1,G138,0)+SUMIF($H$4:$M$4,"&lt;="&amp;AD138,$H138:$M138)+IF(AD138&gt;=7,N138,0)+O138</f>
        <v>0</v>
      </c>
    </row>
    <row r="139" spans="1:43" x14ac:dyDescent="0.15">
      <c r="G139" s="107"/>
      <c r="H139" s="107"/>
      <c r="I139" s="107"/>
      <c r="J139" s="107"/>
      <c r="K139" s="107"/>
      <c r="L139" s="107"/>
      <c r="M139" s="107"/>
      <c r="N139" s="107"/>
      <c r="O139" s="107"/>
    </row>
    <row r="140" spans="1:43" x14ac:dyDescent="0.15">
      <c r="A140" s="59" t="s">
        <v>343</v>
      </c>
      <c r="B140" s="60">
        <f ca="1">OFFSET(①簡易状況入力!$C$5,MATCH(A140,①簡易状況入力!$C$5:$C$104,0)-1,1)</f>
        <v>0</v>
      </c>
      <c r="C140" s="145">
        <f ca="1">OFFSET(①簡易状況入力!$C$5,MATCH(A140,①簡易状況入力!$C$5:$C$104,0)-1,17)</f>
        <v>0</v>
      </c>
      <c r="D140" s="148" t="s">
        <v>47</v>
      </c>
      <c r="E140" s="56">
        <f ca="1">U143</f>
        <v>0</v>
      </c>
      <c r="F140" s="56">
        <f ca="1">U142</f>
        <v>0</v>
      </c>
      <c r="G140" s="102"/>
      <c r="H140" s="103"/>
      <c r="I140" s="103"/>
      <c r="J140" s="103"/>
      <c r="K140" s="103"/>
      <c r="L140" s="103"/>
      <c r="M140" s="103"/>
      <c r="N140" s="103"/>
      <c r="O140" s="103"/>
      <c r="Q140" s="57">
        <f ca="1">OFFSET(①簡易状況入力!$C$5,MATCH(A140,①簡易状況入力!$C$5:$C$104,0)-1,15)</f>
        <v>0</v>
      </c>
      <c r="R140" s="58"/>
      <c r="S140" s="58"/>
      <c r="T140" s="58"/>
      <c r="U140" s="58"/>
      <c r="V140" s="58"/>
      <c r="W140" s="58"/>
      <c r="X140" s="58"/>
      <c r="Y140" s="58"/>
      <c r="Z140" s="58"/>
      <c r="AA140" s="58"/>
      <c r="AB140" s="148" t="s">
        <v>47</v>
      </c>
      <c r="AC140" s="56">
        <f ca="1">U143</f>
        <v>0</v>
      </c>
      <c r="AD140" s="56">
        <f ca="1">U142</f>
        <v>0</v>
      </c>
      <c r="AE140" s="62" t="s">
        <v>46</v>
      </c>
      <c r="AF140" s="62" t="str">
        <f t="shared" ref="AF140" ca="1" si="472">IF($C140="あり",IF(AF$4&lt;=$AD140,H140,"-"),IF(AF$4&lt;=$AD140,$AO140,"-"))</f>
        <v>-</v>
      </c>
      <c r="AG140" s="62" t="str">
        <f t="shared" ref="AG140" ca="1" si="473">IF($C140="あり",IF(AG$4&lt;=$AD140,I140,"-"),IF(AG$4&lt;=$AD140,$AO140,"-"))</f>
        <v>-</v>
      </c>
      <c r="AH140" s="62" t="str">
        <f t="shared" ref="AH140" ca="1" si="474">IF($C140="あり",IF(AH$4&lt;=$AD140,J140,"-"),IF(AH$4&lt;=$AD140,$AO140,"-"))</f>
        <v>-</v>
      </c>
      <c r="AI140" s="62" t="str">
        <f t="shared" ref="AI140" ca="1" si="475">IF($C140="あり",IF(AI$4&lt;=$AD140,K140,"-"),IF(AI$4&lt;=$AD140,$AO140,"-"))</f>
        <v>-</v>
      </c>
      <c r="AJ140" s="62" t="str">
        <f t="shared" ref="AJ140" ca="1" si="476">IF($C140="あり",IF(AJ$4&lt;=$AD140,L140,"-"),IF(AJ$4&lt;=$AD140,$AO140,"-"))</f>
        <v>-</v>
      </c>
      <c r="AK140" s="62" t="str">
        <f t="shared" ref="AK140" ca="1" si="477">IF($C140="あり",IF(AK$4&lt;=$AD140,M140,"-"),IF(AK$4&lt;=$AD140,$AO140,"-"))</f>
        <v>-</v>
      </c>
      <c r="AL140" s="62" t="str">
        <f ca="1">IF($C140="あり",IF(7&lt;=$AD140,N140,"-"),IF(7&lt;=$AD140,$AO140*($AD140-6),"-"))</f>
        <v>-</v>
      </c>
      <c r="AM140" s="62">
        <f ca="1">IF(C140="あり",O140,AP140)</f>
        <v>0</v>
      </c>
      <c r="AN140" s="62">
        <f ca="1">SUM(U141,AF140:AM140)</f>
        <v>0</v>
      </c>
      <c r="AO140" s="42">
        <f ca="1">OFFSET(【DB】被害率係数!$A$4,MATCH(②詳細状況入力!$Y141,【DB】被害率係数!$A$4:$A$19,0)-1,16)</f>
        <v>0</v>
      </c>
      <c r="AP140" s="42">
        <f ca="1">OFFSET(【DB】被害率係数!$A$4,MATCH(②詳細状況入力!$Y141,【DB】被害率係数!$A$4:$A$19,0)-1,17)</f>
        <v>0</v>
      </c>
      <c r="AQ140" s="42"/>
    </row>
    <row r="141" spans="1:43" x14ac:dyDescent="0.15">
      <c r="A141" s="50"/>
      <c r="B141" s="50"/>
      <c r="C141" s="145">
        <f ca="1">OFFSET(①簡易状況入力!$C$5,MATCH(A140,①簡易状況入力!$C$5:$C$104,0)-1,18)</f>
        <v>0</v>
      </c>
      <c r="D141" s="148" t="s">
        <v>52</v>
      </c>
      <c r="E141" s="56">
        <f t="shared" ref="E141:F141" ca="1" si="478">E140</f>
        <v>0</v>
      </c>
      <c r="F141" s="56">
        <f t="shared" ca="1" si="478"/>
        <v>0</v>
      </c>
      <c r="G141" s="104"/>
      <c r="H141" s="104"/>
      <c r="I141" s="104"/>
      <c r="J141" s="104"/>
      <c r="K141" s="104"/>
      <c r="L141" s="104"/>
      <c r="M141" s="104"/>
      <c r="N141" s="104"/>
      <c r="O141" s="105"/>
      <c r="Q141" s="57">
        <f ca="1">OFFSET(①簡易状況入力!$C$5,MATCH(A140,①簡易状況入力!$C$5:$C$104,0)-1,16)</f>
        <v>0</v>
      </c>
      <c r="R141" s="58"/>
      <c r="S141" s="146" t="s">
        <v>115</v>
      </c>
      <c r="T141" s="146" t="s">
        <v>116</v>
      </c>
      <c r="U141" s="36">
        <f ca="1">OFFSET(①簡易状況入力!$C$5,MATCH(A140,①簡易状況入力!$C$5:$C$104,0)-1,4)</f>
        <v>0</v>
      </c>
      <c r="V141" s="58"/>
      <c r="W141" s="146" t="s">
        <v>30</v>
      </c>
      <c r="X141" s="37">
        <f ca="1">OFFSET(①簡易状況入力!$C$5,MATCH(A140,①簡易状況入力!$C$5:$C$104,0)-1,5)</f>
        <v>0</v>
      </c>
      <c r="Y141" s="149">
        <f ca="1">OFFSET(①簡易状況入力!$C$5,MATCH(A140,①簡易状況入力!$C$5:$C$104,0)-1,8)</f>
        <v>0</v>
      </c>
      <c r="Z141" s="149">
        <f ca="1">OFFSET(①簡易状況入力!$C$5,MATCH(A140,①簡易状況入力!$C$5:$C$104,0)-1,9)</f>
        <v>0</v>
      </c>
      <c r="AA141" s="149">
        <f ca="1">OFFSET(①簡易状況入力!$C$5,MATCH(A140,①簡易状況入力!$C$5:$C$104,0)-1,10)</f>
        <v>0</v>
      </c>
      <c r="AB141" s="148" t="s">
        <v>52</v>
      </c>
      <c r="AC141" s="56">
        <f t="shared" ref="AC141:AD141" ca="1" si="479">AC140</f>
        <v>0</v>
      </c>
      <c r="AD141" s="56">
        <f t="shared" ca="1" si="479"/>
        <v>0</v>
      </c>
      <c r="AE141" s="63">
        <f ca="1">IF($C141="あり",IF(AC141&gt;=1,G141/AQ141,0),IF(AC141&gt;=1,AO141*AC141,0))</f>
        <v>0</v>
      </c>
      <c r="AF141" s="63">
        <f t="shared" ref="AF141:AF143" ca="1" si="480">IF($C141="あり",IF($AD141&gt;=AF$4,H141/$AQ141,0),IF($AD141&gt;=AF$4,$AO141,0))</f>
        <v>0</v>
      </c>
      <c r="AG141" s="63">
        <f t="shared" ref="AG141:AG143" ca="1" si="481">IF($C141="あり",IF($AD141&gt;=AG$4,I141/$AQ141,0),IF($AD141&gt;=AG$4,$AO141,0))</f>
        <v>0</v>
      </c>
      <c r="AH141" s="63">
        <f t="shared" ref="AH141:AH143" ca="1" si="482">IF($C141="あり",IF($AD141&gt;=AH$4,J141/$AQ141,0),IF($AD141&gt;=AH$4,$AO141,0))</f>
        <v>0</v>
      </c>
      <c r="AI141" s="63">
        <f t="shared" ref="AI141:AI143" ca="1" si="483">IF($C141="あり",IF($AD141&gt;=AI$4,K141/$AQ141,0),IF($AD141&gt;=AI$4,$AO141,0))</f>
        <v>0</v>
      </c>
      <c r="AJ141" s="63">
        <f t="shared" ref="AJ141:AJ143" ca="1" si="484">IF($C141="あり",IF($AD141&gt;=AJ$4,L141/$AQ141,0),IF($AD141&gt;=AJ$4,$AO141,0))</f>
        <v>0</v>
      </c>
      <c r="AK141" s="63">
        <f t="shared" ref="AK141:AK143" ca="1" si="485">IF($C141="あり",IF($AD141&gt;=AK$4,M141/$AQ141,0),IF($AD141&gt;=AK$4,$AO141,0))</f>
        <v>0</v>
      </c>
      <c r="AL141" s="63">
        <f ca="1">IF($C141="あり",IF($AD141&gt;=7,N141/$AQ141,0),IF($AD141&gt;=7,$AO141*($AD141-6),0))</f>
        <v>0</v>
      </c>
      <c r="AM141" s="64" t="s">
        <v>46</v>
      </c>
      <c r="AN141" s="63">
        <f ca="1">SUM(AE141:AM141)</f>
        <v>0</v>
      </c>
      <c r="AO141" s="68" t="e">
        <f ca="1">1/(AC141+AD141)</f>
        <v>#DIV/0!</v>
      </c>
      <c r="AP141" s="67">
        <v>0</v>
      </c>
      <c r="AQ141" s="68">
        <f ca="1">IF(AC141&gt;=1,G141,0)+SUMIF($H$4:$M$4,"&lt;="&amp;AD141,$H141:$M141)+IF(AD141&gt;=7,N141,0)</f>
        <v>0</v>
      </c>
    </row>
    <row r="142" spans="1:43" x14ac:dyDescent="0.15">
      <c r="A142" s="50"/>
      <c r="B142" s="50"/>
      <c r="C142" s="145">
        <f ca="1">OFFSET(①簡易状況入力!$C$5,MATCH(A140,①簡易状況入力!$C$5:$C$104,0)-1,19)</f>
        <v>0</v>
      </c>
      <c r="D142" s="148" t="s">
        <v>50</v>
      </c>
      <c r="E142" s="56">
        <f t="shared" ref="E142" ca="1" si="486">E141</f>
        <v>0</v>
      </c>
      <c r="F142" s="56">
        <f ca="1">F141</f>
        <v>0</v>
      </c>
      <c r="G142" s="104"/>
      <c r="H142" s="104"/>
      <c r="I142" s="104"/>
      <c r="J142" s="104"/>
      <c r="K142" s="104"/>
      <c r="L142" s="104"/>
      <c r="M142" s="104"/>
      <c r="N142" s="104"/>
      <c r="O142" s="106"/>
      <c r="Q142" s="50"/>
      <c r="R142" s="58"/>
      <c r="S142" s="165" t="s">
        <v>28</v>
      </c>
      <c r="T142" s="146" t="s">
        <v>35</v>
      </c>
      <c r="U142" s="35">
        <f ca="1">OFFSET(①簡易状況入力!$C$5,MATCH(A140,①簡易状況入力!$C$5:$C$104,0)-1,2)</f>
        <v>0</v>
      </c>
      <c r="V142" s="58"/>
      <c r="W142" s="146" t="s">
        <v>33</v>
      </c>
      <c r="X142" s="37">
        <f ca="1">OFFSET(①簡易状況入力!$C$5,MATCH(A140,①簡易状況入力!$C$5:$C$104,0)-1,6)</f>
        <v>0</v>
      </c>
      <c r="Y142" s="149">
        <f ca="1">OFFSET(①簡易状況入力!$C$5,MATCH(A140,①簡易状況入力!$C$5:$C$104,0)-1,11)</f>
        <v>0</v>
      </c>
      <c r="Z142" s="167">
        <f ca="1">OFFSET(①簡易状況入力!$C$5,MATCH(A140,①簡易状況入力!$C$5:$C$104,0)-1,12)</f>
        <v>0</v>
      </c>
      <c r="AA142" s="168"/>
      <c r="AB142" s="148" t="s">
        <v>50</v>
      </c>
      <c r="AC142" s="56">
        <f t="shared" ref="AC142:AD142" ca="1" si="487">AC141</f>
        <v>0</v>
      </c>
      <c r="AD142" s="56">
        <f t="shared" ca="1" si="487"/>
        <v>0</v>
      </c>
      <c r="AE142" s="63">
        <f ca="1">IF($C142="あり",IF(AC142&gt;=1,G142/AQ142,0),IF(AC142&gt;=1,AO142*AC142,0))</f>
        <v>0</v>
      </c>
      <c r="AF142" s="63">
        <f t="shared" ca="1" si="480"/>
        <v>0</v>
      </c>
      <c r="AG142" s="63">
        <f t="shared" ca="1" si="481"/>
        <v>0</v>
      </c>
      <c r="AH142" s="63">
        <f t="shared" ca="1" si="482"/>
        <v>0</v>
      </c>
      <c r="AI142" s="63">
        <f t="shared" ca="1" si="483"/>
        <v>0</v>
      </c>
      <c r="AJ142" s="63">
        <f t="shared" ca="1" si="484"/>
        <v>0</v>
      </c>
      <c r="AK142" s="63">
        <f t="shared" ca="1" si="485"/>
        <v>0</v>
      </c>
      <c r="AL142" s="63">
        <f ca="1">IF($C142="あり",IF($AD142&gt;=7,N142/$AQ142,0),IF($AD142&gt;=7,$AO142*($AD142-6),0))</f>
        <v>0</v>
      </c>
      <c r="AM142" s="65">
        <f ca="1">IF(C142="あり",O142/AQ142,AP142)</f>
        <v>0</v>
      </c>
      <c r="AN142" s="63">
        <f ca="1">SUM(AE142:AM142)</f>
        <v>0</v>
      </c>
      <c r="AO142" s="68" t="e">
        <f ca="1">1/(AC142+AD142)</f>
        <v>#DIV/0!</v>
      </c>
      <c r="AP142" s="67">
        <v>0</v>
      </c>
      <c r="AQ142" s="68">
        <f ca="1">IF(AC142&gt;=1,G142,0)+SUMIF($H$4:$M$4,"&lt;="&amp;AD142,$H142:$M142)+IF(AD142&gt;=7,N142,0)+O142</f>
        <v>0</v>
      </c>
    </row>
    <row r="143" spans="1:43" x14ac:dyDescent="0.15">
      <c r="A143" s="50"/>
      <c r="B143" s="50"/>
      <c r="C143" s="145">
        <f ca="1">OFFSET(①簡易状況入力!$C$5,MATCH(A140,①簡易状況入力!$C$5:$C$104,0)-1,20)</f>
        <v>0</v>
      </c>
      <c r="D143" s="148" t="s">
        <v>51</v>
      </c>
      <c r="E143" s="56">
        <f t="shared" ref="E143:F143" ca="1" si="488">E142</f>
        <v>0</v>
      </c>
      <c r="F143" s="56">
        <f t="shared" ca="1" si="488"/>
        <v>0</v>
      </c>
      <c r="G143" s="104"/>
      <c r="H143" s="104"/>
      <c r="I143" s="104"/>
      <c r="J143" s="104"/>
      <c r="K143" s="104"/>
      <c r="L143" s="104"/>
      <c r="M143" s="104"/>
      <c r="N143" s="104"/>
      <c r="O143" s="106"/>
      <c r="Q143" s="50"/>
      <c r="R143" s="58"/>
      <c r="S143" s="166"/>
      <c r="T143" s="146" t="s">
        <v>34</v>
      </c>
      <c r="U143" s="35">
        <f ca="1">OFFSET(①簡易状況入力!$C$5,MATCH(A140,①簡易状況入力!$C$5:$C$104,0)-1,3)</f>
        <v>0</v>
      </c>
      <c r="V143" s="58"/>
      <c r="W143" s="146" t="s">
        <v>118</v>
      </c>
      <c r="X143" s="37">
        <f ca="1">OFFSET(①簡易状況入力!$C$5,MATCH(A140,①簡易状況入力!$C$5:$C$104,0)-1,7)</f>
        <v>0</v>
      </c>
      <c r="Y143" s="149">
        <f ca="1">OFFSET(①簡易状況入力!$C$5,MATCH(A140,①簡易状況入力!$C$5:$C$104,0)-1,13)</f>
        <v>0</v>
      </c>
      <c r="Z143" s="167">
        <f ca="1">OFFSET(①簡易状況入力!$C$5,MATCH(A140,①簡易状況入力!$C$5:$C$104,0)-1,14)</f>
        <v>0</v>
      </c>
      <c r="AA143" s="168"/>
      <c r="AB143" s="148" t="s">
        <v>51</v>
      </c>
      <c r="AC143" s="56">
        <f t="shared" ref="AC143:AD143" ca="1" si="489">AC142</f>
        <v>0</v>
      </c>
      <c r="AD143" s="56">
        <f t="shared" ca="1" si="489"/>
        <v>0</v>
      </c>
      <c r="AE143" s="63">
        <f ca="1">IF($C143="あり",IF(AC143&gt;=1,G143/AQ143,0),IF(AC143&gt;=1,AO143*AC143,0))</f>
        <v>0</v>
      </c>
      <c r="AF143" s="63">
        <f t="shared" ca="1" si="480"/>
        <v>0</v>
      </c>
      <c r="AG143" s="63">
        <f t="shared" ca="1" si="481"/>
        <v>0</v>
      </c>
      <c r="AH143" s="63">
        <f t="shared" ca="1" si="482"/>
        <v>0</v>
      </c>
      <c r="AI143" s="63">
        <f t="shared" ca="1" si="483"/>
        <v>0</v>
      </c>
      <c r="AJ143" s="63">
        <f t="shared" ca="1" si="484"/>
        <v>0</v>
      </c>
      <c r="AK143" s="63">
        <f t="shared" ca="1" si="485"/>
        <v>0</v>
      </c>
      <c r="AL143" s="63">
        <f ca="1">IF($C143="あり",IF($AD143&gt;=7,N143/$AQ143,0),IF($AD143&gt;=7,$AO143*($AD143-6),0))</f>
        <v>0</v>
      </c>
      <c r="AM143" s="65">
        <f ca="1">IF(C143="あり",O143/AQ143,AP143)</f>
        <v>0</v>
      </c>
      <c r="AN143" s="63">
        <f ca="1">SUM(AE143:AM143)</f>
        <v>0</v>
      </c>
      <c r="AO143" s="68" t="e">
        <f ca="1">1/(AC143+AD143)</f>
        <v>#DIV/0!</v>
      </c>
      <c r="AP143" s="67">
        <v>0</v>
      </c>
      <c r="AQ143" s="68">
        <f ca="1">IF(AC143&gt;=1,G143,0)+SUMIF($H$4:$M$4,"&lt;="&amp;AD143,$H143:$M143)+IF(AD143&gt;=7,N143,0)+O143</f>
        <v>0</v>
      </c>
    </row>
    <row r="144" spans="1:43" x14ac:dyDescent="0.15">
      <c r="G144" s="107"/>
      <c r="H144" s="107"/>
      <c r="I144" s="107"/>
      <c r="J144" s="107"/>
      <c r="K144" s="107"/>
      <c r="L144" s="107"/>
      <c r="M144" s="107"/>
      <c r="N144" s="107"/>
      <c r="O144" s="107"/>
    </row>
    <row r="145" spans="1:43" x14ac:dyDescent="0.15">
      <c r="A145" s="59" t="s">
        <v>344</v>
      </c>
      <c r="B145" s="60">
        <f ca="1">OFFSET(①簡易状況入力!$C$5,MATCH(A145,①簡易状況入力!$C$5:$C$104,0)-1,1)</f>
        <v>0</v>
      </c>
      <c r="C145" s="145">
        <f ca="1">OFFSET(①簡易状況入力!$C$5,MATCH(A145,①簡易状況入力!$C$5:$C$104,0)-1,17)</f>
        <v>0</v>
      </c>
      <c r="D145" s="148" t="s">
        <v>47</v>
      </c>
      <c r="E145" s="56">
        <f ca="1">U148</f>
        <v>0</v>
      </c>
      <c r="F145" s="56">
        <f ca="1">U147</f>
        <v>0</v>
      </c>
      <c r="G145" s="102"/>
      <c r="H145" s="103"/>
      <c r="I145" s="103"/>
      <c r="J145" s="103"/>
      <c r="K145" s="103"/>
      <c r="L145" s="103"/>
      <c r="M145" s="103"/>
      <c r="N145" s="103"/>
      <c r="O145" s="103"/>
      <c r="Q145" s="57">
        <f ca="1">OFFSET(①簡易状況入力!$C$5,MATCH(A145,①簡易状況入力!$C$5:$C$104,0)-1,15)</f>
        <v>0</v>
      </c>
      <c r="R145" s="58"/>
      <c r="S145" s="58"/>
      <c r="T145" s="58"/>
      <c r="U145" s="58"/>
      <c r="V145" s="58"/>
      <c r="W145" s="58"/>
      <c r="X145" s="58"/>
      <c r="Y145" s="58"/>
      <c r="Z145" s="58"/>
      <c r="AA145" s="58"/>
      <c r="AB145" s="148" t="s">
        <v>47</v>
      </c>
      <c r="AC145" s="56">
        <f ca="1">U148</f>
        <v>0</v>
      </c>
      <c r="AD145" s="56">
        <f ca="1">U147</f>
        <v>0</v>
      </c>
      <c r="AE145" s="62" t="s">
        <v>46</v>
      </c>
      <c r="AF145" s="62" t="str">
        <f t="shared" ref="AF145" ca="1" si="490">IF($C145="あり",IF(AF$4&lt;=$AD145,H145,"-"),IF(AF$4&lt;=$AD145,$AO145,"-"))</f>
        <v>-</v>
      </c>
      <c r="AG145" s="62" t="str">
        <f t="shared" ref="AG145" ca="1" si="491">IF($C145="あり",IF(AG$4&lt;=$AD145,I145,"-"),IF(AG$4&lt;=$AD145,$AO145,"-"))</f>
        <v>-</v>
      </c>
      <c r="AH145" s="62" t="str">
        <f t="shared" ref="AH145" ca="1" si="492">IF($C145="あり",IF(AH$4&lt;=$AD145,J145,"-"),IF(AH$4&lt;=$AD145,$AO145,"-"))</f>
        <v>-</v>
      </c>
      <c r="AI145" s="62" t="str">
        <f t="shared" ref="AI145" ca="1" si="493">IF($C145="あり",IF(AI$4&lt;=$AD145,K145,"-"),IF(AI$4&lt;=$AD145,$AO145,"-"))</f>
        <v>-</v>
      </c>
      <c r="AJ145" s="62" t="str">
        <f t="shared" ref="AJ145" ca="1" si="494">IF($C145="あり",IF(AJ$4&lt;=$AD145,L145,"-"),IF(AJ$4&lt;=$AD145,$AO145,"-"))</f>
        <v>-</v>
      </c>
      <c r="AK145" s="62" t="str">
        <f t="shared" ref="AK145" ca="1" si="495">IF($C145="あり",IF(AK$4&lt;=$AD145,M145,"-"),IF(AK$4&lt;=$AD145,$AO145,"-"))</f>
        <v>-</v>
      </c>
      <c r="AL145" s="62" t="str">
        <f ca="1">IF($C145="あり",IF(7&lt;=$AD145,N145,"-"),IF(7&lt;=$AD145,$AO145*($AD145-6),"-"))</f>
        <v>-</v>
      </c>
      <c r="AM145" s="62">
        <f ca="1">IF(C145="あり",O145,AP145)</f>
        <v>0</v>
      </c>
      <c r="AN145" s="62">
        <f ca="1">SUM(U146,AF145:AM145)</f>
        <v>0</v>
      </c>
      <c r="AO145" s="42">
        <f ca="1">OFFSET(【DB】被害率係数!$A$4,MATCH(②詳細状況入力!$Y146,【DB】被害率係数!$A$4:$A$19,0)-1,16)</f>
        <v>0</v>
      </c>
      <c r="AP145" s="42">
        <f ca="1">OFFSET(【DB】被害率係数!$A$4,MATCH(②詳細状況入力!$Y146,【DB】被害率係数!$A$4:$A$19,0)-1,17)</f>
        <v>0</v>
      </c>
      <c r="AQ145" s="42"/>
    </row>
    <row r="146" spans="1:43" x14ac:dyDescent="0.15">
      <c r="A146" s="50"/>
      <c r="B146" s="50"/>
      <c r="C146" s="145">
        <f ca="1">OFFSET(①簡易状況入力!$C$5,MATCH(A145,①簡易状況入力!$C$5:$C$104,0)-1,18)</f>
        <v>0</v>
      </c>
      <c r="D146" s="148" t="s">
        <v>52</v>
      </c>
      <c r="E146" s="56">
        <f t="shared" ref="E146:F146" ca="1" si="496">E145</f>
        <v>0</v>
      </c>
      <c r="F146" s="56">
        <f t="shared" ca="1" si="496"/>
        <v>0</v>
      </c>
      <c r="G146" s="104"/>
      <c r="H146" s="104"/>
      <c r="I146" s="104"/>
      <c r="J146" s="104"/>
      <c r="K146" s="104"/>
      <c r="L146" s="104"/>
      <c r="M146" s="104"/>
      <c r="N146" s="104"/>
      <c r="O146" s="105"/>
      <c r="Q146" s="57">
        <f ca="1">OFFSET(①簡易状況入力!$C$5,MATCH(A145,①簡易状況入力!$C$5:$C$104,0)-1,16)</f>
        <v>0</v>
      </c>
      <c r="R146" s="58"/>
      <c r="S146" s="146" t="s">
        <v>115</v>
      </c>
      <c r="T146" s="146" t="s">
        <v>116</v>
      </c>
      <c r="U146" s="36">
        <f ca="1">OFFSET(①簡易状況入力!$C$5,MATCH(A145,①簡易状況入力!$C$5:$C$104,0)-1,4)</f>
        <v>0</v>
      </c>
      <c r="V146" s="58"/>
      <c r="W146" s="146" t="s">
        <v>30</v>
      </c>
      <c r="X146" s="37">
        <f ca="1">OFFSET(①簡易状況入力!$C$5,MATCH(A145,①簡易状況入力!$C$5:$C$104,0)-1,5)</f>
        <v>0</v>
      </c>
      <c r="Y146" s="149">
        <f ca="1">OFFSET(①簡易状況入力!$C$5,MATCH(A145,①簡易状況入力!$C$5:$C$104,0)-1,8)</f>
        <v>0</v>
      </c>
      <c r="Z146" s="149">
        <f ca="1">OFFSET(①簡易状況入力!$C$5,MATCH(A145,①簡易状況入力!$C$5:$C$104,0)-1,9)</f>
        <v>0</v>
      </c>
      <c r="AA146" s="149">
        <f ca="1">OFFSET(①簡易状況入力!$C$5,MATCH(A145,①簡易状況入力!$C$5:$C$104,0)-1,10)</f>
        <v>0</v>
      </c>
      <c r="AB146" s="148" t="s">
        <v>52</v>
      </c>
      <c r="AC146" s="56">
        <f t="shared" ref="AC146:AD146" ca="1" si="497">AC145</f>
        <v>0</v>
      </c>
      <c r="AD146" s="56">
        <f t="shared" ca="1" si="497"/>
        <v>0</v>
      </c>
      <c r="AE146" s="63">
        <f ca="1">IF($C146="あり",IF(AC146&gt;=1,G146/AQ146,0),IF(AC146&gt;=1,AO146*AC146,0))</f>
        <v>0</v>
      </c>
      <c r="AF146" s="63">
        <f t="shared" ref="AF146:AF148" ca="1" si="498">IF($C146="あり",IF($AD146&gt;=AF$4,H146/$AQ146,0),IF($AD146&gt;=AF$4,$AO146,0))</f>
        <v>0</v>
      </c>
      <c r="AG146" s="63">
        <f t="shared" ref="AG146:AG148" ca="1" si="499">IF($C146="あり",IF($AD146&gt;=AG$4,I146/$AQ146,0),IF($AD146&gt;=AG$4,$AO146,0))</f>
        <v>0</v>
      </c>
      <c r="AH146" s="63">
        <f t="shared" ref="AH146:AH148" ca="1" si="500">IF($C146="あり",IF($AD146&gt;=AH$4,J146/$AQ146,0),IF($AD146&gt;=AH$4,$AO146,0))</f>
        <v>0</v>
      </c>
      <c r="AI146" s="63">
        <f t="shared" ref="AI146:AI148" ca="1" si="501">IF($C146="あり",IF($AD146&gt;=AI$4,K146/$AQ146,0),IF($AD146&gt;=AI$4,$AO146,0))</f>
        <v>0</v>
      </c>
      <c r="AJ146" s="63">
        <f t="shared" ref="AJ146:AJ148" ca="1" si="502">IF($C146="あり",IF($AD146&gt;=AJ$4,L146/$AQ146,0),IF($AD146&gt;=AJ$4,$AO146,0))</f>
        <v>0</v>
      </c>
      <c r="AK146" s="63">
        <f t="shared" ref="AK146:AK148" ca="1" si="503">IF($C146="あり",IF($AD146&gt;=AK$4,M146/$AQ146,0),IF($AD146&gt;=AK$4,$AO146,0))</f>
        <v>0</v>
      </c>
      <c r="AL146" s="63">
        <f ca="1">IF($C146="あり",IF($AD146&gt;=7,N146/$AQ146,0),IF($AD146&gt;=7,$AO146*($AD146-6),0))</f>
        <v>0</v>
      </c>
      <c r="AM146" s="64" t="s">
        <v>46</v>
      </c>
      <c r="AN146" s="63">
        <f ca="1">SUM(AE146:AM146)</f>
        <v>0</v>
      </c>
      <c r="AO146" s="68" t="e">
        <f ca="1">1/(AC146+AD146)</f>
        <v>#DIV/0!</v>
      </c>
      <c r="AP146" s="67">
        <v>0</v>
      </c>
      <c r="AQ146" s="68">
        <f ca="1">IF(AC146&gt;=1,G146,0)+SUMIF($H$4:$M$4,"&lt;="&amp;AD146,$H146:$M146)+IF(AD146&gt;=7,N146,0)</f>
        <v>0</v>
      </c>
    </row>
    <row r="147" spans="1:43" x14ac:dyDescent="0.15">
      <c r="A147" s="50"/>
      <c r="B147" s="50"/>
      <c r="C147" s="145">
        <f ca="1">OFFSET(①簡易状況入力!$C$5,MATCH(A145,①簡易状況入力!$C$5:$C$104,0)-1,19)</f>
        <v>0</v>
      </c>
      <c r="D147" s="148" t="s">
        <v>50</v>
      </c>
      <c r="E147" s="56">
        <f t="shared" ref="E147" ca="1" si="504">E146</f>
        <v>0</v>
      </c>
      <c r="F147" s="56">
        <f ca="1">F146</f>
        <v>0</v>
      </c>
      <c r="G147" s="104"/>
      <c r="H147" s="104"/>
      <c r="I147" s="104"/>
      <c r="J147" s="104"/>
      <c r="K147" s="104"/>
      <c r="L147" s="104"/>
      <c r="M147" s="104"/>
      <c r="N147" s="104"/>
      <c r="O147" s="106"/>
      <c r="Q147" s="50"/>
      <c r="R147" s="58"/>
      <c r="S147" s="165" t="s">
        <v>28</v>
      </c>
      <c r="T147" s="146" t="s">
        <v>35</v>
      </c>
      <c r="U147" s="35">
        <f ca="1">OFFSET(①簡易状況入力!$C$5,MATCH(A145,①簡易状況入力!$C$5:$C$104,0)-1,2)</f>
        <v>0</v>
      </c>
      <c r="V147" s="58"/>
      <c r="W147" s="146" t="s">
        <v>33</v>
      </c>
      <c r="X147" s="37">
        <f ca="1">OFFSET(①簡易状況入力!$C$5,MATCH(A145,①簡易状況入力!$C$5:$C$104,0)-1,6)</f>
        <v>0</v>
      </c>
      <c r="Y147" s="149">
        <f ca="1">OFFSET(①簡易状況入力!$C$5,MATCH(A145,①簡易状況入力!$C$5:$C$104,0)-1,11)</f>
        <v>0</v>
      </c>
      <c r="Z147" s="167">
        <f ca="1">OFFSET(①簡易状況入力!$C$5,MATCH(A145,①簡易状況入力!$C$5:$C$104,0)-1,12)</f>
        <v>0</v>
      </c>
      <c r="AA147" s="168"/>
      <c r="AB147" s="148" t="s">
        <v>50</v>
      </c>
      <c r="AC147" s="56">
        <f t="shared" ref="AC147:AD147" ca="1" si="505">AC146</f>
        <v>0</v>
      </c>
      <c r="AD147" s="56">
        <f t="shared" ca="1" si="505"/>
        <v>0</v>
      </c>
      <c r="AE147" s="63">
        <f ca="1">IF($C147="あり",IF(AC147&gt;=1,G147/AQ147,0),IF(AC147&gt;=1,AO147*AC147,0))</f>
        <v>0</v>
      </c>
      <c r="AF147" s="63">
        <f t="shared" ca="1" si="498"/>
        <v>0</v>
      </c>
      <c r="AG147" s="63">
        <f t="shared" ca="1" si="499"/>
        <v>0</v>
      </c>
      <c r="AH147" s="63">
        <f t="shared" ca="1" si="500"/>
        <v>0</v>
      </c>
      <c r="AI147" s="63">
        <f t="shared" ca="1" si="501"/>
        <v>0</v>
      </c>
      <c r="AJ147" s="63">
        <f t="shared" ca="1" si="502"/>
        <v>0</v>
      </c>
      <c r="AK147" s="63">
        <f t="shared" ca="1" si="503"/>
        <v>0</v>
      </c>
      <c r="AL147" s="63">
        <f ca="1">IF($C147="あり",IF($AD147&gt;=7,N147/$AQ147,0),IF($AD147&gt;=7,$AO147*($AD147-6),0))</f>
        <v>0</v>
      </c>
      <c r="AM147" s="65">
        <f ca="1">IF(C147="あり",O147/AQ147,AP147)</f>
        <v>0</v>
      </c>
      <c r="AN147" s="63">
        <f ca="1">SUM(AE147:AM147)</f>
        <v>0</v>
      </c>
      <c r="AO147" s="68" t="e">
        <f ca="1">1/(AC147+AD147)</f>
        <v>#DIV/0!</v>
      </c>
      <c r="AP147" s="67">
        <v>0</v>
      </c>
      <c r="AQ147" s="68">
        <f ca="1">IF(AC147&gt;=1,G147,0)+SUMIF($H$4:$M$4,"&lt;="&amp;AD147,$H147:$M147)+IF(AD147&gt;=7,N147,0)+O147</f>
        <v>0</v>
      </c>
    </row>
    <row r="148" spans="1:43" x14ac:dyDescent="0.15">
      <c r="A148" s="50"/>
      <c r="B148" s="50"/>
      <c r="C148" s="145">
        <f ca="1">OFFSET(①簡易状況入力!$C$5,MATCH(A145,①簡易状況入力!$C$5:$C$104,0)-1,20)</f>
        <v>0</v>
      </c>
      <c r="D148" s="148" t="s">
        <v>51</v>
      </c>
      <c r="E148" s="56">
        <f t="shared" ref="E148:F148" ca="1" si="506">E147</f>
        <v>0</v>
      </c>
      <c r="F148" s="56">
        <f t="shared" ca="1" si="506"/>
        <v>0</v>
      </c>
      <c r="G148" s="104"/>
      <c r="H148" s="104"/>
      <c r="I148" s="104"/>
      <c r="J148" s="104"/>
      <c r="K148" s="104"/>
      <c r="L148" s="104"/>
      <c r="M148" s="104"/>
      <c r="N148" s="104"/>
      <c r="O148" s="106"/>
      <c r="Q148" s="50"/>
      <c r="R148" s="58"/>
      <c r="S148" s="166"/>
      <c r="T148" s="146" t="s">
        <v>34</v>
      </c>
      <c r="U148" s="35">
        <f ca="1">OFFSET(①簡易状況入力!$C$5,MATCH(A145,①簡易状況入力!$C$5:$C$104,0)-1,3)</f>
        <v>0</v>
      </c>
      <c r="V148" s="58"/>
      <c r="W148" s="146" t="s">
        <v>118</v>
      </c>
      <c r="X148" s="37">
        <f ca="1">OFFSET(①簡易状況入力!$C$5,MATCH(A145,①簡易状況入力!$C$5:$C$104,0)-1,7)</f>
        <v>0</v>
      </c>
      <c r="Y148" s="149">
        <f ca="1">OFFSET(①簡易状況入力!$C$5,MATCH(A145,①簡易状況入力!$C$5:$C$104,0)-1,13)</f>
        <v>0</v>
      </c>
      <c r="Z148" s="167">
        <f ca="1">OFFSET(①簡易状況入力!$C$5,MATCH(A145,①簡易状況入力!$C$5:$C$104,0)-1,14)</f>
        <v>0</v>
      </c>
      <c r="AA148" s="168"/>
      <c r="AB148" s="148" t="s">
        <v>51</v>
      </c>
      <c r="AC148" s="56">
        <f t="shared" ref="AC148:AD148" ca="1" si="507">AC147</f>
        <v>0</v>
      </c>
      <c r="AD148" s="56">
        <f t="shared" ca="1" si="507"/>
        <v>0</v>
      </c>
      <c r="AE148" s="63">
        <f ca="1">IF($C148="あり",IF(AC148&gt;=1,G148/AQ148,0),IF(AC148&gt;=1,AO148*AC148,0))</f>
        <v>0</v>
      </c>
      <c r="AF148" s="63">
        <f t="shared" ca="1" si="498"/>
        <v>0</v>
      </c>
      <c r="AG148" s="63">
        <f t="shared" ca="1" si="499"/>
        <v>0</v>
      </c>
      <c r="AH148" s="63">
        <f t="shared" ca="1" si="500"/>
        <v>0</v>
      </c>
      <c r="AI148" s="63">
        <f t="shared" ca="1" si="501"/>
        <v>0</v>
      </c>
      <c r="AJ148" s="63">
        <f t="shared" ca="1" si="502"/>
        <v>0</v>
      </c>
      <c r="AK148" s="63">
        <f t="shared" ca="1" si="503"/>
        <v>0</v>
      </c>
      <c r="AL148" s="63">
        <f ca="1">IF($C148="あり",IF($AD148&gt;=7,N148/$AQ148,0),IF($AD148&gt;=7,$AO148*($AD148-6),0))</f>
        <v>0</v>
      </c>
      <c r="AM148" s="65">
        <f ca="1">IF(C148="あり",O148/AQ148,AP148)</f>
        <v>0</v>
      </c>
      <c r="AN148" s="63">
        <f ca="1">SUM(AE148:AM148)</f>
        <v>0</v>
      </c>
      <c r="AO148" s="68" t="e">
        <f ca="1">1/(AC148+AD148)</f>
        <v>#DIV/0!</v>
      </c>
      <c r="AP148" s="67">
        <v>0</v>
      </c>
      <c r="AQ148" s="68">
        <f ca="1">IF(AC148&gt;=1,G148,0)+SUMIF($H$4:$M$4,"&lt;="&amp;AD148,$H148:$M148)+IF(AD148&gt;=7,N148,0)+O148</f>
        <v>0</v>
      </c>
    </row>
    <row r="149" spans="1:43" x14ac:dyDescent="0.15">
      <c r="G149" s="107"/>
      <c r="H149" s="107"/>
      <c r="I149" s="107"/>
      <c r="J149" s="107"/>
      <c r="K149" s="107"/>
      <c r="L149" s="107"/>
      <c r="M149" s="107"/>
      <c r="N149" s="107"/>
      <c r="O149" s="107"/>
    </row>
    <row r="150" spans="1:43" x14ac:dyDescent="0.15">
      <c r="A150" s="59" t="s">
        <v>345</v>
      </c>
      <c r="B150" s="60">
        <f ca="1">OFFSET(①簡易状況入力!$C$5,MATCH(A150,①簡易状況入力!$C$5:$C$104,0)-1,1)</f>
        <v>0</v>
      </c>
      <c r="C150" s="145">
        <f ca="1">OFFSET(①簡易状況入力!$C$5,MATCH(A150,①簡易状況入力!$C$5:$C$104,0)-1,17)</f>
        <v>0</v>
      </c>
      <c r="D150" s="148" t="s">
        <v>47</v>
      </c>
      <c r="E150" s="56">
        <f ca="1">U153</f>
        <v>0</v>
      </c>
      <c r="F150" s="56">
        <f ca="1">U152</f>
        <v>0</v>
      </c>
      <c r="G150" s="102"/>
      <c r="H150" s="103"/>
      <c r="I150" s="103"/>
      <c r="J150" s="103"/>
      <c r="K150" s="103"/>
      <c r="L150" s="103"/>
      <c r="M150" s="103"/>
      <c r="N150" s="103"/>
      <c r="O150" s="103"/>
      <c r="Q150" s="57">
        <f ca="1">OFFSET(①簡易状況入力!$C$5,MATCH(A150,①簡易状況入力!$C$5:$C$104,0)-1,15)</f>
        <v>0</v>
      </c>
      <c r="R150" s="58"/>
      <c r="S150" s="58"/>
      <c r="T150" s="58"/>
      <c r="U150" s="58"/>
      <c r="V150" s="58"/>
      <c r="W150" s="58"/>
      <c r="X150" s="58"/>
      <c r="Y150" s="58"/>
      <c r="Z150" s="58"/>
      <c r="AA150" s="58"/>
      <c r="AB150" s="148" t="s">
        <v>47</v>
      </c>
      <c r="AC150" s="56">
        <f ca="1">U153</f>
        <v>0</v>
      </c>
      <c r="AD150" s="56">
        <f ca="1">U152</f>
        <v>0</v>
      </c>
      <c r="AE150" s="62" t="s">
        <v>46</v>
      </c>
      <c r="AF150" s="62" t="str">
        <f t="shared" ref="AF150" ca="1" si="508">IF($C150="あり",IF(AF$4&lt;=$AD150,H150,"-"),IF(AF$4&lt;=$AD150,$AO150,"-"))</f>
        <v>-</v>
      </c>
      <c r="AG150" s="62" t="str">
        <f t="shared" ref="AG150" ca="1" si="509">IF($C150="あり",IF(AG$4&lt;=$AD150,I150,"-"),IF(AG$4&lt;=$AD150,$AO150,"-"))</f>
        <v>-</v>
      </c>
      <c r="AH150" s="62" t="str">
        <f t="shared" ref="AH150" ca="1" si="510">IF($C150="あり",IF(AH$4&lt;=$AD150,J150,"-"),IF(AH$4&lt;=$AD150,$AO150,"-"))</f>
        <v>-</v>
      </c>
      <c r="AI150" s="62" t="str">
        <f t="shared" ref="AI150" ca="1" si="511">IF($C150="あり",IF(AI$4&lt;=$AD150,K150,"-"),IF(AI$4&lt;=$AD150,$AO150,"-"))</f>
        <v>-</v>
      </c>
      <c r="AJ150" s="62" t="str">
        <f t="shared" ref="AJ150" ca="1" si="512">IF($C150="あり",IF(AJ$4&lt;=$AD150,L150,"-"),IF(AJ$4&lt;=$AD150,$AO150,"-"))</f>
        <v>-</v>
      </c>
      <c r="AK150" s="62" t="str">
        <f t="shared" ref="AK150" ca="1" si="513">IF($C150="あり",IF(AK$4&lt;=$AD150,M150,"-"),IF(AK$4&lt;=$AD150,$AO150,"-"))</f>
        <v>-</v>
      </c>
      <c r="AL150" s="62" t="str">
        <f ca="1">IF($C150="あり",IF(7&lt;=$AD150,N150,"-"),IF(7&lt;=$AD150,$AO150*($AD150-6),"-"))</f>
        <v>-</v>
      </c>
      <c r="AM150" s="62">
        <f ca="1">IF(C150="あり",O150,AP150)</f>
        <v>0</v>
      </c>
      <c r="AN150" s="62">
        <f ca="1">SUM(U151,AF150:AM150)</f>
        <v>0</v>
      </c>
      <c r="AO150" s="42">
        <f ca="1">OFFSET(【DB】被害率係数!$A$4,MATCH(②詳細状況入力!$Y151,【DB】被害率係数!$A$4:$A$19,0)-1,16)</f>
        <v>0</v>
      </c>
      <c r="AP150" s="42">
        <f ca="1">OFFSET(【DB】被害率係数!$A$4,MATCH(②詳細状況入力!$Y151,【DB】被害率係数!$A$4:$A$19,0)-1,17)</f>
        <v>0</v>
      </c>
      <c r="AQ150" s="42"/>
    </row>
    <row r="151" spans="1:43" x14ac:dyDescent="0.15">
      <c r="A151" s="50"/>
      <c r="B151" s="50"/>
      <c r="C151" s="145">
        <f ca="1">OFFSET(①簡易状況入力!$C$5,MATCH(A150,①簡易状況入力!$C$5:$C$104,0)-1,18)</f>
        <v>0</v>
      </c>
      <c r="D151" s="148" t="s">
        <v>52</v>
      </c>
      <c r="E151" s="56">
        <f t="shared" ref="E151:F151" ca="1" si="514">E150</f>
        <v>0</v>
      </c>
      <c r="F151" s="56">
        <f t="shared" ca="1" si="514"/>
        <v>0</v>
      </c>
      <c r="G151" s="104"/>
      <c r="H151" s="104"/>
      <c r="I151" s="104"/>
      <c r="J151" s="104"/>
      <c r="K151" s="104"/>
      <c r="L151" s="104"/>
      <c r="M151" s="104"/>
      <c r="N151" s="104"/>
      <c r="O151" s="105"/>
      <c r="Q151" s="57">
        <f ca="1">OFFSET(①簡易状況入力!$C$5,MATCH(A150,①簡易状況入力!$C$5:$C$104,0)-1,16)</f>
        <v>0</v>
      </c>
      <c r="R151" s="58"/>
      <c r="S151" s="146" t="s">
        <v>115</v>
      </c>
      <c r="T151" s="146" t="s">
        <v>116</v>
      </c>
      <c r="U151" s="36">
        <f ca="1">OFFSET(①簡易状況入力!$C$5,MATCH(A150,①簡易状況入力!$C$5:$C$104,0)-1,4)</f>
        <v>0</v>
      </c>
      <c r="V151" s="58"/>
      <c r="W151" s="146" t="s">
        <v>30</v>
      </c>
      <c r="X151" s="37">
        <f ca="1">OFFSET(①簡易状況入力!$C$5,MATCH(A150,①簡易状況入力!$C$5:$C$104,0)-1,5)</f>
        <v>0</v>
      </c>
      <c r="Y151" s="149">
        <f ca="1">OFFSET(①簡易状況入力!$C$5,MATCH(A150,①簡易状況入力!$C$5:$C$104,0)-1,8)</f>
        <v>0</v>
      </c>
      <c r="Z151" s="149">
        <f ca="1">OFFSET(①簡易状況入力!$C$5,MATCH(A150,①簡易状況入力!$C$5:$C$104,0)-1,9)</f>
        <v>0</v>
      </c>
      <c r="AA151" s="149">
        <f ca="1">OFFSET(①簡易状況入力!$C$5,MATCH(A150,①簡易状況入力!$C$5:$C$104,0)-1,10)</f>
        <v>0</v>
      </c>
      <c r="AB151" s="148" t="s">
        <v>52</v>
      </c>
      <c r="AC151" s="56">
        <f t="shared" ref="AC151:AD151" ca="1" si="515">AC150</f>
        <v>0</v>
      </c>
      <c r="AD151" s="56">
        <f t="shared" ca="1" si="515"/>
        <v>0</v>
      </c>
      <c r="AE151" s="63">
        <f ca="1">IF($C151="あり",IF(AC151&gt;=1,G151/AQ151,0),IF(AC151&gt;=1,AO151*AC151,0))</f>
        <v>0</v>
      </c>
      <c r="AF151" s="63">
        <f t="shared" ref="AF151:AF153" ca="1" si="516">IF($C151="あり",IF($AD151&gt;=AF$4,H151/$AQ151,0),IF($AD151&gt;=AF$4,$AO151,0))</f>
        <v>0</v>
      </c>
      <c r="AG151" s="63">
        <f t="shared" ref="AG151:AG153" ca="1" si="517">IF($C151="あり",IF($AD151&gt;=AG$4,I151/$AQ151,0),IF($AD151&gt;=AG$4,$AO151,0))</f>
        <v>0</v>
      </c>
      <c r="AH151" s="63">
        <f t="shared" ref="AH151:AH153" ca="1" si="518">IF($C151="あり",IF($AD151&gt;=AH$4,J151/$AQ151,0),IF($AD151&gt;=AH$4,$AO151,0))</f>
        <v>0</v>
      </c>
      <c r="AI151" s="63">
        <f t="shared" ref="AI151:AI153" ca="1" si="519">IF($C151="あり",IF($AD151&gt;=AI$4,K151/$AQ151,0),IF($AD151&gt;=AI$4,$AO151,0))</f>
        <v>0</v>
      </c>
      <c r="AJ151" s="63">
        <f t="shared" ref="AJ151:AJ153" ca="1" si="520">IF($C151="あり",IF($AD151&gt;=AJ$4,L151/$AQ151,0),IF($AD151&gt;=AJ$4,$AO151,0))</f>
        <v>0</v>
      </c>
      <c r="AK151" s="63">
        <f t="shared" ref="AK151:AK153" ca="1" si="521">IF($C151="あり",IF($AD151&gt;=AK$4,M151/$AQ151,0),IF($AD151&gt;=AK$4,$AO151,0))</f>
        <v>0</v>
      </c>
      <c r="AL151" s="63">
        <f ca="1">IF($C151="あり",IF($AD151&gt;=7,N151/$AQ151,0),IF($AD151&gt;=7,$AO151*($AD151-6),0))</f>
        <v>0</v>
      </c>
      <c r="AM151" s="64" t="s">
        <v>46</v>
      </c>
      <c r="AN151" s="63">
        <f ca="1">SUM(AE151:AM151)</f>
        <v>0</v>
      </c>
      <c r="AO151" s="68" t="e">
        <f ca="1">1/(AC151+AD151)</f>
        <v>#DIV/0!</v>
      </c>
      <c r="AP151" s="67">
        <v>0</v>
      </c>
      <c r="AQ151" s="68">
        <f ca="1">IF(AC151&gt;=1,G151,0)+SUMIF($H$4:$M$4,"&lt;="&amp;AD151,$H151:$M151)+IF(AD151&gt;=7,N151,0)</f>
        <v>0</v>
      </c>
    </row>
    <row r="152" spans="1:43" x14ac:dyDescent="0.15">
      <c r="A152" s="50"/>
      <c r="B152" s="50"/>
      <c r="C152" s="145">
        <f ca="1">OFFSET(①簡易状況入力!$C$5,MATCH(A150,①簡易状況入力!$C$5:$C$104,0)-1,19)</f>
        <v>0</v>
      </c>
      <c r="D152" s="148" t="s">
        <v>50</v>
      </c>
      <c r="E152" s="56">
        <f t="shared" ref="E152" ca="1" si="522">E151</f>
        <v>0</v>
      </c>
      <c r="F152" s="56">
        <f ca="1">F151</f>
        <v>0</v>
      </c>
      <c r="G152" s="104"/>
      <c r="H152" s="104"/>
      <c r="I152" s="104"/>
      <c r="J152" s="104"/>
      <c r="K152" s="104"/>
      <c r="L152" s="104"/>
      <c r="M152" s="104"/>
      <c r="N152" s="104"/>
      <c r="O152" s="106"/>
      <c r="Q152" s="50"/>
      <c r="R152" s="58"/>
      <c r="S152" s="165" t="s">
        <v>28</v>
      </c>
      <c r="T152" s="146" t="s">
        <v>35</v>
      </c>
      <c r="U152" s="35">
        <f ca="1">OFFSET(①簡易状況入力!$C$5,MATCH(A150,①簡易状況入力!$C$5:$C$104,0)-1,2)</f>
        <v>0</v>
      </c>
      <c r="V152" s="58"/>
      <c r="W152" s="146" t="s">
        <v>33</v>
      </c>
      <c r="X152" s="37">
        <f ca="1">OFFSET(①簡易状況入力!$C$5,MATCH(A150,①簡易状況入力!$C$5:$C$104,0)-1,6)</f>
        <v>0</v>
      </c>
      <c r="Y152" s="149">
        <f ca="1">OFFSET(①簡易状況入力!$C$5,MATCH(A150,①簡易状況入力!$C$5:$C$104,0)-1,11)</f>
        <v>0</v>
      </c>
      <c r="Z152" s="167">
        <f ca="1">OFFSET(①簡易状況入力!$C$5,MATCH(A150,①簡易状況入力!$C$5:$C$104,0)-1,12)</f>
        <v>0</v>
      </c>
      <c r="AA152" s="168"/>
      <c r="AB152" s="148" t="s">
        <v>50</v>
      </c>
      <c r="AC152" s="56">
        <f t="shared" ref="AC152:AD152" ca="1" si="523">AC151</f>
        <v>0</v>
      </c>
      <c r="AD152" s="56">
        <f t="shared" ca="1" si="523"/>
        <v>0</v>
      </c>
      <c r="AE152" s="63">
        <f ca="1">IF($C152="あり",IF(AC152&gt;=1,G152/AQ152,0),IF(AC152&gt;=1,AO152*AC152,0))</f>
        <v>0</v>
      </c>
      <c r="AF152" s="63">
        <f t="shared" ca="1" si="516"/>
        <v>0</v>
      </c>
      <c r="AG152" s="63">
        <f t="shared" ca="1" si="517"/>
        <v>0</v>
      </c>
      <c r="AH152" s="63">
        <f t="shared" ca="1" si="518"/>
        <v>0</v>
      </c>
      <c r="AI152" s="63">
        <f t="shared" ca="1" si="519"/>
        <v>0</v>
      </c>
      <c r="AJ152" s="63">
        <f t="shared" ca="1" si="520"/>
        <v>0</v>
      </c>
      <c r="AK152" s="63">
        <f t="shared" ca="1" si="521"/>
        <v>0</v>
      </c>
      <c r="AL152" s="63">
        <f ca="1">IF($C152="あり",IF($AD152&gt;=7,N152/$AQ152,0),IF($AD152&gt;=7,$AO152*($AD152-6),0))</f>
        <v>0</v>
      </c>
      <c r="AM152" s="65">
        <f ca="1">IF(C152="あり",O152/AQ152,AP152)</f>
        <v>0</v>
      </c>
      <c r="AN152" s="63">
        <f ca="1">SUM(AE152:AM152)</f>
        <v>0</v>
      </c>
      <c r="AO152" s="68" t="e">
        <f ca="1">1/(AC152+AD152)</f>
        <v>#DIV/0!</v>
      </c>
      <c r="AP152" s="67">
        <v>0</v>
      </c>
      <c r="AQ152" s="68">
        <f ca="1">IF(AC152&gt;=1,G152,0)+SUMIF($H$4:$M$4,"&lt;="&amp;AD152,$H152:$M152)+IF(AD152&gt;=7,N152,0)+O152</f>
        <v>0</v>
      </c>
    </row>
    <row r="153" spans="1:43" x14ac:dyDescent="0.15">
      <c r="A153" s="50"/>
      <c r="B153" s="50"/>
      <c r="C153" s="145">
        <f ca="1">OFFSET(①簡易状況入力!$C$5,MATCH(A150,①簡易状況入力!$C$5:$C$104,0)-1,20)</f>
        <v>0</v>
      </c>
      <c r="D153" s="148" t="s">
        <v>51</v>
      </c>
      <c r="E153" s="56">
        <f t="shared" ref="E153:F153" ca="1" si="524">E152</f>
        <v>0</v>
      </c>
      <c r="F153" s="56">
        <f t="shared" ca="1" si="524"/>
        <v>0</v>
      </c>
      <c r="G153" s="104"/>
      <c r="H153" s="104"/>
      <c r="I153" s="104"/>
      <c r="J153" s="104"/>
      <c r="K153" s="104"/>
      <c r="L153" s="104"/>
      <c r="M153" s="104"/>
      <c r="N153" s="104"/>
      <c r="O153" s="106"/>
      <c r="Q153" s="50"/>
      <c r="R153" s="58"/>
      <c r="S153" s="166"/>
      <c r="T153" s="146" t="s">
        <v>34</v>
      </c>
      <c r="U153" s="35">
        <f ca="1">OFFSET(①簡易状況入力!$C$5,MATCH(A150,①簡易状況入力!$C$5:$C$104,0)-1,3)</f>
        <v>0</v>
      </c>
      <c r="V153" s="58"/>
      <c r="W153" s="146" t="s">
        <v>118</v>
      </c>
      <c r="X153" s="37">
        <f ca="1">OFFSET(①簡易状況入力!$C$5,MATCH(A150,①簡易状況入力!$C$5:$C$104,0)-1,7)</f>
        <v>0</v>
      </c>
      <c r="Y153" s="149">
        <f ca="1">OFFSET(①簡易状況入力!$C$5,MATCH(A150,①簡易状況入力!$C$5:$C$104,0)-1,13)</f>
        <v>0</v>
      </c>
      <c r="Z153" s="167">
        <f ca="1">OFFSET(①簡易状況入力!$C$5,MATCH(A150,①簡易状況入力!$C$5:$C$104,0)-1,14)</f>
        <v>0</v>
      </c>
      <c r="AA153" s="168"/>
      <c r="AB153" s="148" t="s">
        <v>51</v>
      </c>
      <c r="AC153" s="56">
        <f t="shared" ref="AC153:AD153" ca="1" si="525">AC152</f>
        <v>0</v>
      </c>
      <c r="AD153" s="56">
        <f t="shared" ca="1" si="525"/>
        <v>0</v>
      </c>
      <c r="AE153" s="63">
        <f ca="1">IF($C153="あり",IF(AC153&gt;=1,G153/AQ153,0),IF(AC153&gt;=1,AO153*AC153,0))</f>
        <v>0</v>
      </c>
      <c r="AF153" s="63">
        <f t="shared" ca="1" si="516"/>
        <v>0</v>
      </c>
      <c r="AG153" s="63">
        <f t="shared" ca="1" si="517"/>
        <v>0</v>
      </c>
      <c r="AH153" s="63">
        <f t="shared" ca="1" si="518"/>
        <v>0</v>
      </c>
      <c r="AI153" s="63">
        <f t="shared" ca="1" si="519"/>
        <v>0</v>
      </c>
      <c r="AJ153" s="63">
        <f t="shared" ca="1" si="520"/>
        <v>0</v>
      </c>
      <c r="AK153" s="63">
        <f t="shared" ca="1" si="521"/>
        <v>0</v>
      </c>
      <c r="AL153" s="63">
        <f ca="1">IF($C153="あり",IF($AD153&gt;=7,N153/$AQ153,0),IF($AD153&gt;=7,$AO153*($AD153-6),0))</f>
        <v>0</v>
      </c>
      <c r="AM153" s="65">
        <f ca="1">IF(C153="あり",O153/AQ153,AP153)</f>
        <v>0</v>
      </c>
      <c r="AN153" s="63">
        <f ca="1">SUM(AE153:AM153)</f>
        <v>0</v>
      </c>
      <c r="AO153" s="68" t="e">
        <f ca="1">1/(AC153+AD153)</f>
        <v>#DIV/0!</v>
      </c>
      <c r="AP153" s="67">
        <v>0</v>
      </c>
      <c r="AQ153" s="68">
        <f ca="1">IF(AC153&gt;=1,G153,0)+SUMIF($H$4:$M$4,"&lt;="&amp;AD153,$H153:$M153)+IF(AD153&gt;=7,N153,0)+O153</f>
        <v>0</v>
      </c>
    </row>
    <row r="154" spans="1:43" x14ac:dyDescent="0.15">
      <c r="G154" s="107"/>
      <c r="H154" s="107"/>
      <c r="I154" s="107"/>
      <c r="J154" s="107"/>
      <c r="K154" s="107"/>
      <c r="L154" s="107"/>
      <c r="M154" s="107"/>
      <c r="N154" s="107"/>
      <c r="O154" s="107"/>
    </row>
    <row r="155" spans="1:43" x14ac:dyDescent="0.15">
      <c r="A155" s="59" t="s">
        <v>346</v>
      </c>
      <c r="B155" s="60">
        <f ca="1">OFFSET(①簡易状況入力!$C$5,MATCH(A155,①簡易状況入力!$C$5:$C$104,0)-1,1)</f>
        <v>0</v>
      </c>
      <c r="C155" s="145">
        <f ca="1">OFFSET(①簡易状況入力!$C$5,MATCH(A155,①簡易状況入力!$C$5:$C$104,0)-1,17)</f>
        <v>0</v>
      </c>
      <c r="D155" s="148" t="s">
        <v>47</v>
      </c>
      <c r="E155" s="56">
        <f ca="1">U158</f>
        <v>0</v>
      </c>
      <c r="F155" s="56">
        <f ca="1">U157</f>
        <v>0</v>
      </c>
      <c r="G155" s="102"/>
      <c r="H155" s="103"/>
      <c r="I155" s="103"/>
      <c r="J155" s="103"/>
      <c r="K155" s="103"/>
      <c r="L155" s="103"/>
      <c r="M155" s="103"/>
      <c r="N155" s="103"/>
      <c r="O155" s="103"/>
      <c r="Q155" s="57">
        <f ca="1">OFFSET(①簡易状況入力!$C$5,MATCH(A155,①簡易状況入力!$C$5:$C$104,0)-1,15)</f>
        <v>0</v>
      </c>
      <c r="R155" s="58"/>
      <c r="S155" s="58"/>
      <c r="T155" s="58"/>
      <c r="U155" s="58"/>
      <c r="V155" s="58"/>
      <c r="W155" s="58"/>
      <c r="X155" s="58"/>
      <c r="Y155" s="58"/>
      <c r="Z155" s="58"/>
      <c r="AA155" s="58"/>
      <c r="AB155" s="148" t="s">
        <v>47</v>
      </c>
      <c r="AC155" s="56">
        <f ca="1">U158</f>
        <v>0</v>
      </c>
      <c r="AD155" s="56">
        <f ca="1">U157</f>
        <v>0</v>
      </c>
      <c r="AE155" s="62" t="s">
        <v>46</v>
      </c>
      <c r="AF155" s="62" t="str">
        <f t="shared" ref="AF155" ca="1" si="526">IF($C155="あり",IF(AF$4&lt;=$AD155,H155,"-"),IF(AF$4&lt;=$AD155,$AO155,"-"))</f>
        <v>-</v>
      </c>
      <c r="AG155" s="62" t="str">
        <f t="shared" ref="AG155" ca="1" si="527">IF($C155="あり",IF(AG$4&lt;=$AD155,I155,"-"),IF(AG$4&lt;=$AD155,$AO155,"-"))</f>
        <v>-</v>
      </c>
      <c r="AH155" s="62" t="str">
        <f t="shared" ref="AH155" ca="1" si="528">IF($C155="あり",IF(AH$4&lt;=$AD155,J155,"-"),IF(AH$4&lt;=$AD155,$AO155,"-"))</f>
        <v>-</v>
      </c>
      <c r="AI155" s="62" t="str">
        <f t="shared" ref="AI155" ca="1" si="529">IF($C155="あり",IF(AI$4&lt;=$AD155,K155,"-"),IF(AI$4&lt;=$AD155,$AO155,"-"))</f>
        <v>-</v>
      </c>
      <c r="AJ155" s="62" t="str">
        <f t="shared" ref="AJ155" ca="1" si="530">IF($C155="あり",IF(AJ$4&lt;=$AD155,L155,"-"),IF(AJ$4&lt;=$AD155,$AO155,"-"))</f>
        <v>-</v>
      </c>
      <c r="AK155" s="62" t="str">
        <f t="shared" ref="AK155" ca="1" si="531">IF($C155="あり",IF(AK$4&lt;=$AD155,M155,"-"),IF(AK$4&lt;=$AD155,$AO155,"-"))</f>
        <v>-</v>
      </c>
      <c r="AL155" s="62" t="str">
        <f ca="1">IF($C155="あり",IF(7&lt;=$AD155,N155,"-"),IF(7&lt;=$AD155,$AO155*($AD155-6),"-"))</f>
        <v>-</v>
      </c>
      <c r="AM155" s="62">
        <f ca="1">IF(C155="あり",O155,AP155)</f>
        <v>0</v>
      </c>
      <c r="AN155" s="62">
        <f ca="1">SUM(U156,AF155:AM155)</f>
        <v>0</v>
      </c>
      <c r="AO155" s="42">
        <f ca="1">OFFSET(【DB】被害率係数!$A$4,MATCH(②詳細状況入力!$Y156,【DB】被害率係数!$A$4:$A$19,0)-1,16)</f>
        <v>0</v>
      </c>
      <c r="AP155" s="42">
        <f ca="1">OFFSET(【DB】被害率係数!$A$4,MATCH(②詳細状況入力!$Y156,【DB】被害率係数!$A$4:$A$19,0)-1,17)</f>
        <v>0</v>
      </c>
      <c r="AQ155" s="42"/>
    </row>
    <row r="156" spans="1:43" x14ac:dyDescent="0.15">
      <c r="A156" s="50"/>
      <c r="B156" s="50"/>
      <c r="C156" s="145">
        <f ca="1">OFFSET(①簡易状況入力!$C$5,MATCH(A155,①簡易状況入力!$C$5:$C$104,0)-1,18)</f>
        <v>0</v>
      </c>
      <c r="D156" s="148" t="s">
        <v>52</v>
      </c>
      <c r="E156" s="56">
        <f t="shared" ref="E156:F156" ca="1" si="532">E155</f>
        <v>0</v>
      </c>
      <c r="F156" s="56">
        <f t="shared" ca="1" si="532"/>
        <v>0</v>
      </c>
      <c r="G156" s="104"/>
      <c r="H156" s="104"/>
      <c r="I156" s="104"/>
      <c r="J156" s="104"/>
      <c r="K156" s="104"/>
      <c r="L156" s="104"/>
      <c r="M156" s="104"/>
      <c r="N156" s="104"/>
      <c r="O156" s="105"/>
      <c r="Q156" s="57">
        <f ca="1">OFFSET(①簡易状況入力!$C$5,MATCH(A155,①簡易状況入力!$C$5:$C$104,0)-1,16)</f>
        <v>0</v>
      </c>
      <c r="R156" s="58"/>
      <c r="S156" s="146" t="s">
        <v>115</v>
      </c>
      <c r="T156" s="146" t="s">
        <v>116</v>
      </c>
      <c r="U156" s="36">
        <f ca="1">OFFSET(①簡易状況入力!$C$5,MATCH(A155,①簡易状況入力!$C$5:$C$104,0)-1,4)</f>
        <v>0</v>
      </c>
      <c r="V156" s="58"/>
      <c r="W156" s="146" t="s">
        <v>30</v>
      </c>
      <c r="X156" s="37">
        <f ca="1">OFFSET(①簡易状況入力!$C$5,MATCH(A155,①簡易状況入力!$C$5:$C$104,0)-1,5)</f>
        <v>0</v>
      </c>
      <c r="Y156" s="149">
        <f ca="1">OFFSET(①簡易状況入力!$C$5,MATCH(A155,①簡易状況入力!$C$5:$C$104,0)-1,8)</f>
        <v>0</v>
      </c>
      <c r="Z156" s="149">
        <f ca="1">OFFSET(①簡易状況入力!$C$5,MATCH(A155,①簡易状況入力!$C$5:$C$104,0)-1,9)</f>
        <v>0</v>
      </c>
      <c r="AA156" s="149">
        <f ca="1">OFFSET(①簡易状況入力!$C$5,MATCH(A155,①簡易状況入力!$C$5:$C$104,0)-1,10)</f>
        <v>0</v>
      </c>
      <c r="AB156" s="148" t="s">
        <v>52</v>
      </c>
      <c r="AC156" s="56">
        <f t="shared" ref="AC156:AD156" ca="1" si="533">AC155</f>
        <v>0</v>
      </c>
      <c r="AD156" s="56">
        <f t="shared" ca="1" si="533"/>
        <v>0</v>
      </c>
      <c r="AE156" s="63">
        <f ca="1">IF($C156="あり",IF(AC156&gt;=1,G156/AQ156,0),IF(AC156&gt;=1,AO156*AC156,0))</f>
        <v>0</v>
      </c>
      <c r="AF156" s="63">
        <f t="shared" ref="AF156:AF158" ca="1" si="534">IF($C156="あり",IF($AD156&gt;=AF$4,H156/$AQ156,0),IF($AD156&gt;=AF$4,$AO156,0))</f>
        <v>0</v>
      </c>
      <c r="AG156" s="63">
        <f t="shared" ref="AG156:AG158" ca="1" si="535">IF($C156="あり",IF($AD156&gt;=AG$4,I156/$AQ156,0),IF($AD156&gt;=AG$4,$AO156,0))</f>
        <v>0</v>
      </c>
      <c r="AH156" s="63">
        <f t="shared" ref="AH156:AH158" ca="1" si="536">IF($C156="あり",IF($AD156&gt;=AH$4,J156/$AQ156,0),IF($AD156&gt;=AH$4,$AO156,0))</f>
        <v>0</v>
      </c>
      <c r="AI156" s="63">
        <f t="shared" ref="AI156:AI158" ca="1" si="537">IF($C156="あり",IF($AD156&gt;=AI$4,K156/$AQ156,0),IF($AD156&gt;=AI$4,$AO156,0))</f>
        <v>0</v>
      </c>
      <c r="AJ156" s="63">
        <f t="shared" ref="AJ156:AJ158" ca="1" si="538">IF($C156="あり",IF($AD156&gt;=AJ$4,L156/$AQ156,0),IF($AD156&gt;=AJ$4,$AO156,0))</f>
        <v>0</v>
      </c>
      <c r="AK156" s="63">
        <f t="shared" ref="AK156:AK158" ca="1" si="539">IF($C156="あり",IF($AD156&gt;=AK$4,M156/$AQ156,0),IF($AD156&gt;=AK$4,$AO156,0))</f>
        <v>0</v>
      </c>
      <c r="AL156" s="63">
        <f ca="1">IF($C156="あり",IF($AD156&gt;=7,N156/$AQ156,0),IF($AD156&gt;=7,$AO156*($AD156-6),0))</f>
        <v>0</v>
      </c>
      <c r="AM156" s="64" t="s">
        <v>46</v>
      </c>
      <c r="AN156" s="63">
        <f ca="1">SUM(AE156:AM156)</f>
        <v>0</v>
      </c>
      <c r="AO156" s="68" t="e">
        <f ca="1">1/(AC156+AD156)</f>
        <v>#DIV/0!</v>
      </c>
      <c r="AP156" s="67">
        <v>0</v>
      </c>
      <c r="AQ156" s="68">
        <f ca="1">IF(AC156&gt;=1,G156,0)+SUMIF($H$4:$M$4,"&lt;="&amp;AD156,$H156:$M156)+IF(AD156&gt;=7,N156,0)</f>
        <v>0</v>
      </c>
    </row>
    <row r="157" spans="1:43" x14ac:dyDescent="0.15">
      <c r="A157" s="50"/>
      <c r="B157" s="50"/>
      <c r="C157" s="145">
        <f ca="1">OFFSET(①簡易状況入力!$C$5,MATCH(A155,①簡易状況入力!$C$5:$C$104,0)-1,19)</f>
        <v>0</v>
      </c>
      <c r="D157" s="148" t="s">
        <v>50</v>
      </c>
      <c r="E157" s="56">
        <f t="shared" ref="E157" ca="1" si="540">E156</f>
        <v>0</v>
      </c>
      <c r="F157" s="56">
        <f ca="1">F156</f>
        <v>0</v>
      </c>
      <c r="G157" s="104"/>
      <c r="H157" s="104"/>
      <c r="I157" s="104"/>
      <c r="J157" s="104"/>
      <c r="K157" s="104"/>
      <c r="L157" s="104"/>
      <c r="M157" s="104"/>
      <c r="N157" s="104"/>
      <c r="O157" s="106"/>
      <c r="Q157" s="50"/>
      <c r="R157" s="58"/>
      <c r="S157" s="165" t="s">
        <v>28</v>
      </c>
      <c r="T157" s="146" t="s">
        <v>35</v>
      </c>
      <c r="U157" s="35">
        <f ca="1">OFFSET(①簡易状況入力!$C$5,MATCH(A155,①簡易状況入力!$C$5:$C$104,0)-1,2)</f>
        <v>0</v>
      </c>
      <c r="V157" s="58"/>
      <c r="W157" s="146" t="s">
        <v>33</v>
      </c>
      <c r="X157" s="37">
        <f ca="1">OFFSET(①簡易状況入力!$C$5,MATCH(A155,①簡易状況入力!$C$5:$C$104,0)-1,6)</f>
        <v>0</v>
      </c>
      <c r="Y157" s="149">
        <f ca="1">OFFSET(①簡易状況入力!$C$5,MATCH(A155,①簡易状況入力!$C$5:$C$104,0)-1,11)</f>
        <v>0</v>
      </c>
      <c r="Z157" s="167">
        <f ca="1">OFFSET(①簡易状況入力!$C$5,MATCH(A155,①簡易状況入力!$C$5:$C$104,0)-1,12)</f>
        <v>0</v>
      </c>
      <c r="AA157" s="168"/>
      <c r="AB157" s="148" t="s">
        <v>50</v>
      </c>
      <c r="AC157" s="56">
        <f t="shared" ref="AC157:AD157" ca="1" si="541">AC156</f>
        <v>0</v>
      </c>
      <c r="AD157" s="56">
        <f t="shared" ca="1" si="541"/>
        <v>0</v>
      </c>
      <c r="AE157" s="63">
        <f ca="1">IF($C157="あり",IF(AC157&gt;=1,G157/AQ157,0),IF(AC157&gt;=1,AO157*AC157,0))</f>
        <v>0</v>
      </c>
      <c r="AF157" s="63">
        <f t="shared" ca="1" si="534"/>
        <v>0</v>
      </c>
      <c r="AG157" s="63">
        <f t="shared" ca="1" si="535"/>
        <v>0</v>
      </c>
      <c r="AH157" s="63">
        <f t="shared" ca="1" si="536"/>
        <v>0</v>
      </c>
      <c r="AI157" s="63">
        <f t="shared" ca="1" si="537"/>
        <v>0</v>
      </c>
      <c r="AJ157" s="63">
        <f t="shared" ca="1" si="538"/>
        <v>0</v>
      </c>
      <c r="AK157" s="63">
        <f t="shared" ca="1" si="539"/>
        <v>0</v>
      </c>
      <c r="AL157" s="63">
        <f ca="1">IF($C157="あり",IF($AD157&gt;=7,N157/$AQ157,0),IF($AD157&gt;=7,$AO157*($AD157-6),0))</f>
        <v>0</v>
      </c>
      <c r="AM157" s="65">
        <f ca="1">IF(C157="あり",O157/AQ157,AP157)</f>
        <v>0</v>
      </c>
      <c r="AN157" s="63">
        <f ca="1">SUM(AE157:AM157)</f>
        <v>0</v>
      </c>
      <c r="AO157" s="68" t="e">
        <f ca="1">1/(AC157+AD157)</f>
        <v>#DIV/0!</v>
      </c>
      <c r="AP157" s="67">
        <v>0</v>
      </c>
      <c r="AQ157" s="68">
        <f ca="1">IF(AC157&gt;=1,G157,0)+SUMIF($H$4:$M$4,"&lt;="&amp;AD157,$H157:$M157)+IF(AD157&gt;=7,N157,0)+O157</f>
        <v>0</v>
      </c>
    </row>
    <row r="158" spans="1:43" x14ac:dyDescent="0.15">
      <c r="A158" s="50"/>
      <c r="B158" s="50"/>
      <c r="C158" s="145">
        <f ca="1">OFFSET(①簡易状況入力!$C$5,MATCH(A155,①簡易状況入力!$C$5:$C$104,0)-1,20)</f>
        <v>0</v>
      </c>
      <c r="D158" s="148" t="s">
        <v>51</v>
      </c>
      <c r="E158" s="56">
        <f t="shared" ref="E158:F158" ca="1" si="542">E157</f>
        <v>0</v>
      </c>
      <c r="F158" s="56">
        <f t="shared" ca="1" si="542"/>
        <v>0</v>
      </c>
      <c r="G158" s="104"/>
      <c r="H158" s="104"/>
      <c r="I158" s="104"/>
      <c r="J158" s="104"/>
      <c r="K158" s="104"/>
      <c r="L158" s="104"/>
      <c r="M158" s="104"/>
      <c r="N158" s="104"/>
      <c r="O158" s="106"/>
      <c r="Q158" s="50"/>
      <c r="R158" s="58"/>
      <c r="S158" s="166"/>
      <c r="T158" s="146" t="s">
        <v>34</v>
      </c>
      <c r="U158" s="35">
        <f ca="1">OFFSET(①簡易状況入力!$C$5,MATCH(A155,①簡易状況入力!$C$5:$C$104,0)-1,3)</f>
        <v>0</v>
      </c>
      <c r="V158" s="58"/>
      <c r="W158" s="146" t="s">
        <v>118</v>
      </c>
      <c r="X158" s="37">
        <f ca="1">OFFSET(①簡易状況入力!$C$5,MATCH(A155,①簡易状況入力!$C$5:$C$104,0)-1,7)</f>
        <v>0</v>
      </c>
      <c r="Y158" s="149">
        <f ca="1">OFFSET(①簡易状況入力!$C$5,MATCH(A155,①簡易状況入力!$C$5:$C$104,0)-1,13)</f>
        <v>0</v>
      </c>
      <c r="Z158" s="167">
        <f ca="1">OFFSET(①簡易状況入力!$C$5,MATCH(A155,①簡易状況入力!$C$5:$C$104,0)-1,14)</f>
        <v>0</v>
      </c>
      <c r="AA158" s="168"/>
      <c r="AB158" s="148" t="s">
        <v>51</v>
      </c>
      <c r="AC158" s="56">
        <f t="shared" ref="AC158:AD158" ca="1" si="543">AC157</f>
        <v>0</v>
      </c>
      <c r="AD158" s="56">
        <f t="shared" ca="1" si="543"/>
        <v>0</v>
      </c>
      <c r="AE158" s="63">
        <f ca="1">IF($C158="あり",IF(AC158&gt;=1,G158/AQ158,0),IF(AC158&gt;=1,AO158*AC158,0))</f>
        <v>0</v>
      </c>
      <c r="AF158" s="63">
        <f t="shared" ca="1" si="534"/>
        <v>0</v>
      </c>
      <c r="AG158" s="63">
        <f t="shared" ca="1" si="535"/>
        <v>0</v>
      </c>
      <c r="AH158" s="63">
        <f t="shared" ca="1" si="536"/>
        <v>0</v>
      </c>
      <c r="AI158" s="63">
        <f t="shared" ca="1" si="537"/>
        <v>0</v>
      </c>
      <c r="AJ158" s="63">
        <f t="shared" ca="1" si="538"/>
        <v>0</v>
      </c>
      <c r="AK158" s="63">
        <f t="shared" ca="1" si="539"/>
        <v>0</v>
      </c>
      <c r="AL158" s="63">
        <f ca="1">IF($C158="あり",IF($AD158&gt;=7,N158/$AQ158,0),IF($AD158&gt;=7,$AO158*($AD158-6),0))</f>
        <v>0</v>
      </c>
      <c r="AM158" s="65">
        <f ca="1">IF(C158="あり",O158/AQ158,AP158)</f>
        <v>0</v>
      </c>
      <c r="AN158" s="63">
        <f ca="1">SUM(AE158:AM158)</f>
        <v>0</v>
      </c>
      <c r="AO158" s="68" t="e">
        <f ca="1">1/(AC158+AD158)</f>
        <v>#DIV/0!</v>
      </c>
      <c r="AP158" s="67">
        <v>0</v>
      </c>
      <c r="AQ158" s="68">
        <f ca="1">IF(AC158&gt;=1,G158,0)+SUMIF($H$4:$M$4,"&lt;="&amp;AD158,$H158:$M158)+IF(AD158&gt;=7,N158,0)+O158</f>
        <v>0</v>
      </c>
    </row>
    <row r="159" spans="1:43" x14ac:dyDescent="0.15">
      <c r="G159" s="107"/>
      <c r="H159" s="107"/>
      <c r="I159" s="107"/>
      <c r="J159" s="107"/>
      <c r="K159" s="107"/>
      <c r="L159" s="107"/>
      <c r="M159" s="107"/>
      <c r="N159" s="107"/>
      <c r="O159" s="107"/>
    </row>
    <row r="160" spans="1:43" x14ac:dyDescent="0.15">
      <c r="A160" s="59" t="s">
        <v>347</v>
      </c>
      <c r="B160" s="60">
        <f ca="1">OFFSET(①簡易状況入力!$C$5,MATCH(A160,①簡易状況入力!$C$5:$C$104,0)-1,1)</f>
        <v>0</v>
      </c>
      <c r="C160" s="145">
        <f ca="1">OFFSET(①簡易状況入力!$C$5,MATCH(A160,①簡易状況入力!$C$5:$C$104,0)-1,17)</f>
        <v>0</v>
      </c>
      <c r="D160" s="148" t="s">
        <v>47</v>
      </c>
      <c r="E160" s="56">
        <f ca="1">U163</f>
        <v>0</v>
      </c>
      <c r="F160" s="56">
        <f ca="1">U162</f>
        <v>0</v>
      </c>
      <c r="G160" s="102"/>
      <c r="H160" s="103"/>
      <c r="I160" s="103"/>
      <c r="J160" s="103"/>
      <c r="K160" s="103"/>
      <c r="L160" s="103"/>
      <c r="M160" s="103"/>
      <c r="N160" s="103"/>
      <c r="O160" s="103"/>
      <c r="Q160" s="57">
        <f ca="1">OFFSET(①簡易状況入力!$C$5,MATCH(A160,①簡易状況入力!$C$5:$C$104,0)-1,15)</f>
        <v>0</v>
      </c>
      <c r="R160" s="58"/>
      <c r="S160" s="58"/>
      <c r="T160" s="58"/>
      <c r="U160" s="58"/>
      <c r="V160" s="58"/>
      <c r="W160" s="58"/>
      <c r="X160" s="58"/>
      <c r="Y160" s="58"/>
      <c r="Z160" s="58"/>
      <c r="AA160" s="58"/>
      <c r="AB160" s="148" t="s">
        <v>47</v>
      </c>
      <c r="AC160" s="56">
        <f ca="1">U163</f>
        <v>0</v>
      </c>
      <c r="AD160" s="56">
        <f ca="1">U162</f>
        <v>0</v>
      </c>
      <c r="AE160" s="62" t="s">
        <v>46</v>
      </c>
      <c r="AF160" s="62" t="str">
        <f t="shared" ref="AF160" ca="1" si="544">IF($C160="あり",IF(AF$4&lt;=$AD160,H160,"-"),IF(AF$4&lt;=$AD160,$AO160,"-"))</f>
        <v>-</v>
      </c>
      <c r="AG160" s="62" t="str">
        <f t="shared" ref="AG160" ca="1" si="545">IF($C160="あり",IF(AG$4&lt;=$AD160,I160,"-"),IF(AG$4&lt;=$AD160,$AO160,"-"))</f>
        <v>-</v>
      </c>
      <c r="AH160" s="62" t="str">
        <f t="shared" ref="AH160" ca="1" si="546">IF($C160="あり",IF(AH$4&lt;=$AD160,J160,"-"),IF(AH$4&lt;=$AD160,$AO160,"-"))</f>
        <v>-</v>
      </c>
      <c r="AI160" s="62" t="str">
        <f t="shared" ref="AI160" ca="1" si="547">IF($C160="あり",IF(AI$4&lt;=$AD160,K160,"-"),IF(AI$4&lt;=$AD160,$AO160,"-"))</f>
        <v>-</v>
      </c>
      <c r="AJ160" s="62" t="str">
        <f t="shared" ref="AJ160" ca="1" si="548">IF($C160="あり",IF(AJ$4&lt;=$AD160,L160,"-"),IF(AJ$4&lt;=$AD160,$AO160,"-"))</f>
        <v>-</v>
      </c>
      <c r="AK160" s="62" t="str">
        <f t="shared" ref="AK160" ca="1" si="549">IF($C160="あり",IF(AK$4&lt;=$AD160,M160,"-"),IF(AK$4&lt;=$AD160,$AO160,"-"))</f>
        <v>-</v>
      </c>
      <c r="AL160" s="62" t="str">
        <f ca="1">IF($C160="あり",IF(7&lt;=$AD160,N160,"-"),IF(7&lt;=$AD160,$AO160*($AD160-6),"-"))</f>
        <v>-</v>
      </c>
      <c r="AM160" s="62">
        <f ca="1">IF(C160="あり",O160,AP160)</f>
        <v>0</v>
      </c>
      <c r="AN160" s="62">
        <f ca="1">SUM(U161,AF160:AM160)</f>
        <v>0</v>
      </c>
      <c r="AO160" s="42">
        <f ca="1">OFFSET(【DB】被害率係数!$A$4,MATCH(②詳細状況入力!$Y161,【DB】被害率係数!$A$4:$A$19,0)-1,16)</f>
        <v>0</v>
      </c>
      <c r="AP160" s="42">
        <f ca="1">OFFSET(【DB】被害率係数!$A$4,MATCH(②詳細状況入力!$Y161,【DB】被害率係数!$A$4:$A$19,0)-1,17)</f>
        <v>0</v>
      </c>
      <c r="AQ160" s="42"/>
    </row>
    <row r="161" spans="1:43" x14ac:dyDescent="0.15">
      <c r="A161" s="50"/>
      <c r="B161" s="50"/>
      <c r="C161" s="145">
        <f ca="1">OFFSET(①簡易状況入力!$C$5,MATCH(A160,①簡易状況入力!$C$5:$C$104,0)-1,18)</f>
        <v>0</v>
      </c>
      <c r="D161" s="148" t="s">
        <v>52</v>
      </c>
      <c r="E161" s="56">
        <f t="shared" ref="E161:F161" ca="1" si="550">E160</f>
        <v>0</v>
      </c>
      <c r="F161" s="56">
        <f t="shared" ca="1" si="550"/>
        <v>0</v>
      </c>
      <c r="G161" s="104"/>
      <c r="H161" s="104"/>
      <c r="I161" s="104"/>
      <c r="J161" s="104"/>
      <c r="K161" s="104"/>
      <c r="L161" s="104"/>
      <c r="M161" s="104"/>
      <c r="N161" s="104"/>
      <c r="O161" s="105"/>
      <c r="Q161" s="57">
        <f ca="1">OFFSET(①簡易状況入力!$C$5,MATCH(A160,①簡易状況入力!$C$5:$C$104,0)-1,16)</f>
        <v>0</v>
      </c>
      <c r="R161" s="58"/>
      <c r="S161" s="146" t="s">
        <v>115</v>
      </c>
      <c r="T161" s="146" t="s">
        <v>116</v>
      </c>
      <c r="U161" s="36">
        <f ca="1">OFFSET(①簡易状況入力!$C$5,MATCH(A160,①簡易状況入力!$C$5:$C$104,0)-1,4)</f>
        <v>0</v>
      </c>
      <c r="V161" s="58"/>
      <c r="W161" s="146" t="s">
        <v>30</v>
      </c>
      <c r="X161" s="37">
        <f ca="1">OFFSET(①簡易状況入力!$C$5,MATCH(A160,①簡易状況入力!$C$5:$C$104,0)-1,5)</f>
        <v>0</v>
      </c>
      <c r="Y161" s="149">
        <f ca="1">OFFSET(①簡易状況入力!$C$5,MATCH(A160,①簡易状況入力!$C$5:$C$104,0)-1,8)</f>
        <v>0</v>
      </c>
      <c r="Z161" s="149">
        <f ca="1">OFFSET(①簡易状況入力!$C$5,MATCH(A160,①簡易状況入力!$C$5:$C$104,0)-1,9)</f>
        <v>0</v>
      </c>
      <c r="AA161" s="149">
        <f ca="1">OFFSET(①簡易状況入力!$C$5,MATCH(A160,①簡易状況入力!$C$5:$C$104,0)-1,10)</f>
        <v>0</v>
      </c>
      <c r="AB161" s="148" t="s">
        <v>52</v>
      </c>
      <c r="AC161" s="56">
        <f t="shared" ref="AC161:AD161" ca="1" si="551">AC160</f>
        <v>0</v>
      </c>
      <c r="AD161" s="56">
        <f t="shared" ca="1" si="551"/>
        <v>0</v>
      </c>
      <c r="AE161" s="63">
        <f ca="1">IF($C161="あり",IF(AC161&gt;=1,G161/AQ161,0),IF(AC161&gt;=1,AO161*AC161,0))</f>
        <v>0</v>
      </c>
      <c r="AF161" s="63">
        <f t="shared" ref="AF161:AF163" ca="1" si="552">IF($C161="あり",IF($AD161&gt;=AF$4,H161/$AQ161,0),IF($AD161&gt;=AF$4,$AO161,0))</f>
        <v>0</v>
      </c>
      <c r="AG161" s="63">
        <f t="shared" ref="AG161:AG163" ca="1" si="553">IF($C161="あり",IF($AD161&gt;=AG$4,I161/$AQ161,0),IF($AD161&gt;=AG$4,$AO161,0))</f>
        <v>0</v>
      </c>
      <c r="AH161" s="63">
        <f t="shared" ref="AH161:AH163" ca="1" si="554">IF($C161="あり",IF($AD161&gt;=AH$4,J161/$AQ161,0),IF($AD161&gt;=AH$4,$AO161,0))</f>
        <v>0</v>
      </c>
      <c r="AI161" s="63">
        <f t="shared" ref="AI161:AI163" ca="1" si="555">IF($C161="あり",IF($AD161&gt;=AI$4,K161/$AQ161,0),IF($AD161&gt;=AI$4,$AO161,0))</f>
        <v>0</v>
      </c>
      <c r="AJ161" s="63">
        <f t="shared" ref="AJ161:AJ163" ca="1" si="556">IF($C161="あり",IF($AD161&gt;=AJ$4,L161/$AQ161,0),IF($AD161&gt;=AJ$4,$AO161,0))</f>
        <v>0</v>
      </c>
      <c r="AK161" s="63">
        <f t="shared" ref="AK161:AK163" ca="1" si="557">IF($C161="あり",IF($AD161&gt;=AK$4,M161/$AQ161,0),IF($AD161&gt;=AK$4,$AO161,0))</f>
        <v>0</v>
      </c>
      <c r="AL161" s="63">
        <f ca="1">IF($C161="あり",IF($AD161&gt;=7,N161/$AQ161,0),IF($AD161&gt;=7,$AO161*($AD161-6),0))</f>
        <v>0</v>
      </c>
      <c r="AM161" s="64" t="s">
        <v>46</v>
      </c>
      <c r="AN161" s="63">
        <f ca="1">SUM(AE161:AM161)</f>
        <v>0</v>
      </c>
      <c r="AO161" s="68" t="e">
        <f ca="1">1/(AC161+AD161)</f>
        <v>#DIV/0!</v>
      </c>
      <c r="AP161" s="67">
        <v>0</v>
      </c>
      <c r="AQ161" s="68">
        <f ca="1">IF(AC161&gt;=1,G161,0)+SUMIF($H$4:$M$4,"&lt;="&amp;AD161,$H161:$M161)+IF(AD161&gt;=7,N161,0)</f>
        <v>0</v>
      </c>
    </row>
    <row r="162" spans="1:43" x14ac:dyDescent="0.15">
      <c r="A162" s="50"/>
      <c r="B162" s="50"/>
      <c r="C162" s="145">
        <f ca="1">OFFSET(①簡易状況入力!$C$5,MATCH(A160,①簡易状況入力!$C$5:$C$104,0)-1,19)</f>
        <v>0</v>
      </c>
      <c r="D162" s="148" t="s">
        <v>50</v>
      </c>
      <c r="E162" s="56">
        <f t="shared" ref="E162" ca="1" si="558">E161</f>
        <v>0</v>
      </c>
      <c r="F162" s="56">
        <f ca="1">F161</f>
        <v>0</v>
      </c>
      <c r="G162" s="104"/>
      <c r="H162" s="104"/>
      <c r="I162" s="104"/>
      <c r="J162" s="104"/>
      <c r="K162" s="104"/>
      <c r="L162" s="104"/>
      <c r="M162" s="104"/>
      <c r="N162" s="104"/>
      <c r="O162" s="106"/>
      <c r="Q162" s="50"/>
      <c r="R162" s="58"/>
      <c r="S162" s="165" t="s">
        <v>28</v>
      </c>
      <c r="T162" s="146" t="s">
        <v>35</v>
      </c>
      <c r="U162" s="35">
        <f ca="1">OFFSET(①簡易状況入力!$C$5,MATCH(A160,①簡易状況入力!$C$5:$C$104,0)-1,2)</f>
        <v>0</v>
      </c>
      <c r="V162" s="58"/>
      <c r="W162" s="146" t="s">
        <v>33</v>
      </c>
      <c r="X162" s="37">
        <f ca="1">OFFSET(①簡易状況入力!$C$5,MATCH(A160,①簡易状況入力!$C$5:$C$104,0)-1,6)</f>
        <v>0</v>
      </c>
      <c r="Y162" s="149">
        <f ca="1">OFFSET(①簡易状況入力!$C$5,MATCH(A160,①簡易状況入力!$C$5:$C$104,0)-1,11)</f>
        <v>0</v>
      </c>
      <c r="Z162" s="167">
        <f ca="1">OFFSET(①簡易状況入力!$C$5,MATCH(A160,①簡易状況入力!$C$5:$C$104,0)-1,12)</f>
        <v>0</v>
      </c>
      <c r="AA162" s="168"/>
      <c r="AB162" s="148" t="s">
        <v>50</v>
      </c>
      <c r="AC162" s="56">
        <f t="shared" ref="AC162:AD162" ca="1" si="559">AC161</f>
        <v>0</v>
      </c>
      <c r="AD162" s="56">
        <f t="shared" ca="1" si="559"/>
        <v>0</v>
      </c>
      <c r="AE162" s="63">
        <f ca="1">IF($C162="あり",IF(AC162&gt;=1,G162/AQ162,0),IF(AC162&gt;=1,AO162*AC162,0))</f>
        <v>0</v>
      </c>
      <c r="AF162" s="63">
        <f t="shared" ca="1" si="552"/>
        <v>0</v>
      </c>
      <c r="AG162" s="63">
        <f t="shared" ca="1" si="553"/>
        <v>0</v>
      </c>
      <c r="AH162" s="63">
        <f t="shared" ca="1" si="554"/>
        <v>0</v>
      </c>
      <c r="AI162" s="63">
        <f t="shared" ca="1" si="555"/>
        <v>0</v>
      </c>
      <c r="AJ162" s="63">
        <f t="shared" ca="1" si="556"/>
        <v>0</v>
      </c>
      <c r="AK162" s="63">
        <f t="shared" ca="1" si="557"/>
        <v>0</v>
      </c>
      <c r="AL162" s="63">
        <f ca="1">IF($C162="あり",IF($AD162&gt;=7,N162/$AQ162,0),IF($AD162&gt;=7,$AO162*($AD162-6),0))</f>
        <v>0</v>
      </c>
      <c r="AM162" s="65">
        <f ca="1">IF(C162="あり",O162/AQ162,AP162)</f>
        <v>0</v>
      </c>
      <c r="AN162" s="63">
        <f ca="1">SUM(AE162:AM162)</f>
        <v>0</v>
      </c>
      <c r="AO162" s="68" t="e">
        <f ca="1">1/(AC162+AD162)</f>
        <v>#DIV/0!</v>
      </c>
      <c r="AP162" s="67">
        <v>0</v>
      </c>
      <c r="AQ162" s="68">
        <f ca="1">IF(AC162&gt;=1,G162,0)+SUMIF($H$4:$M$4,"&lt;="&amp;AD162,$H162:$M162)+IF(AD162&gt;=7,N162,0)+O162</f>
        <v>0</v>
      </c>
    </row>
    <row r="163" spans="1:43" x14ac:dyDescent="0.15">
      <c r="A163" s="50"/>
      <c r="B163" s="50"/>
      <c r="C163" s="145">
        <f ca="1">OFFSET(①簡易状況入力!$C$5,MATCH(A160,①簡易状況入力!$C$5:$C$104,0)-1,20)</f>
        <v>0</v>
      </c>
      <c r="D163" s="148" t="s">
        <v>51</v>
      </c>
      <c r="E163" s="56">
        <f t="shared" ref="E163:F163" ca="1" si="560">E162</f>
        <v>0</v>
      </c>
      <c r="F163" s="56">
        <f t="shared" ca="1" si="560"/>
        <v>0</v>
      </c>
      <c r="G163" s="104"/>
      <c r="H163" s="104"/>
      <c r="I163" s="104"/>
      <c r="J163" s="104"/>
      <c r="K163" s="104"/>
      <c r="L163" s="104"/>
      <c r="M163" s="104"/>
      <c r="N163" s="104"/>
      <c r="O163" s="106"/>
      <c r="Q163" s="50"/>
      <c r="R163" s="58"/>
      <c r="S163" s="166"/>
      <c r="T163" s="146" t="s">
        <v>34</v>
      </c>
      <c r="U163" s="35">
        <f ca="1">OFFSET(①簡易状況入力!$C$5,MATCH(A160,①簡易状況入力!$C$5:$C$104,0)-1,3)</f>
        <v>0</v>
      </c>
      <c r="V163" s="58"/>
      <c r="W163" s="146" t="s">
        <v>118</v>
      </c>
      <c r="X163" s="37">
        <f ca="1">OFFSET(①簡易状況入力!$C$5,MATCH(A160,①簡易状況入力!$C$5:$C$104,0)-1,7)</f>
        <v>0</v>
      </c>
      <c r="Y163" s="149">
        <f ca="1">OFFSET(①簡易状況入力!$C$5,MATCH(A160,①簡易状況入力!$C$5:$C$104,0)-1,13)</f>
        <v>0</v>
      </c>
      <c r="Z163" s="167">
        <f ca="1">OFFSET(①簡易状況入力!$C$5,MATCH(A160,①簡易状況入力!$C$5:$C$104,0)-1,14)</f>
        <v>0</v>
      </c>
      <c r="AA163" s="168"/>
      <c r="AB163" s="148" t="s">
        <v>51</v>
      </c>
      <c r="AC163" s="56">
        <f t="shared" ref="AC163:AD163" ca="1" si="561">AC162</f>
        <v>0</v>
      </c>
      <c r="AD163" s="56">
        <f t="shared" ca="1" si="561"/>
        <v>0</v>
      </c>
      <c r="AE163" s="63">
        <f ca="1">IF($C163="あり",IF(AC163&gt;=1,G163/AQ163,0),IF(AC163&gt;=1,AO163*AC163,0))</f>
        <v>0</v>
      </c>
      <c r="AF163" s="63">
        <f t="shared" ca="1" si="552"/>
        <v>0</v>
      </c>
      <c r="AG163" s="63">
        <f t="shared" ca="1" si="553"/>
        <v>0</v>
      </c>
      <c r="AH163" s="63">
        <f t="shared" ca="1" si="554"/>
        <v>0</v>
      </c>
      <c r="AI163" s="63">
        <f t="shared" ca="1" si="555"/>
        <v>0</v>
      </c>
      <c r="AJ163" s="63">
        <f t="shared" ca="1" si="556"/>
        <v>0</v>
      </c>
      <c r="AK163" s="63">
        <f t="shared" ca="1" si="557"/>
        <v>0</v>
      </c>
      <c r="AL163" s="63">
        <f ca="1">IF($C163="あり",IF($AD163&gt;=7,N163/$AQ163,0),IF($AD163&gt;=7,$AO163*($AD163-6),0))</f>
        <v>0</v>
      </c>
      <c r="AM163" s="65">
        <f ca="1">IF(C163="あり",O163/AQ163,AP163)</f>
        <v>0</v>
      </c>
      <c r="AN163" s="63">
        <f ca="1">SUM(AE163:AM163)</f>
        <v>0</v>
      </c>
      <c r="AO163" s="68" t="e">
        <f ca="1">1/(AC163+AD163)</f>
        <v>#DIV/0!</v>
      </c>
      <c r="AP163" s="67">
        <v>0</v>
      </c>
      <c r="AQ163" s="68">
        <f ca="1">IF(AC163&gt;=1,G163,0)+SUMIF($H$4:$M$4,"&lt;="&amp;AD163,$H163:$M163)+IF(AD163&gt;=7,N163,0)+O163</f>
        <v>0</v>
      </c>
    </row>
    <row r="164" spans="1:43" x14ac:dyDescent="0.15">
      <c r="G164" s="107"/>
      <c r="H164" s="107"/>
      <c r="I164" s="107"/>
      <c r="J164" s="107"/>
      <c r="K164" s="107"/>
      <c r="L164" s="107"/>
      <c r="M164" s="107"/>
      <c r="N164" s="107"/>
      <c r="O164" s="107"/>
    </row>
    <row r="165" spans="1:43" x14ac:dyDescent="0.15">
      <c r="A165" s="59" t="s">
        <v>348</v>
      </c>
      <c r="B165" s="60">
        <f ca="1">OFFSET(①簡易状況入力!$C$5,MATCH(A165,①簡易状況入力!$C$5:$C$104,0)-1,1)</f>
        <v>0</v>
      </c>
      <c r="C165" s="145">
        <f ca="1">OFFSET(①簡易状況入力!$C$5,MATCH(A165,①簡易状況入力!$C$5:$C$104,0)-1,17)</f>
        <v>0</v>
      </c>
      <c r="D165" s="148" t="s">
        <v>47</v>
      </c>
      <c r="E165" s="56">
        <f ca="1">U168</f>
        <v>0</v>
      </c>
      <c r="F165" s="56">
        <f ca="1">U167</f>
        <v>0</v>
      </c>
      <c r="G165" s="102"/>
      <c r="H165" s="103"/>
      <c r="I165" s="103"/>
      <c r="J165" s="103"/>
      <c r="K165" s="103"/>
      <c r="L165" s="103"/>
      <c r="M165" s="103"/>
      <c r="N165" s="103"/>
      <c r="O165" s="103"/>
      <c r="Q165" s="57">
        <f ca="1">OFFSET(①簡易状況入力!$C$5,MATCH(A165,①簡易状況入力!$C$5:$C$104,0)-1,15)</f>
        <v>0</v>
      </c>
      <c r="R165" s="58"/>
      <c r="S165" s="58"/>
      <c r="T165" s="58"/>
      <c r="U165" s="58"/>
      <c r="V165" s="58"/>
      <c r="W165" s="58"/>
      <c r="X165" s="58"/>
      <c r="Y165" s="58"/>
      <c r="Z165" s="58"/>
      <c r="AA165" s="58"/>
      <c r="AB165" s="148" t="s">
        <v>47</v>
      </c>
      <c r="AC165" s="56">
        <f ca="1">U168</f>
        <v>0</v>
      </c>
      <c r="AD165" s="56">
        <f ca="1">U167</f>
        <v>0</v>
      </c>
      <c r="AE165" s="62" t="s">
        <v>46</v>
      </c>
      <c r="AF165" s="62" t="str">
        <f t="shared" ref="AF165" ca="1" si="562">IF($C165="あり",IF(AF$4&lt;=$AD165,H165,"-"),IF(AF$4&lt;=$AD165,$AO165,"-"))</f>
        <v>-</v>
      </c>
      <c r="AG165" s="62" t="str">
        <f t="shared" ref="AG165" ca="1" si="563">IF($C165="あり",IF(AG$4&lt;=$AD165,I165,"-"),IF(AG$4&lt;=$AD165,$AO165,"-"))</f>
        <v>-</v>
      </c>
      <c r="AH165" s="62" t="str">
        <f t="shared" ref="AH165" ca="1" si="564">IF($C165="あり",IF(AH$4&lt;=$AD165,J165,"-"),IF(AH$4&lt;=$AD165,$AO165,"-"))</f>
        <v>-</v>
      </c>
      <c r="AI165" s="62" t="str">
        <f t="shared" ref="AI165" ca="1" si="565">IF($C165="あり",IF(AI$4&lt;=$AD165,K165,"-"),IF(AI$4&lt;=$AD165,$AO165,"-"))</f>
        <v>-</v>
      </c>
      <c r="AJ165" s="62" t="str">
        <f t="shared" ref="AJ165" ca="1" si="566">IF($C165="あり",IF(AJ$4&lt;=$AD165,L165,"-"),IF(AJ$4&lt;=$AD165,$AO165,"-"))</f>
        <v>-</v>
      </c>
      <c r="AK165" s="62" t="str">
        <f t="shared" ref="AK165" ca="1" si="567">IF($C165="あり",IF(AK$4&lt;=$AD165,M165,"-"),IF(AK$4&lt;=$AD165,$AO165,"-"))</f>
        <v>-</v>
      </c>
      <c r="AL165" s="62" t="str">
        <f ca="1">IF($C165="あり",IF(7&lt;=$AD165,N165,"-"),IF(7&lt;=$AD165,$AO165*($AD165-6),"-"))</f>
        <v>-</v>
      </c>
      <c r="AM165" s="62">
        <f ca="1">IF(C165="あり",O165,AP165)</f>
        <v>0</v>
      </c>
      <c r="AN165" s="62">
        <f ca="1">SUM(U166,AF165:AM165)</f>
        <v>0</v>
      </c>
      <c r="AO165" s="42">
        <f ca="1">OFFSET(【DB】被害率係数!$A$4,MATCH(②詳細状況入力!$Y166,【DB】被害率係数!$A$4:$A$19,0)-1,16)</f>
        <v>0</v>
      </c>
      <c r="AP165" s="42">
        <f ca="1">OFFSET(【DB】被害率係数!$A$4,MATCH(②詳細状況入力!$Y166,【DB】被害率係数!$A$4:$A$19,0)-1,17)</f>
        <v>0</v>
      </c>
      <c r="AQ165" s="42"/>
    </row>
    <row r="166" spans="1:43" x14ac:dyDescent="0.15">
      <c r="A166" s="50"/>
      <c r="B166" s="50"/>
      <c r="C166" s="145">
        <f ca="1">OFFSET(①簡易状況入力!$C$5,MATCH(A165,①簡易状況入力!$C$5:$C$104,0)-1,18)</f>
        <v>0</v>
      </c>
      <c r="D166" s="148" t="s">
        <v>52</v>
      </c>
      <c r="E166" s="56">
        <f t="shared" ref="E166:F166" ca="1" si="568">E165</f>
        <v>0</v>
      </c>
      <c r="F166" s="56">
        <f t="shared" ca="1" si="568"/>
        <v>0</v>
      </c>
      <c r="G166" s="104"/>
      <c r="H166" s="104"/>
      <c r="I166" s="104"/>
      <c r="J166" s="104"/>
      <c r="K166" s="104"/>
      <c r="L166" s="104"/>
      <c r="M166" s="104"/>
      <c r="N166" s="104"/>
      <c r="O166" s="105"/>
      <c r="Q166" s="57">
        <f ca="1">OFFSET(①簡易状況入力!$C$5,MATCH(A165,①簡易状況入力!$C$5:$C$104,0)-1,16)</f>
        <v>0</v>
      </c>
      <c r="R166" s="58"/>
      <c r="S166" s="146" t="s">
        <v>115</v>
      </c>
      <c r="T166" s="146" t="s">
        <v>116</v>
      </c>
      <c r="U166" s="36">
        <f ca="1">OFFSET(①簡易状況入力!$C$5,MATCH(A165,①簡易状況入力!$C$5:$C$104,0)-1,4)</f>
        <v>0</v>
      </c>
      <c r="V166" s="58"/>
      <c r="W166" s="146" t="s">
        <v>30</v>
      </c>
      <c r="X166" s="37">
        <f ca="1">OFFSET(①簡易状況入力!$C$5,MATCH(A165,①簡易状況入力!$C$5:$C$104,0)-1,5)</f>
        <v>0</v>
      </c>
      <c r="Y166" s="149">
        <f ca="1">OFFSET(①簡易状況入力!$C$5,MATCH(A165,①簡易状況入力!$C$5:$C$104,0)-1,8)</f>
        <v>0</v>
      </c>
      <c r="Z166" s="149">
        <f ca="1">OFFSET(①簡易状況入力!$C$5,MATCH(A165,①簡易状況入力!$C$5:$C$104,0)-1,9)</f>
        <v>0</v>
      </c>
      <c r="AA166" s="149">
        <f ca="1">OFFSET(①簡易状況入力!$C$5,MATCH(A165,①簡易状況入力!$C$5:$C$104,0)-1,10)</f>
        <v>0</v>
      </c>
      <c r="AB166" s="148" t="s">
        <v>52</v>
      </c>
      <c r="AC166" s="56">
        <f t="shared" ref="AC166:AD166" ca="1" si="569">AC165</f>
        <v>0</v>
      </c>
      <c r="AD166" s="56">
        <f t="shared" ca="1" si="569"/>
        <v>0</v>
      </c>
      <c r="AE166" s="63">
        <f ca="1">IF($C166="あり",IF(AC166&gt;=1,G166/AQ166,0),IF(AC166&gt;=1,AO166*AC166,0))</f>
        <v>0</v>
      </c>
      <c r="AF166" s="63">
        <f t="shared" ref="AF166:AF168" ca="1" si="570">IF($C166="あり",IF($AD166&gt;=AF$4,H166/$AQ166,0),IF($AD166&gt;=AF$4,$AO166,0))</f>
        <v>0</v>
      </c>
      <c r="AG166" s="63">
        <f t="shared" ref="AG166:AG168" ca="1" si="571">IF($C166="あり",IF($AD166&gt;=AG$4,I166/$AQ166,0),IF($AD166&gt;=AG$4,$AO166,0))</f>
        <v>0</v>
      </c>
      <c r="AH166" s="63">
        <f t="shared" ref="AH166:AH168" ca="1" si="572">IF($C166="あり",IF($AD166&gt;=AH$4,J166/$AQ166,0),IF($AD166&gt;=AH$4,$AO166,0))</f>
        <v>0</v>
      </c>
      <c r="AI166" s="63">
        <f t="shared" ref="AI166:AI168" ca="1" si="573">IF($C166="あり",IF($AD166&gt;=AI$4,K166/$AQ166,0),IF($AD166&gt;=AI$4,$AO166,0))</f>
        <v>0</v>
      </c>
      <c r="AJ166" s="63">
        <f t="shared" ref="AJ166:AJ168" ca="1" si="574">IF($C166="あり",IF($AD166&gt;=AJ$4,L166/$AQ166,0),IF($AD166&gt;=AJ$4,$AO166,0))</f>
        <v>0</v>
      </c>
      <c r="AK166" s="63">
        <f t="shared" ref="AK166:AK168" ca="1" si="575">IF($C166="あり",IF($AD166&gt;=AK$4,M166/$AQ166,0),IF($AD166&gt;=AK$4,$AO166,0))</f>
        <v>0</v>
      </c>
      <c r="AL166" s="63">
        <f ca="1">IF($C166="あり",IF($AD166&gt;=7,N166/$AQ166,0),IF($AD166&gt;=7,$AO166*($AD166-6),0))</f>
        <v>0</v>
      </c>
      <c r="AM166" s="64" t="s">
        <v>46</v>
      </c>
      <c r="AN166" s="63">
        <f ca="1">SUM(AE166:AM166)</f>
        <v>0</v>
      </c>
      <c r="AO166" s="68" t="e">
        <f ca="1">1/(AC166+AD166)</f>
        <v>#DIV/0!</v>
      </c>
      <c r="AP166" s="67">
        <v>0</v>
      </c>
      <c r="AQ166" s="68">
        <f ca="1">IF(AC166&gt;=1,G166,0)+SUMIF($H$4:$M$4,"&lt;="&amp;AD166,$H166:$M166)+IF(AD166&gt;=7,N166,0)</f>
        <v>0</v>
      </c>
    </row>
    <row r="167" spans="1:43" x14ac:dyDescent="0.15">
      <c r="A167" s="50"/>
      <c r="B167" s="50"/>
      <c r="C167" s="145">
        <f ca="1">OFFSET(①簡易状況入力!$C$5,MATCH(A165,①簡易状況入力!$C$5:$C$104,0)-1,19)</f>
        <v>0</v>
      </c>
      <c r="D167" s="148" t="s">
        <v>50</v>
      </c>
      <c r="E167" s="56">
        <f t="shared" ref="E167" ca="1" si="576">E166</f>
        <v>0</v>
      </c>
      <c r="F167" s="56">
        <f ca="1">F166</f>
        <v>0</v>
      </c>
      <c r="G167" s="104"/>
      <c r="H167" s="104"/>
      <c r="I167" s="104"/>
      <c r="J167" s="104"/>
      <c r="K167" s="104"/>
      <c r="L167" s="104"/>
      <c r="M167" s="104"/>
      <c r="N167" s="104"/>
      <c r="O167" s="106"/>
      <c r="Q167" s="50"/>
      <c r="R167" s="58"/>
      <c r="S167" s="165" t="s">
        <v>28</v>
      </c>
      <c r="T167" s="146" t="s">
        <v>35</v>
      </c>
      <c r="U167" s="35">
        <f ca="1">OFFSET(①簡易状況入力!$C$5,MATCH(A165,①簡易状況入力!$C$5:$C$104,0)-1,2)</f>
        <v>0</v>
      </c>
      <c r="V167" s="58"/>
      <c r="W167" s="146" t="s">
        <v>33</v>
      </c>
      <c r="X167" s="37">
        <f ca="1">OFFSET(①簡易状況入力!$C$5,MATCH(A165,①簡易状況入力!$C$5:$C$104,0)-1,6)</f>
        <v>0</v>
      </c>
      <c r="Y167" s="149">
        <f ca="1">OFFSET(①簡易状況入力!$C$5,MATCH(A165,①簡易状況入力!$C$5:$C$104,0)-1,11)</f>
        <v>0</v>
      </c>
      <c r="Z167" s="167">
        <f ca="1">OFFSET(①簡易状況入力!$C$5,MATCH(A165,①簡易状況入力!$C$5:$C$104,0)-1,12)</f>
        <v>0</v>
      </c>
      <c r="AA167" s="168"/>
      <c r="AB167" s="148" t="s">
        <v>50</v>
      </c>
      <c r="AC167" s="56">
        <f t="shared" ref="AC167:AD167" ca="1" si="577">AC166</f>
        <v>0</v>
      </c>
      <c r="AD167" s="56">
        <f t="shared" ca="1" si="577"/>
        <v>0</v>
      </c>
      <c r="AE167" s="63">
        <f ca="1">IF($C167="あり",IF(AC167&gt;=1,G167/AQ167,0),IF(AC167&gt;=1,AO167*AC167,0))</f>
        <v>0</v>
      </c>
      <c r="AF167" s="63">
        <f t="shared" ca="1" si="570"/>
        <v>0</v>
      </c>
      <c r="AG167" s="63">
        <f t="shared" ca="1" si="571"/>
        <v>0</v>
      </c>
      <c r="AH167" s="63">
        <f t="shared" ca="1" si="572"/>
        <v>0</v>
      </c>
      <c r="AI167" s="63">
        <f t="shared" ca="1" si="573"/>
        <v>0</v>
      </c>
      <c r="AJ167" s="63">
        <f t="shared" ca="1" si="574"/>
        <v>0</v>
      </c>
      <c r="AK167" s="63">
        <f t="shared" ca="1" si="575"/>
        <v>0</v>
      </c>
      <c r="AL167" s="63">
        <f ca="1">IF($C167="あり",IF($AD167&gt;=7,N167/$AQ167,0),IF($AD167&gt;=7,$AO167*($AD167-6),0))</f>
        <v>0</v>
      </c>
      <c r="AM167" s="65">
        <f ca="1">IF(C167="あり",O167/AQ167,AP167)</f>
        <v>0</v>
      </c>
      <c r="AN167" s="63">
        <f ca="1">SUM(AE167:AM167)</f>
        <v>0</v>
      </c>
      <c r="AO167" s="68" t="e">
        <f ca="1">1/(AC167+AD167)</f>
        <v>#DIV/0!</v>
      </c>
      <c r="AP167" s="67">
        <v>0</v>
      </c>
      <c r="AQ167" s="68">
        <f ca="1">IF(AC167&gt;=1,G167,0)+SUMIF($H$4:$M$4,"&lt;="&amp;AD167,$H167:$M167)+IF(AD167&gt;=7,N167,0)+O167</f>
        <v>0</v>
      </c>
    </row>
    <row r="168" spans="1:43" x14ac:dyDescent="0.15">
      <c r="A168" s="50"/>
      <c r="B168" s="50"/>
      <c r="C168" s="145">
        <f ca="1">OFFSET(①簡易状況入力!$C$5,MATCH(A165,①簡易状況入力!$C$5:$C$104,0)-1,20)</f>
        <v>0</v>
      </c>
      <c r="D168" s="148" t="s">
        <v>51</v>
      </c>
      <c r="E168" s="56">
        <f t="shared" ref="E168:F168" ca="1" si="578">E167</f>
        <v>0</v>
      </c>
      <c r="F168" s="56">
        <f t="shared" ca="1" si="578"/>
        <v>0</v>
      </c>
      <c r="G168" s="104"/>
      <c r="H168" s="104"/>
      <c r="I168" s="104"/>
      <c r="J168" s="104"/>
      <c r="K168" s="104"/>
      <c r="L168" s="104"/>
      <c r="M168" s="104"/>
      <c r="N168" s="104"/>
      <c r="O168" s="106"/>
      <c r="Q168" s="50"/>
      <c r="R168" s="58"/>
      <c r="S168" s="166"/>
      <c r="T168" s="146" t="s">
        <v>34</v>
      </c>
      <c r="U168" s="35">
        <f ca="1">OFFSET(①簡易状況入力!$C$5,MATCH(A165,①簡易状況入力!$C$5:$C$104,0)-1,3)</f>
        <v>0</v>
      </c>
      <c r="V168" s="58"/>
      <c r="W168" s="146" t="s">
        <v>118</v>
      </c>
      <c r="X168" s="37">
        <f ca="1">OFFSET(①簡易状況入力!$C$5,MATCH(A165,①簡易状況入力!$C$5:$C$104,0)-1,7)</f>
        <v>0</v>
      </c>
      <c r="Y168" s="149">
        <f ca="1">OFFSET(①簡易状況入力!$C$5,MATCH(A165,①簡易状況入力!$C$5:$C$104,0)-1,13)</f>
        <v>0</v>
      </c>
      <c r="Z168" s="167">
        <f ca="1">OFFSET(①簡易状況入力!$C$5,MATCH(A165,①簡易状況入力!$C$5:$C$104,0)-1,14)</f>
        <v>0</v>
      </c>
      <c r="AA168" s="168"/>
      <c r="AB168" s="148" t="s">
        <v>51</v>
      </c>
      <c r="AC168" s="56">
        <f t="shared" ref="AC168:AD168" ca="1" si="579">AC167</f>
        <v>0</v>
      </c>
      <c r="AD168" s="56">
        <f t="shared" ca="1" si="579"/>
        <v>0</v>
      </c>
      <c r="AE168" s="63">
        <f ca="1">IF($C168="あり",IF(AC168&gt;=1,G168/AQ168,0),IF(AC168&gt;=1,AO168*AC168,0))</f>
        <v>0</v>
      </c>
      <c r="AF168" s="63">
        <f t="shared" ca="1" si="570"/>
        <v>0</v>
      </c>
      <c r="AG168" s="63">
        <f t="shared" ca="1" si="571"/>
        <v>0</v>
      </c>
      <c r="AH168" s="63">
        <f t="shared" ca="1" si="572"/>
        <v>0</v>
      </c>
      <c r="AI168" s="63">
        <f t="shared" ca="1" si="573"/>
        <v>0</v>
      </c>
      <c r="AJ168" s="63">
        <f t="shared" ca="1" si="574"/>
        <v>0</v>
      </c>
      <c r="AK168" s="63">
        <f t="shared" ca="1" si="575"/>
        <v>0</v>
      </c>
      <c r="AL168" s="63">
        <f ca="1">IF($C168="あり",IF($AD168&gt;=7,N168/$AQ168,0),IF($AD168&gt;=7,$AO168*($AD168-6),0))</f>
        <v>0</v>
      </c>
      <c r="AM168" s="65">
        <f ca="1">IF(C168="あり",O168/AQ168,AP168)</f>
        <v>0</v>
      </c>
      <c r="AN168" s="63">
        <f ca="1">SUM(AE168:AM168)</f>
        <v>0</v>
      </c>
      <c r="AO168" s="68" t="e">
        <f ca="1">1/(AC168+AD168)</f>
        <v>#DIV/0!</v>
      </c>
      <c r="AP168" s="67">
        <v>0</v>
      </c>
      <c r="AQ168" s="68">
        <f ca="1">IF(AC168&gt;=1,G168,0)+SUMIF($H$4:$M$4,"&lt;="&amp;AD168,$H168:$M168)+IF(AD168&gt;=7,N168,0)+O168</f>
        <v>0</v>
      </c>
    </row>
    <row r="169" spans="1:43" x14ac:dyDescent="0.15">
      <c r="G169" s="107"/>
      <c r="H169" s="107"/>
      <c r="I169" s="107"/>
      <c r="J169" s="107"/>
      <c r="K169" s="107"/>
      <c r="L169" s="107"/>
      <c r="M169" s="107"/>
      <c r="N169" s="107"/>
      <c r="O169" s="107"/>
    </row>
    <row r="170" spans="1:43" x14ac:dyDescent="0.15">
      <c r="A170" s="59" t="s">
        <v>349</v>
      </c>
      <c r="B170" s="60">
        <f ca="1">OFFSET(①簡易状況入力!$C$5,MATCH(A170,①簡易状況入力!$C$5:$C$104,0)-1,1)</f>
        <v>0</v>
      </c>
      <c r="C170" s="145">
        <f ca="1">OFFSET(①簡易状況入力!$C$5,MATCH(A170,①簡易状況入力!$C$5:$C$104,0)-1,17)</f>
        <v>0</v>
      </c>
      <c r="D170" s="148" t="s">
        <v>47</v>
      </c>
      <c r="E170" s="56">
        <f ca="1">U173</f>
        <v>0</v>
      </c>
      <c r="F170" s="56">
        <f ca="1">U172</f>
        <v>0</v>
      </c>
      <c r="G170" s="102"/>
      <c r="H170" s="103"/>
      <c r="I170" s="103"/>
      <c r="J170" s="103"/>
      <c r="K170" s="103"/>
      <c r="L170" s="103"/>
      <c r="M170" s="103"/>
      <c r="N170" s="103"/>
      <c r="O170" s="103"/>
      <c r="Q170" s="57">
        <f ca="1">OFFSET(①簡易状況入力!$C$5,MATCH(A170,①簡易状況入力!$C$5:$C$104,0)-1,15)</f>
        <v>0</v>
      </c>
      <c r="R170" s="58"/>
      <c r="S170" s="58"/>
      <c r="T170" s="58"/>
      <c r="U170" s="58"/>
      <c r="V170" s="58"/>
      <c r="W170" s="58"/>
      <c r="X170" s="58"/>
      <c r="Y170" s="58"/>
      <c r="Z170" s="58"/>
      <c r="AA170" s="58"/>
      <c r="AB170" s="148" t="s">
        <v>47</v>
      </c>
      <c r="AC170" s="56">
        <f ca="1">U173</f>
        <v>0</v>
      </c>
      <c r="AD170" s="56">
        <f ca="1">U172</f>
        <v>0</v>
      </c>
      <c r="AE170" s="62" t="s">
        <v>46</v>
      </c>
      <c r="AF170" s="62" t="str">
        <f t="shared" ref="AF170" ca="1" si="580">IF($C170="あり",IF(AF$4&lt;=$AD170,H170,"-"),IF(AF$4&lt;=$AD170,$AO170,"-"))</f>
        <v>-</v>
      </c>
      <c r="AG170" s="62" t="str">
        <f t="shared" ref="AG170" ca="1" si="581">IF($C170="あり",IF(AG$4&lt;=$AD170,I170,"-"),IF(AG$4&lt;=$AD170,$AO170,"-"))</f>
        <v>-</v>
      </c>
      <c r="AH170" s="62" t="str">
        <f t="shared" ref="AH170" ca="1" si="582">IF($C170="あり",IF(AH$4&lt;=$AD170,J170,"-"),IF(AH$4&lt;=$AD170,$AO170,"-"))</f>
        <v>-</v>
      </c>
      <c r="AI170" s="62" t="str">
        <f t="shared" ref="AI170" ca="1" si="583">IF($C170="あり",IF(AI$4&lt;=$AD170,K170,"-"),IF(AI$4&lt;=$AD170,$AO170,"-"))</f>
        <v>-</v>
      </c>
      <c r="AJ170" s="62" t="str">
        <f t="shared" ref="AJ170" ca="1" si="584">IF($C170="あり",IF(AJ$4&lt;=$AD170,L170,"-"),IF(AJ$4&lt;=$AD170,$AO170,"-"))</f>
        <v>-</v>
      </c>
      <c r="AK170" s="62" t="str">
        <f t="shared" ref="AK170" ca="1" si="585">IF($C170="あり",IF(AK$4&lt;=$AD170,M170,"-"),IF(AK$4&lt;=$AD170,$AO170,"-"))</f>
        <v>-</v>
      </c>
      <c r="AL170" s="62" t="str">
        <f ca="1">IF($C170="あり",IF(7&lt;=$AD170,N170,"-"),IF(7&lt;=$AD170,$AO170*($AD170-6),"-"))</f>
        <v>-</v>
      </c>
      <c r="AM170" s="62">
        <f ca="1">IF(C170="あり",O170,AP170)</f>
        <v>0</v>
      </c>
      <c r="AN170" s="62">
        <f ca="1">SUM(U171,AF170:AM170)</f>
        <v>0</v>
      </c>
      <c r="AO170" s="42">
        <f ca="1">OFFSET(【DB】被害率係数!$A$4,MATCH(②詳細状況入力!$Y171,【DB】被害率係数!$A$4:$A$19,0)-1,16)</f>
        <v>0</v>
      </c>
      <c r="AP170" s="42">
        <f ca="1">OFFSET(【DB】被害率係数!$A$4,MATCH(②詳細状況入力!$Y171,【DB】被害率係数!$A$4:$A$19,0)-1,17)</f>
        <v>0</v>
      </c>
      <c r="AQ170" s="42"/>
    </row>
    <row r="171" spans="1:43" x14ac:dyDescent="0.15">
      <c r="A171" s="50"/>
      <c r="B171" s="50"/>
      <c r="C171" s="145">
        <f ca="1">OFFSET(①簡易状況入力!$C$5,MATCH(A170,①簡易状況入力!$C$5:$C$104,0)-1,18)</f>
        <v>0</v>
      </c>
      <c r="D171" s="148" t="s">
        <v>52</v>
      </c>
      <c r="E171" s="56">
        <f t="shared" ref="E171:F171" ca="1" si="586">E170</f>
        <v>0</v>
      </c>
      <c r="F171" s="56">
        <f t="shared" ca="1" si="586"/>
        <v>0</v>
      </c>
      <c r="G171" s="104"/>
      <c r="H171" s="104"/>
      <c r="I171" s="104"/>
      <c r="J171" s="104"/>
      <c r="K171" s="104"/>
      <c r="L171" s="104"/>
      <c r="M171" s="104"/>
      <c r="N171" s="104"/>
      <c r="O171" s="105"/>
      <c r="Q171" s="57">
        <f ca="1">OFFSET(①簡易状況入力!$C$5,MATCH(A170,①簡易状況入力!$C$5:$C$104,0)-1,16)</f>
        <v>0</v>
      </c>
      <c r="R171" s="58"/>
      <c r="S171" s="146" t="s">
        <v>115</v>
      </c>
      <c r="T171" s="146" t="s">
        <v>116</v>
      </c>
      <c r="U171" s="36">
        <f ca="1">OFFSET(①簡易状況入力!$C$5,MATCH(A170,①簡易状況入力!$C$5:$C$104,0)-1,4)</f>
        <v>0</v>
      </c>
      <c r="V171" s="58"/>
      <c r="W171" s="146" t="s">
        <v>30</v>
      </c>
      <c r="X171" s="37">
        <f ca="1">OFFSET(①簡易状況入力!$C$5,MATCH(A170,①簡易状況入力!$C$5:$C$104,0)-1,5)</f>
        <v>0</v>
      </c>
      <c r="Y171" s="149">
        <f ca="1">OFFSET(①簡易状況入力!$C$5,MATCH(A170,①簡易状況入力!$C$5:$C$104,0)-1,8)</f>
        <v>0</v>
      </c>
      <c r="Z171" s="149">
        <f ca="1">OFFSET(①簡易状況入力!$C$5,MATCH(A170,①簡易状況入力!$C$5:$C$104,0)-1,9)</f>
        <v>0</v>
      </c>
      <c r="AA171" s="149">
        <f ca="1">OFFSET(①簡易状況入力!$C$5,MATCH(A170,①簡易状況入力!$C$5:$C$104,0)-1,10)</f>
        <v>0</v>
      </c>
      <c r="AB171" s="148" t="s">
        <v>52</v>
      </c>
      <c r="AC171" s="56">
        <f t="shared" ref="AC171:AD171" ca="1" si="587">AC170</f>
        <v>0</v>
      </c>
      <c r="AD171" s="56">
        <f t="shared" ca="1" si="587"/>
        <v>0</v>
      </c>
      <c r="AE171" s="63">
        <f ca="1">IF($C171="あり",IF(AC171&gt;=1,G171/AQ171,0),IF(AC171&gt;=1,AO171*AC171,0))</f>
        <v>0</v>
      </c>
      <c r="AF171" s="63">
        <f t="shared" ref="AF171:AF173" ca="1" si="588">IF($C171="あり",IF($AD171&gt;=AF$4,H171/$AQ171,0),IF($AD171&gt;=AF$4,$AO171,0))</f>
        <v>0</v>
      </c>
      <c r="AG171" s="63">
        <f t="shared" ref="AG171:AG173" ca="1" si="589">IF($C171="あり",IF($AD171&gt;=AG$4,I171/$AQ171,0),IF($AD171&gt;=AG$4,$AO171,0))</f>
        <v>0</v>
      </c>
      <c r="AH171" s="63">
        <f t="shared" ref="AH171:AH173" ca="1" si="590">IF($C171="あり",IF($AD171&gt;=AH$4,J171/$AQ171,0),IF($AD171&gt;=AH$4,$AO171,0))</f>
        <v>0</v>
      </c>
      <c r="AI171" s="63">
        <f t="shared" ref="AI171:AI173" ca="1" si="591">IF($C171="あり",IF($AD171&gt;=AI$4,K171/$AQ171,0),IF($AD171&gt;=AI$4,$AO171,0))</f>
        <v>0</v>
      </c>
      <c r="AJ171" s="63">
        <f t="shared" ref="AJ171:AJ173" ca="1" si="592">IF($C171="あり",IF($AD171&gt;=AJ$4,L171/$AQ171,0),IF($AD171&gt;=AJ$4,$AO171,0))</f>
        <v>0</v>
      </c>
      <c r="AK171" s="63">
        <f t="shared" ref="AK171:AK173" ca="1" si="593">IF($C171="あり",IF($AD171&gt;=AK$4,M171/$AQ171,0),IF($AD171&gt;=AK$4,$AO171,0))</f>
        <v>0</v>
      </c>
      <c r="AL171" s="63">
        <f ca="1">IF($C171="あり",IF($AD171&gt;=7,N171/$AQ171,0),IF($AD171&gt;=7,$AO171*($AD171-6),0))</f>
        <v>0</v>
      </c>
      <c r="AM171" s="64" t="s">
        <v>46</v>
      </c>
      <c r="AN171" s="63">
        <f ca="1">SUM(AE171:AM171)</f>
        <v>0</v>
      </c>
      <c r="AO171" s="68" t="e">
        <f ca="1">1/(AC171+AD171)</f>
        <v>#DIV/0!</v>
      </c>
      <c r="AP171" s="67">
        <v>0</v>
      </c>
      <c r="AQ171" s="68">
        <f ca="1">IF(AC171&gt;=1,G171,0)+SUMIF($H$4:$M$4,"&lt;="&amp;AD171,$H171:$M171)+IF(AD171&gt;=7,N171,0)</f>
        <v>0</v>
      </c>
    </row>
    <row r="172" spans="1:43" x14ac:dyDescent="0.15">
      <c r="A172" s="50"/>
      <c r="B172" s="50"/>
      <c r="C172" s="145">
        <f ca="1">OFFSET(①簡易状況入力!$C$5,MATCH(A170,①簡易状況入力!$C$5:$C$104,0)-1,19)</f>
        <v>0</v>
      </c>
      <c r="D172" s="148" t="s">
        <v>50</v>
      </c>
      <c r="E172" s="56">
        <f t="shared" ref="E172" ca="1" si="594">E171</f>
        <v>0</v>
      </c>
      <c r="F172" s="56">
        <f ca="1">F171</f>
        <v>0</v>
      </c>
      <c r="G172" s="104"/>
      <c r="H172" s="104"/>
      <c r="I172" s="104"/>
      <c r="J172" s="104"/>
      <c r="K172" s="104"/>
      <c r="L172" s="104"/>
      <c r="M172" s="104"/>
      <c r="N172" s="104"/>
      <c r="O172" s="106"/>
      <c r="Q172" s="50"/>
      <c r="R172" s="58"/>
      <c r="S172" s="165" t="s">
        <v>28</v>
      </c>
      <c r="T172" s="146" t="s">
        <v>35</v>
      </c>
      <c r="U172" s="35">
        <f ca="1">OFFSET(①簡易状況入力!$C$5,MATCH(A170,①簡易状況入力!$C$5:$C$104,0)-1,2)</f>
        <v>0</v>
      </c>
      <c r="V172" s="58"/>
      <c r="W172" s="146" t="s">
        <v>33</v>
      </c>
      <c r="X172" s="37">
        <f ca="1">OFFSET(①簡易状況入力!$C$5,MATCH(A170,①簡易状況入力!$C$5:$C$104,0)-1,6)</f>
        <v>0</v>
      </c>
      <c r="Y172" s="149">
        <f ca="1">OFFSET(①簡易状況入力!$C$5,MATCH(A170,①簡易状況入力!$C$5:$C$104,0)-1,11)</f>
        <v>0</v>
      </c>
      <c r="Z172" s="167">
        <f ca="1">OFFSET(①簡易状況入力!$C$5,MATCH(A170,①簡易状況入力!$C$5:$C$104,0)-1,12)</f>
        <v>0</v>
      </c>
      <c r="AA172" s="168"/>
      <c r="AB172" s="148" t="s">
        <v>50</v>
      </c>
      <c r="AC172" s="56">
        <f t="shared" ref="AC172:AD172" ca="1" si="595">AC171</f>
        <v>0</v>
      </c>
      <c r="AD172" s="56">
        <f t="shared" ca="1" si="595"/>
        <v>0</v>
      </c>
      <c r="AE172" s="63">
        <f ca="1">IF($C172="あり",IF(AC172&gt;=1,G172/AQ172,0),IF(AC172&gt;=1,AO172*AC172,0))</f>
        <v>0</v>
      </c>
      <c r="AF172" s="63">
        <f t="shared" ca="1" si="588"/>
        <v>0</v>
      </c>
      <c r="AG172" s="63">
        <f t="shared" ca="1" si="589"/>
        <v>0</v>
      </c>
      <c r="AH172" s="63">
        <f t="shared" ca="1" si="590"/>
        <v>0</v>
      </c>
      <c r="AI172" s="63">
        <f t="shared" ca="1" si="591"/>
        <v>0</v>
      </c>
      <c r="AJ172" s="63">
        <f t="shared" ca="1" si="592"/>
        <v>0</v>
      </c>
      <c r="AK172" s="63">
        <f t="shared" ca="1" si="593"/>
        <v>0</v>
      </c>
      <c r="AL172" s="63">
        <f ca="1">IF($C172="あり",IF($AD172&gt;=7,N172/$AQ172,0),IF($AD172&gt;=7,$AO172*($AD172-6),0))</f>
        <v>0</v>
      </c>
      <c r="AM172" s="65">
        <f ca="1">IF(C172="あり",O172/AQ172,AP172)</f>
        <v>0</v>
      </c>
      <c r="AN172" s="63">
        <f ca="1">SUM(AE172:AM172)</f>
        <v>0</v>
      </c>
      <c r="AO172" s="68" t="e">
        <f ca="1">1/(AC172+AD172)</f>
        <v>#DIV/0!</v>
      </c>
      <c r="AP172" s="67">
        <v>0</v>
      </c>
      <c r="AQ172" s="68">
        <f ca="1">IF(AC172&gt;=1,G172,0)+SUMIF($H$4:$M$4,"&lt;="&amp;AD172,$H172:$M172)+IF(AD172&gt;=7,N172,0)+O172</f>
        <v>0</v>
      </c>
    </row>
    <row r="173" spans="1:43" x14ac:dyDescent="0.15">
      <c r="A173" s="50"/>
      <c r="B173" s="50"/>
      <c r="C173" s="145">
        <f ca="1">OFFSET(①簡易状況入力!$C$5,MATCH(A170,①簡易状況入力!$C$5:$C$104,0)-1,20)</f>
        <v>0</v>
      </c>
      <c r="D173" s="148" t="s">
        <v>51</v>
      </c>
      <c r="E173" s="56">
        <f t="shared" ref="E173:F173" ca="1" si="596">E172</f>
        <v>0</v>
      </c>
      <c r="F173" s="56">
        <f t="shared" ca="1" si="596"/>
        <v>0</v>
      </c>
      <c r="G173" s="104"/>
      <c r="H173" s="104"/>
      <c r="I173" s="104"/>
      <c r="J173" s="104"/>
      <c r="K173" s="104"/>
      <c r="L173" s="104"/>
      <c r="M173" s="104"/>
      <c r="N173" s="104"/>
      <c r="O173" s="106"/>
      <c r="Q173" s="50"/>
      <c r="R173" s="58"/>
      <c r="S173" s="166"/>
      <c r="T173" s="146" t="s">
        <v>34</v>
      </c>
      <c r="U173" s="35">
        <f ca="1">OFFSET(①簡易状況入力!$C$5,MATCH(A170,①簡易状況入力!$C$5:$C$104,0)-1,3)</f>
        <v>0</v>
      </c>
      <c r="V173" s="58"/>
      <c r="W173" s="146" t="s">
        <v>118</v>
      </c>
      <c r="X173" s="37">
        <f ca="1">OFFSET(①簡易状況入力!$C$5,MATCH(A170,①簡易状況入力!$C$5:$C$104,0)-1,7)</f>
        <v>0</v>
      </c>
      <c r="Y173" s="149">
        <f ca="1">OFFSET(①簡易状況入力!$C$5,MATCH(A170,①簡易状況入力!$C$5:$C$104,0)-1,13)</f>
        <v>0</v>
      </c>
      <c r="Z173" s="167">
        <f ca="1">OFFSET(①簡易状況入力!$C$5,MATCH(A170,①簡易状況入力!$C$5:$C$104,0)-1,14)</f>
        <v>0</v>
      </c>
      <c r="AA173" s="168"/>
      <c r="AB173" s="148" t="s">
        <v>51</v>
      </c>
      <c r="AC173" s="56">
        <f t="shared" ref="AC173:AD173" ca="1" si="597">AC172</f>
        <v>0</v>
      </c>
      <c r="AD173" s="56">
        <f t="shared" ca="1" si="597"/>
        <v>0</v>
      </c>
      <c r="AE173" s="63">
        <f ca="1">IF($C173="あり",IF(AC173&gt;=1,G173/AQ173,0),IF(AC173&gt;=1,AO173*AC173,0))</f>
        <v>0</v>
      </c>
      <c r="AF173" s="63">
        <f t="shared" ca="1" si="588"/>
        <v>0</v>
      </c>
      <c r="AG173" s="63">
        <f t="shared" ca="1" si="589"/>
        <v>0</v>
      </c>
      <c r="AH173" s="63">
        <f t="shared" ca="1" si="590"/>
        <v>0</v>
      </c>
      <c r="AI173" s="63">
        <f t="shared" ca="1" si="591"/>
        <v>0</v>
      </c>
      <c r="AJ173" s="63">
        <f t="shared" ca="1" si="592"/>
        <v>0</v>
      </c>
      <c r="AK173" s="63">
        <f t="shared" ca="1" si="593"/>
        <v>0</v>
      </c>
      <c r="AL173" s="63">
        <f ca="1">IF($C173="あり",IF($AD173&gt;=7,N173/$AQ173,0),IF($AD173&gt;=7,$AO173*($AD173-6),0))</f>
        <v>0</v>
      </c>
      <c r="AM173" s="65">
        <f ca="1">IF(C173="あり",O173/AQ173,AP173)</f>
        <v>0</v>
      </c>
      <c r="AN173" s="63">
        <f ca="1">SUM(AE173:AM173)</f>
        <v>0</v>
      </c>
      <c r="AO173" s="68" t="e">
        <f ca="1">1/(AC173+AD173)</f>
        <v>#DIV/0!</v>
      </c>
      <c r="AP173" s="67">
        <v>0</v>
      </c>
      <c r="AQ173" s="68">
        <f ca="1">IF(AC173&gt;=1,G173,0)+SUMIF($H$4:$M$4,"&lt;="&amp;AD173,$H173:$M173)+IF(AD173&gt;=7,N173,0)+O173</f>
        <v>0</v>
      </c>
    </row>
    <row r="174" spans="1:43" x14ac:dyDescent="0.15">
      <c r="G174" s="107"/>
      <c r="H174" s="107"/>
      <c r="I174" s="107"/>
      <c r="J174" s="107"/>
      <c r="K174" s="107"/>
      <c r="L174" s="107"/>
      <c r="M174" s="107"/>
      <c r="N174" s="107"/>
      <c r="O174" s="107"/>
    </row>
    <row r="175" spans="1:43" x14ac:dyDescent="0.15">
      <c r="A175" s="59" t="s">
        <v>350</v>
      </c>
      <c r="B175" s="60">
        <f ca="1">OFFSET(①簡易状況入力!$C$5,MATCH(A175,①簡易状況入力!$C$5:$C$104,0)-1,1)</f>
        <v>0</v>
      </c>
      <c r="C175" s="145">
        <f ca="1">OFFSET(①簡易状況入力!$C$5,MATCH(A175,①簡易状況入力!$C$5:$C$104,0)-1,17)</f>
        <v>0</v>
      </c>
      <c r="D175" s="148" t="s">
        <v>47</v>
      </c>
      <c r="E175" s="56">
        <f ca="1">U178</f>
        <v>0</v>
      </c>
      <c r="F175" s="56">
        <f ca="1">U177</f>
        <v>0</v>
      </c>
      <c r="G175" s="102"/>
      <c r="H175" s="103"/>
      <c r="I175" s="103"/>
      <c r="J175" s="103"/>
      <c r="K175" s="103"/>
      <c r="L175" s="103"/>
      <c r="M175" s="103"/>
      <c r="N175" s="103"/>
      <c r="O175" s="103"/>
      <c r="Q175" s="57">
        <f ca="1">OFFSET(①簡易状況入力!$C$5,MATCH(A175,①簡易状況入力!$C$5:$C$104,0)-1,15)</f>
        <v>0</v>
      </c>
      <c r="R175" s="58"/>
      <c r="S175" s="58"/>
      <c r="T175" s="58"/>
      <c r="U175" s="58"/>
      <c r="V175" s="58"/>
      <c r="W175" s="58"/>
      <c r="X175" s="58"/>
      <c r="Y175" s="58"/>
      <c r="Z175" s="58"/>
      <c r="AA175" s="58"/>
      <c r="AB175" s="148" t="s">
        <v>47</v>
      </c>
      <c r="AC175" s="56">
        <f ca="1">U178</f>
        <v>0</v>
      </c>
      <c r="AD175" s="56">
        <f ca="1">U177</f>
        <v>0</v>
      </c>
      <c r="AE175" s="62" t="s">
        <v>46</v>
      </c>
      <c r="AF175" s="62" t="str">
        <f t="shared" ref="AF175" ca="1" si="598">IF($C175="あり",IF(AF$4&lt;=$AD175,H175,"-"),IF(AF$4&lt;=$AD175,$AO175,"-"))</f>
        <v>-</v>
      </c>
      <c r="AG175" s="62" t="str">
        <f t="shared" ref="AG175" ca="1" si="599">IF($C175="あり",IF(AG$4&lt;=$AD175,I175,"-"),IF(AG$4&lt;=$AD175,$AO175,"-"))</f>
        <v>-</v>
      </c>
      <c r="AH175" s="62" t="str">
        <f t="shared" ref="AH175" ca="1" si="600">IF($C175="あり",IF(AH$4&lt;=$AD175,J175,"-"),IF(AH$4&lt;=$AD175,$AO175,"-"))</f>
        <v>-</v>
      </c>
      <c r="AI175" s="62" t="str">
        <f t="shared" ref="AI175" ca="1" si="601">IF($C175="あり",IF(AI$4&lt;=$AD175,K175,"-"),IF(AI$4&lt;=$AD175,$AO175,"-"))</f>
        <v>-</v>
      </c>
      <c r="AJ175" s="62" t="str">
        <f t="shared" ref="AJ175" ca="1" si="602">IF($C175="あり",IF(AJ$4&lt;=$AD175,L175,"-"),IF(AJ$4&lt;=$AD175,$AO175,"-"))</f>
        <v>-</v>
      </c>
      <c r="AK175" s="62" t="str">
        <f t="shared" ref="AK175" ca="1" si="603">IF($C175="あり",IF(AK$4&lt;=$AD175,M175,"-"),IF(AK$4&lt;=$AD175,$AO175,"-"))</f>
        <v>-</v>
      </c>
      <c r="AL175" s="62" t="str">
        <f ca="1">IF($C175="あり",IF(7&lt;=$AD175,N175,"-"),IF(7&lt;=$AD175,$AO175*($AD175-6),"-"))</f>
        <v>-</v>
      </c>
      <c r="AM175" s="62">
        <f ca="1">IF(C175="あり",O175,AP175)</f>
        <v>0</v>
      </c>
      <c r="AN175" s="62">
        <f ca="1">SUM(U176,AF175:AM175)</f>
        <v>0</v>
      </c>
      <c r="AO175" s="42">
        <f ca="1">OFFSET(【DB】被害率係数!$A$4,MATCH(②詳細状況入力!$Y176,【DB】被害率係数!$A$4:$A$19,0)-1,16)</f>
        <v>0</v>
      </c>
      <c r="AP175" s="42">
        <f ca="1">OFFSET(【DB】被害率係数!$A$4,MATCH(②詳細状況入力!$Y176,【DB】被害率係数!$A$4:$A$19,0)-1,17)</f>
        <v>0</v>
      </c>
      <c r="AQ175" s="42"/>
    </row>
    <row r="176" spans="1:43" x14ac:dyDescent="0.15">
      <c r="A176" s="50"/>
      <c r="B176" s="50"/>
      <c r="C176" s="145">
        <f ca="1">OFFSET(①簡易状況入力!$C$5,MATCH(A175,①簡易状況入力!$C$5:$C$104,0)-1,18)</f>
        <v>0</v>
      </c>
      <c r="D176" s="148" t="s">
        <v>52</v>
      </c>
      <c r="E176" s="56">
        <f t="shared" ref="E176:F176" ca="1" si="604">E175</f>
        <v>0</v>
      </c>
      <c r="F176" s="56">
        <f t="shared" ca="1" si="604"/>
        <v>0</v>
      </c>
      <c r="G176" s="104"/>
      <c r="H176" s="104"/>
      <c r="I176" s="104"/>
      <c r="J176" s="104"/>
      <c r="K176" s="104"/>
      <c r="L176" s="104"/>
      <c r="M176" s="104"/>
      <c r="N176" s="104"/>
      <c r="O176" s="105"/>
      <c r="Q176" s="57">
        <f ca="1">OFFSET(①簡易状況入力!$C$5,MATCH(A175,①簡易状況入力!$C$5:$C$104,0)-1,16)</f>
        <v>0</v>
      </c>
      <c r="R176" s="58"/>
      <c r="S176" s="146" t="s">
        <v>115</v>
      </c>
      <c r="T176" s="146" t="s">
        <v>116</v>
      </c>
      <c r="U176" s="36">
        <f ca="1">OFFSET(①簡易状況入力!$C$5,MATCH(A175,①簡易状況入力!$C$5:$C$104,0)-1,4)</f>
        <v>0</v>
      </c>
      <c r="V176" s="58"/>
      <c r="W176" s="146" t="s">
        <v>30</v>
      </c>
      <c r="X176" s="37">
        <f ca="1">OFFSET(①簡易状況入力!$C$5,MATCH(A175,①簡易状況入力!$C$5:$C$104,0)-1,5)</f>
        <v>0</v>
      </c>
      <c r="Y176" s="149">
        <f ca="1">OFFSET(①簡易状況入力!$C$5,MATCH(A175,①簡易状況入力!$C$5:$C$104,0)-1,8)</f>
        <v>0</v>
      </c>
      <c r="Z176" s="149">
        <f ca="1">OFFSET(①簡易状況入力!$C$5,MATCH(A175,①簡易状況入力!$C$5:$C$104,0)-1,9)</f>
        <v>0</v>
      </c>
      <c r="AA176" s="149">
        <f ca="1">OFFSET(①簡易状況入力!$C$5,MATCH(A175,①簡易状況入力!$C$5:$C$104,0)-1,10)</f>
        <v>0</v>
      </c>
      <c r="AB176" s="148" t="s">
        <v>52</v>
      </c>
      <c r="AC176" s="56">
        <f t="shared" ref="AC176:AD176" ca="1" si="605">AC175</f>
        <v>0</v>
      </c>
      <c r="AD176" s="56">
        <f t="shared" ca="1" si="605"/>
        <v>0</v>
      </c>
      <c r="AE176" s="63">
        <f ca="1">IF($C176="あり",IF(AC176&gt;=1,G176/AQ176,0),IF(AC176&gt;=1,AO176*AC176,0))</f>
        <v>0</v>
      </c>
      <c r="AF176" s="63">
        <f t="shared" ref="AF176:AF178" ca="1" si="606">IF($C176="あり",IF($AD176&gt;=AF$4,H176/$AQ176,0),IF($AD176&gt;=AF$4,$AO176,0))</f>
        <v>0</v>
      </c>
      <c r="AG176" s="63">
        <f t="shared" ref="AG176:AG178" ca="1" si="607">IF($C176="あり",IF($AD176&gt;=AG$4,I176/$AQ176,0),IF($AD176&gt;=AG$4,$AO176,0))</f>
        <v>0</v>
      </c>
      <c r="AH176" s="63">
        <f t="shared" ref="AH176:AH178" ca="1" si="608">IF($C176="あり",IF($AD176&gt;=AH$4,J176/$AQ176,0),IF($AD176&gt;=AH$4,$AO176,0))</f>
        <v>0</v>
      </c>
      <c r="AI176" s="63">
        <f t="shared" ref="AI176:AI178" ca="1" si="609">IF($C176="あり",IF($AD176&gt;=AI$4,K176/$AQ176,0),IF($AD176&gt;=AI$4,$AO176,0))</f>
        <v>0</v>
      </c>
      <c r="AJ176" s="63">
        <f t="shared" ref="AJ176:AJ178" ca="1" si="610">IF($C176="あり",IF($AD176&gt;=AJ$4,L176/$AQ176,0),IF($AD176&gt;=AJ$4,$AO176,0))</f>
        <v>0</v>
      </c>
      <c r="AK176" s="63">
        <f t="shared" ref="AK176:AK178" ca="1" si="611">IF($C176="あり",IF($AD176&gt;=AK$4,M176/$AQ176,0),IF($AD176&gt;=AK$4,$AO176,0))</f>
        <v>0</v>
      </c>
      <c r="AL176" s="63">
        <f ca="1">IF($C176="あり",IF($AD176&gt;=7,N176/$AQ176,0),IF($AD176&gt;=7,$AO176*($AD176-6),0))</f>
        <v>0</v>
      </c>
      <c r="AM176" s="64" t="s">
        <v>46</v>
      </c>
      <c r="AN176" s="63">
        <f ca="1">SUM(AE176:AM176)</f>
        <v>0</v>
      </c>
      <c r="AO176" s="68" t="e">
        <f ca="1">1/(AC176+AD176)</f>
        <v>#DIV/0!</v>
      </c>
      <c r="AP176" s="67">
        <v>0</v>
      </c>
      <c r="AQ176" s="68">
        <f ca="1">IF(AC176&gt;=1,G176,0)+SUMIF($H$4:$M$4,"&lt;="&amp;AD176,$H176:$M176)+IF(AD176&gt;=7,N176,0)</f>
        <v>0</v>
      </c>
    </row>
    <row r="177" spans="1:43" x14ac:dyDescent="0.15">
      <c r="A177" s="50"/>
      <c r="B177" s="50"/>
      <c r="C177" s="145">
        <f ca="1">OFFSET(①簡易状況入力!$C$5,MATCH(A175,①簡易状況入力!$C$5:$C$104,0)-1,19)</f>
        <v>0</v>
      </c>
      <c r="D177" s="148" t="s">
        <v>50</v>
      </c>
      <c r="E177" s="56">
        <f t="shared" ref="E177" ca="1" si="612">E176</f>
        <v>0</v>
      </c>
      <c r="F177" s="56">
        <f ca="1">F176</f>
        <v>0</v>
      </c>
      <c r="G177" s="104"/>
      <c r="H177" s="104"/>
      <c r="I177" s="104"/>
      <c r="J177" s="104"/>
      <c r="K177" s="104"/>
      <c r="L177" s="104"/>
      <c r="M177" s="104"/>
      <c r="N177" s="104"/>
      <c r="O177" s="106"/>
      <c r="Q177" s="50"/>
      <c r="R177" s="58"/>
      <c r="S177" s="165" t="s">
        <v>28</v>
      </c>
      <c r="T177" s="146" t="s">
        <v>35</v>
      </c>
      <c r="U177" s="35">
        <f ca="1">OFFSET(①簡易状況入力!$C$5,MATCH(A175,①簡易状況入力!$C$5:$C$104,0)-1,2)</f>
        <v>0</v>
      </c>
      <c r="V177" s="58"/>
      <c r="W177" s="146" t="s">
        <v>33</v>
      </c>
      <c r="X177" s="37">
        <f ca="1">OFFSET(①簡易状況入力!$C$5,MATCH(A175,①簡易状況入力!$C$5:$C$104,0)-1,6)</f>
        <v>0</v>
      </c>
      <c r="Y177" s="149">
        <f ca="1">OFFSET(①簡易状況入力!$C$5,MATCH(A175,①簡易状況入力!$C$5:$C$104,0)-1,11)</f>
        <v>0</v>
      </c>
      <c r="Z177" s="167">
        <f ca="1">OFFSET(①簡易状況入力!$C$5,MATCH(A175,①簡易状況入力!$C$5:$C$104,0)-1,12)</f>
        <v>0</v>
      </c>
      <c r="AA177" s="168"/>
      <c r="AB177" s="148" t="s">
        <v>50</v>
      </c>
      <c r="AC177" s="56">
        <f t="shared" ref="AC177:AD177" ca="1" si="613">AC176</f>
        <v>0</v>
      </c>
      <c r="AD177" s="56">
        <f t="shared" ca="1" si="613"/>
        <v>0</v>
      </c>
      <c r="AE177" s="63">
        <f ca="1">IF($C177="あり",IF(AC177&gt;=1,G177/AQ177,0),IF(AC177&gt;=1,AO177*AC177,0))</f>
        <v>0</v>
      </c>
      <c r="AF177" s="63">
        <f t="shared" ca="1" si="606"/>
        <v>0</v>
      </c>
      <c r="AG177" s="63">
        <f t="shared" ca="1" si="607"/>
        <v>0</v>
      </c>
      <c r="AH177" s="63">
        <f t="shared" ca="1" si="608"/>
        <v>0</v>
      </c>
      <c r="AI177" s="63">
        <f t="shared" ca="1" si="609"/>
        <v>0</v>
      </c>
      <c r="AJ177" s="63">
        <f t="shared" ca="1" si="610"/>
        <v>0</v>
      </c>
      <c r="AK177" s="63">
        <f t="shared" ca="1" si="611"/>
        <v>0</v>
      </c>
      <c r="AL177" s="63">
        <f ca="1">IF($C177="あり",IF($AD177&gt;=7,N177/$AQ177,0),IF($AD177&gt;=7,$AO177*($AD177-6),0))</f>
        <v>0</v>
      </c>
      <c r="AM177" s="65">
        <f ca="1">IF(C177="あり",O177/AQ177,AP177)</f>
        <v>0</v>
      </c>
      <c r="AN177" s="63">
        <f ca="1">SUM(AE177:AM177)</f>
        <v>0</v>
      </c>
      <c r="AO177" s="68" t="e">
        <f ca="1">1/(AC177+AD177)</f>
        <v>#DIV/0!</v>
      </c>
      <c r="AP177" s="67">
        <v>0</v>
      </c>
      <c r="AQ177" s="68">
        <f ca="1">IF(AC177&gt;=1,G177,0)+SUMIF($H$4:$M$4,"&lt;="&amp;AD177,$H177:$M177)+IF(AD177&gt;=7,N177,0)+O177</f>
        <v>0</v>
      </c>
    </row>
    <row r="178" spans="1:43" x14ac:dyDescent="0.15">
      <c r="A178" s="50"/>
      <c r="B178" s="50"/>
      <c r="C178" s="145">
        <f ca="1">OFFSET(①簡易状況入力!$C$5,MATCH(A175,①簡易状況入力!$C$5:$C$104,0)-1,20)</f>
        <v>0</v>
      </c>
      <c r="D178" s="148" t="s">
        <v>51</v>
      </c>
      <c r="E178" s="56">
        <f t="shared" ref="E178:F178" ca="1" si="614">E177</f>
        <v>0</v>
      </c>
      <c r="F178" s="56">
        <f t="shared" ca="1" si="614"/>
        <v>0</v>
      </c>
      <c r="G178" s="104"/>
      <c r="H178" s="104"/>
      <c r="I178" s="104"/>
      <c r="J178" s="104"/>
      <c r="K178" s="104"/>
      <c r="L178" s="104"/>
      <c r="M178" s="104"/>
      <c r="N178" s="104"/>
      <c r="O178" s="106"/>
      <c r="Q178" s="50"/>
      <c r="R178" s="58"/>
      <c r="S178" s="166"/>
      <c r="T178" s="146" t="s">
        <v>34</v>
      </c>
      <c r="U178" s="35">
        <f ca="1">OFFSET(①簡易状況入力!$C$5,MATCH(A175,①簡易状況入力!$C$5:$C$104,0)-1,3)</f>
        <v>0</v>
      </c>
      <c r="V178" s="58"/>
      <c r="W178" s="146" t="s">
        <v>118</v>
      </c>
      <c r="X178" s="37">
        <f ca="1">OFFSET(①簡易状況入力!$C$5,MATCH(A175,①簡易状況入力!$C$5:$C$104,0)-1,7)</f>
        <v>0</v>
      </c>
      <c r="Y178" s="149">
        <f ca="1">OFFSET(①簡易状況入力!$C$5,MATCH(A175,①簡易状況入力!$C$5:$C$104,0)-1,13)</f>
        <v>0</v>
      </c>
      <c r="Z178" s="167">
        <f ca="1">OFFSET(①簡易状況入力!$C$5,MATCH(A175,①簡易状況入力!$C$5:$C$104,0)-1,14)</f>
        <v>0</v>
      </c>
      <c r="AA178" s="168"/>
      <c r="AB178" s="148" t="s">
        <v>51</v>
      </c>
      <c r="AC178" s="56">
        <f t="shared" ref="AC178:AD178" ca="1" si="615">AC177</f>
        <v>0</v>
      </c>
      <c r="AD178" s="56">
        <f t="shared" ca="1" si="615"/>
        <v>0</v>
      </c>
      <c r="AE178" s="63">
        <f ca="1">IF($C178="あり",IF(AC178&gt;=1,G178/AQ178,0),IF(AC178&gt;=1,AO178*AC178,0))</f>
        <v>0</v>
      </c>
      <c r="AF178" s="63">
        <f t="shared" ca="1" si="606"/>
        <v>0</v>
      </c>
      <c r="AG178" s="63">
        <f t="shared" ca="1" si="607"/>
        <v>0</v>
      </c>
      <c r="AH178" s="63">
        <f t="shared" ca="1" si="608"/>
        <v>0</v>
      </c>
      <c r="AI178" s="63">
        <f t="shared" ca="1" si="609"/>
        <v>0</v>
      </c>
      <c r="AJ178" s="63">
        <f t="shared" ca="1" si="610"/>
        <v>0</v>
      </c>
      <c r="AK178" s="63">
        <f t="shared" ca="1" si="611"/>
        <v>0</v>
      </c>
      <c r="AL178" s="63">
        <f ca="1">IF($C178="あり",IF($AD178&gt;=7,N178/$AQ178,0),IF($AD178&gt;=7,$AO178*($AD178-6),0))</f>
        <v>0</v>
      </c>
      <c r="AM178" s="65">
        <f ca="1">IF(C178="あり",O178/AQ178,AP178)</f>
        <v>0</v>
      </c>
      <c r="AN178" s="63">
        <f ca="1">SUM(AE178:AM178)</f>
        <v>0</v>
      </c>
      <c r="AO178" s="68" t="e">
        <f ca="1">1/(AC178+AD178)</f>
        <v>#DIV/0!</v>
      </c>
      <c r="AP178" s="67">
        <v>0</v>
      </c>
      <c r="AQ178" s="68">
        <f ca="1">IF(AC178&gt;=1,G178,0)+SUMIF($H$4:$M$4,"&lt;="&amp;AD178,$H178:$M178)+IF(AD178&gt;=7,N178,0)+O178</f>
        <v>0</v>
      </c>
    </row>
    <row r="179" spans="1:43" x14ac:dyDescent="0.15">
      <c r="G179" s="107"/>
      <c r="H179" s="107"/>
      <c r="I179" s="107"/>
      <c r="J179" s="107"/>
      <c r="K179" s="107"/>
      <c r="L179" s="107"/>
      <c r="M179" s="107"/>
      <c r="N179" s="107"/>
      <c r="O179" s="107"/>
    </row>
    <row r="180" spans="1:43" x14ac:dyDescent="0.15">
      <c r="A180" s="59" t="s">
        <v>351</v>
      </c>
      <c r="B180" s="60">
        <f ca="1">OFFSET(①簡易状況入力!$C$5,MATCH(A180,①簡易状況入力!$C$5:$C$104,0)-1,1)</f>
        <v>0</v>
      </c>
      <c r="C180" s="145">
        <f ca="1">OFFSET(①簡易状況入力!$C$5,MATCH(A180,①簡易状況入力!$C$5:$C$104,0)-1,17)</f>
        <v>0</v>
      </c>
      <c r="D180" s="148" t="s">
        <v>47</v>
      </c>
      <c r="E180" s="56">
        <f ca="1">U183</f>
        <v>0</v>
      </c>
      <c r="F180" s="56">
        <f ca="1">U182</f>
        <v>0</v>
      </c>
      <c r="G180" s="102"/>
      <c r="H180" s="103"/>
      <c r="I180" s="103"/>
      <c r="J180" s="103"/>
      <c r="K180" s="103"/>
      <c r="L180" s="103"/>
      <c r="M180" s="103"/>
      <c r="N180" s="103"/>
      <c r="O180" s="103"/>
      <c r="Q180" s="57">
        <f ca="1">OFFSET(①簡易状況入力!$C$5,MATCH(A180,①簡易状況入力!$C$5:$C$104,0)-1,15)</f>
        <v>0</v>
      </c>
      <c r="R180" s="58"/>
      <c r="S180" s="58"/>
      <c r="T180" s="58"/>
      <c r="U180" s="58"/>
      <c r="V180" s="58"/>
      <c r="W180" s="58"/>
      <c r="X180" s="58"/>
      <c r="Y180" s="58"/>
      <c r="Z180" s="58"/>
      <c r="AA180" s="58"/>
      <c r="AB180" s="148" t="s">
        <v>47</v>
      </c>
      <c r="AC180" s="56">
        <f ca="1">U183</f>
        <v>0</v>
      </c>
      <c r="AD180" s="56">
        <f ca="1">U182</f>
        <v>0</v>
      </c>
      <c r="AE180" s="62" t="s">
        <v>46</v>
      </c>
      <c r="AF180" s="62" t="str">
        <f t="shared" ref="AF180" ca="1" si="616">IF($C180="あり",IF(AF$4&lt;=$AD180,H180,"-"),IF(AF$4&lt;=$AD180,$AO180,"-"))</f>
        <v>-</v>
      </c>
      <c r="AG180" s="62" t="str">
        <f t="shared" ref="AG180" ca="1" si="617">IF($C180="あり",IF(AG$4&lt;=$AD180,I180,"-"),IF(AG$4&lt;=$AD180,$AO180,"-"))</f>
        <v>-</v>
      </c>
      <c r="AH180" s="62" t="str">
        <f t="shared" ref="AH180" ca="1" si="618">IF($C180="あり",IF(AH$4&lt;=$AD180,J180,"-"),IF(AH$4&lt;=$AD180,$AO180,"-"))</f>
        <v>-</v>
      </c>
      <c r="AI180" s="62" t="str">
        <f t="shared" ref="AI180" ca="1" si="619">IF($C180="あり",IF(AI$4&lt;=$AD180,K180,"-"),IF(AI$4&lt;=$AD180,$AO180,"-"))</f>
        <v>-</v>
      </c>
      <c r="AJ180" s="62" t="str">
        <f t="shared" ref="AJ180" ca="1" si="620">IF($C180="あり",IF(AJ$4&lt;=$AD180,L180,"-"),IF(AJ$4&lt;=$AD180,$AO180,"-"))</f>
        <v>-</v>
      </c>
      <c r="AK180" s="62" t="str">
        <f t="shared" ref="AK180" ca="1" si="621">IF($C180="あり",IF(AK$4&lt;=$AD180,M180,"-"),IF(AK$4&lt;=$AD180,$AO180,"-"))</f>
        <v>-</v>
      </c>
      <c r="AL180" s="62" t="str">
        <f ca="1">IF($C180="あり",IF(7&lt;=$AD180,N180,"-"),IF(7&lt;=$AD180,$AO180*($AD180-6),"-"))</f>
        <v>-</v>
      </c>
      <c r="AM180" s="62">
        <f ca="1">IF(C180="あり",O180,AP180)</f>
        <v>0</v>
      </c>
      <c r="AN180" s="62">
        <f ca="1">SUM(U181,AF180:AM180)</f>
        <v>0</v>
      </c>
      <c r="AO180" s="42">
        <f ca="1">OFFSET(【DB】被害率係数!$A$4,MATCH(②詳細状況入力!$Y181,【DB】被害率係数!$A$4:$A$19,0)-1,16)</f>
        <v>0</v>
      </c>
      <c r="AP180" s="42">
        <f ca="1">OFFSET(【DB】被害率係数!$A$4,MATCH(②詳細状況入力!$Y181,【DB】被害率係数!$A$4:$A$19,0)-1,17)</f>
        <v>0</v>
      </c>
      <c r="AQ180" s="42"/>
    </row>
    <row r="181" spans="1:43" x14ac:dyDescent="0.15">
      <c r="A181" s="50"/>
      <c r="B181" s="50"/>
      <c r="C181" s="145">
        <f ca="1">OFFSET(①簡易状況入力!$C$5,MATCH(A180,①簡易状況入力!$C$5:$C$104,0)-1,18)</f>
        <v>0</v>
      </c>
      <c r="D181" s="148" t="s">
        <v>52</v>
      </c>
      <c r="E181" s="56">
        <f t="shared" ref="E181:F181" ca="1" si="622">E180</f>
        <v>0</v>
      </c>
      <c r="F181" s="56">
        <f t="shared" ca="1" si="622"/>
        <v>0</v>
      </c>
      <c r="G181" s="104"/>
      <c r="H181" s="104"/>
      <c r="I181" s="104"/>
      <c r="J181" s="104"/>
      <c r="K181" s="104"/>
      <c r="L181" s="104"/>
      <c r="M181" s="104"/>
      <c r="N181" s="104"/>
      <c r="O181" s="105"/>
      <c r="Q181" s="57">
        <f ca="1">OFFSET(①簡易状況入力!$C$5,MATCH(A180,①簡易状況入力!$C$5:$C$104,0)-1,16)</f>
        <v>0</v>
      </c>
      <c r="R181" s="58"/>
      <c r="S181" s="146" t="s">
        <v>115</v>
      </c>
      <c r="T181" s="146" t="s">
        <v>116</v>
      </c>
      <c r="U181" s="36">
        <f ca="1">OFFSET(①簡易状況入力!$C$5,MATCH(A180,①簡易状況入力!$C$5:$C$104,0)-1,4)</f>
        <v>0</v>
      </c>
      <c r="V181" s="58"/>
      <c r="W181" s="146" t="s">
        <v>30</v>
      </c>
      <c r="X181" s="37">
        <f ca="1">OFFSET(①簡易状況入力!$C$5,MATCH(A180,①簡易状況入力!$C$5:$C$104,0)-1,5)</f>
        <v>0</v>
      </c>
      <c r="Y181" s="149">
        <f ca="1">OFFSET(①簡易状況入力!$C$5,MATCH(A180,①簡易状況入力!$C$5:$C$104,0)-1,8)</f>
        <v>0</v>
      </c>
      <c r="Z181" s="149">
        <f ca="1">OFFSET(①簡易状況入力!$C$5,MATCH(A180,①簡易状況入力!$C$5:$C$104,0)-1,9)</f>
        <v>0</v>
      </c>
      <c r="AA181" s="149">
        <f ca="1">OFFSET(①簡易状況入力!$C$5,MATCH(A180,①簡易状況入力!$C$5:$C$104,0)-1,10)</f>
        <v>0</v>
      </c>
      <c r="AB181" s="148" t="s">
        <v>52</v>
      </c>
      <c r="AC181" s="56">
        <f t="shared" ref="AC181:AD181" ca="1" si="623">AC180</f>
        <v>0</v>
      </c>
      <c r="AD181" s="56">
        <f t="shared" ca="1" si="623"/>
        <v>0</v>
      </c>
      <c r="AE181" s="63">
        <f ca="1">IF($C181="あり",IF(AC181&gt;=1,G181/AQ181,0),IF(AC181&gt;=1,AO181*AC181,0))</f>
        <v>0</v>
      </c>
      <c r="AF181" s="63">
        <f t="shared" ref="AF181:AF183" ca="1" si="624">IF($C181="あり",IF($AD181&gt;=AF$4,H181/$AQ181,0),IF($AD181&gt;=AF$4,$AO181,0))</f>
        <v>0</v>
      </c>
      <c r="AG181" s="63">
        <f t="shared" ref="AG181:AG183" ca="1" si="625">IF($C181="あり",IF($AD181&gt;=AG$4,I181/$AQ181,0),IF($AD181&gt;=AG$4,$AO181,0))</f>
        <v>0</v>
      </c>
      <c r="AH181" s="63">
        <f t="shared" ref="AH181:AH183" ca="1" si="626">IF($C181="あり",IF($AD181&gt;=AH$4,J181/$AQ181,0),IF($AD181&gt;=AH$4,$AO181,0))</f>
        <v>0</v>
      </c>
      <c r="AI181" s="63">
        <f t="shared" ref="AI181:AI183" ca="1" si="627">IF($C181="あり",IF($AD181&gt;=AI$4,K181/$AQ181,0),IF($AD181&gt;=AI$4,$AO181,0))</f>
        <v>0</v>
      </c>
      <c r="AJ181" s="63">
        <f t="shared" ref="AJ181:AJ183" ca="1" si="628">IF($C181="あり",IF($AD181&gt;=AJ$4,L181/$AQ181,0),IF($AD181&gt;=AJ$4,$AO181,0))</f>
        <v>0</v>
      </c>
      <c r="AK181" s="63">
        <f t="shared" ref="AK181:AK183" ca="1" si="629">IF($C181="あり",IF($AD181&gt;=AK$4,M181/$AQ181,0),IF($AD181&gt;=AK$4,$AO181,0))</f>
        <v>0</v>
      </c>
      <c r="AL181" s="63">
        <f ca="1">IF($C181="あり",IF($AD181&gt;=7,N181/$AQ181,0),IF($AD181&gt;=7,$AO181*($AD181-6),0))</f>
        <v>0</v>
      </c>
      <c r="AM181" s="64" t="s">
        <v>46</v>
      </c>
      <c r="AN181" s="63">
        <f ca="1">SUM(AE181:AM181)</f>
        <v>0</v>
      </c>
      <c r="AO181" s="68" t="e">
        <f ca="1">1/(AC181+AD181)</f>
        <v>#DIV/0!</v>
      </c>
      <c r="AP181" s="67">
        <v>0</v>
      </c>
      <c r="AQ181" s="68">
        <f ca="1">IF(AC181&gt;=1,G181,0)+SUMIF($H$4:$M$4,"&lt;="&amp;AD181,$H181:$M181)+IF(AD181&gt;=7,N181,0)</f>
        <v>0</v>
      </c>
    </row>
    <row r="182" spans="1:43" x14ac:dyDescent="0.15">
      <c r="A182" s="50"/>
      <c r="B182" s="50"/>
      <c r="C182" s="145">
        <f ca="1">OFFSET(①簡易状況入力!$C$5,MATCH(A180,①簡易状況入力!$C$5:$C$104,0)-1,19)</f>
        <v>0</v>
      </c>
      <c r="D182" s="148" t="s">
        <v>50</v>
      </c>
      <c r="E182" s="56">
        <f t="shared" ref="E182" ca="1" si="630">E181</f>
        <v>0</v>
      </c>
      <c r="F182" s="56">
        <f ca="1">F181</f>
        <v>0</v>
      </c>
      <c r="G182" s="104"/>
      <c r="H182" s="104"/>
      <c r="I182" s="104"/>
      <c r="J182" s="104"/>
      <c r="K182" s="104"/>
      <c r="L182" s="104"/>
      <c r="M182" s="104"/>
      <c r="N182" s="104"/>
      <c r="O182" s="106"/>
      <c r="Q182" s="50"/>
      <c r="R182" s="58"/>
      <c r="S182" s="165" t="s">
        <v>28</v>
      </c>
      <c r="T182" s="146" t="s">
        <v>35</v>
      </c>
      <c r="U182" s="35">
        <f ca="1">OFFSET(①簡易状況入力!$C$5,MATCH(A180,①簡易状況入力!$C$5:$C$104,0)-1,2)</f>
        <v>0</v>
      </c>
      <c r="V182" s="58"/>
      <c r="W182" s="146" t="s">
        <v>33</v>
      </c>
      <c r="X182" s="37">
        <f ca="1">OFFSET(①簡易状況入力!$C$5,MATCH(A180,①簡易状況入力!$C$5:$C$104,0)-1,6)</f>
        <v>0</v>
      </c>
      <c r="Y182" s="149">
        <f ca="1">OFFSET(①簡易状況入力!$C$5,MATCH(A180,①簡易状況入力!$C$5:$C$104,0)-1,11)</f>
        <v>0</v>
      </c>
      <c r="Z182" s="167">
        <f ca="1">OFFSET(①簡易状況入力!$C$5,MATCH(A180,①簡易状況入力!$C$5:$C$104,0)-1,12)</f>
        <v>0</v>
      </c>
      <c r="AA182" s="168"/>
      <c r="AB182" s="148" t="s">
        <v>50</v>
      </c>
      <c r="AC182" s="56">
        <f t="shared" ref="AC182:AD182" ca="1" si="631">AC181</f>
        <v>0</v>
      </c>
      <c r="AD182" s="56">
        <f t="shared" ca="1" si="631"/>
        <v>0</v>
      </c>
      <c r="AE182" s="63">
        <f ca="1">IF($C182="あり",IF(AC182&gt;=1,G182/AQ182,0),IF(AC182&gt;=1,AO182*AC182,0))</f>
        <v>0</v>
      </c>
      <c r="AF182" s="63">
        <f t="shared" ca="1" si="624"/>
        <v>0</v>
      </c>
      <c r="AG182" s="63">
        <f t="shared" ca="1" si="625"/>
        <v>0</v>
      </c>
      <c r="AH182" s="63">
        <f t="shared" ca="1" si="626"/>
        <v>0</v>
      </c>
      <c r="AI182" s="63">
        <f t="shared" ca="1" si="627"/>
        <v>0</v>
      </c>
      <c r="AJ182" s="63">
        <f t="shared" ca="1" si="628"/>
        <v>0</v>
      </c>
      <c r="AK182" s="63">
        <f t="shared" ca="1" si="629"/>
        <v>0</v>
      </c>
      <c r="AL182" s="63">
        <f ca="1">IF($C182="あり",IF($AD182&gt;=7,N182/$AQ182,0),IF($AD182&gt;=7,$AO182*($AD182-6),0))</f>
        <v>0</v>
      </c>
      <c r="AM182" s="65">
        <f ca="1">IF(C182="あり",O182/AQ182,AP182)</f>
        <v>0</v>
      </c>
      <c r="AN182" s="63">
        <f ca="1">SUM(AE182:AM182)</f>
        <v>0</v>
      </c>
      <c r="AO182" s="68" t="e">
        <f ca="1">1/(AC182+AD182)</f>
        <v>#DIV/0!</v>
      </c>
      <c r="AP182" s="67">
        <v>0</v>
      </c>
      <c r="AQ182" s="68">
        <f ca="1">IF(AC182&gt;=1,G182,0)+SUMIF($H$4:$M$4,"&lt;="&amp;AD182,$H182:$M182)+IF(AD182&gt;=7,N182,0)+O182</f>
        <v>0</v>
      </c>
    </row>
    <row r="183" spans="1:43" x14ac:dyDescent="0.15">
      <c r="A183" s="50"/>
      <c r="B183" s="50"/>
      <c r="C183" s="145">
        <f ca="1">OFFSET(①簡易状況入力!$C$5,MATCH(A180,①簡易状況入力!$C$5:$C$104,0)-1,20)</f>
        <v>0</v>
      </c>
      <c r="D183" s="148" t="s">
        <v>51</v>
      </c>
      <c r="E183" s="56">
        <f t="shared" ref="E183:F183" ca="1" si="632">E182</f>
        <v>0</v>
      </c>
      <c r="F183" s="56">
        <f t="shared" ca="1" si="632"/>
        <v>0</v>
      </c>
      <c r="G183" s="104"/>
      <c r="H183" s="104"/>
      <c r="I183" s="104"/>
      <c r="J183" s="104"/>
      <c r="K183" s="104"/>
      <c r="L183" s="104"/>
      <c r="M183" s="104"/>
      <c r="N183" s="104"/>
      <c r="O183" s="106"/>
      <c r="Q183" s="50"/>
      <c r="R183" s="58"/>
      <c r="S183" s="166"/>
      <c r="T183" s="146" t="s">
        <v>34</v>
      </c>
      <c r="U183" s="35">
        <f ca="1">OFFSET(①簡易状況入力!$C$5,MATCH(A180,①簡易状況入力!$C$5:$C$104,0)-1,3)</f>
        <v>0</v>
      </c>
      <c r="V183" s="58"/>
      <c r="W183" s="146" t="s">
        <v>118</v>
      </c>
      <c r="X183" s="37">
        <f ca="1">OFFSET(①簡易状況入力!$C$5,MATCH(A180,①簡易状況入力!$C$5:$C$104,0)-1,7)</f>
        <v>0</v>
      </c>
      <c r="Y183" s="149">
        <f ca="1">OFFSET(①簡易状況入力!$C$5,MATCH(A180,①簡易状況入力!$C$5:$C$104,0)-1,13)</f>
        <v>0</v>
      </c>
      <c r="Z183" s="167">
        <f ca="1">OFFSET(①簡易状況入力!$C$5,MATCH(A180,①簡易状況入力!$C$5:$C$104,0)-1,14)</f>
        <v>0</v>
      </c>
      <c r="AA183" s="168"/>
      <c r="AB183" s="148" t="s">
        <v>51</v>
      </c>
      <c r="AC183" s="56">
        <f t="shared" ref="AC183:AD183" ca="1" si="633">AC182</f>
        <v>0</v>
      </c>
      <c r="AD183" s="56">
        <f t="shared" ca="1" si="633"/>
        <v>0</v>
      </c>
      <c r="AE183" s="63">
        <f ca="1">IF($C183="あり",IF(AC183&gt;=1,G183/AQ183,0),IF(AC183&gt;=1,AO183*AC183,0))</f>
        <v>0</v>
      </c>
      <c r="AF183" s="63">
        <f t="shared" ca="1" si="624"/>
        <v>0</v>
      </c>
      <c r="AG183" s="63">
        <f t="shared" ca="1" si="625"/>
        <v>0</v>
      </c>
      <c r="AH183" s="63">
        <f t="shared" ca="1" si="626"/>
        <v>0</v>
      </c>
      <c r="AI183" s="63">
        <f t="shared" ca="1" si="627"/>
        <v>0</v>
      </c>
      <c r="AJ183" s="63">
        <f t="shared" ca="1" si="628"/>
        <v>0</v>
      </c>
      <c r="AK183" s="63">
        <f t="shared" ca="1" si="629"/>
        <v>0</v>
      </c>
      <c r="AL183" s="63">
        <f ca="1">IF($C183="あり",IF($AD183&gt;=7,N183/$AQ183,0),IF($AD183&gt;=7,$AO183*($AD183-6),0))</f>
        <v>0</v>
      </c>
      <c r="AM183" s="65">
        <f ca="1">IF(C183="あり",O183/AQ183,AP183)</f>
        <v>0</v>
      </c>
      <c r="AN183" s="63">
        <f ca="1">SUM(AE183:AM183)</f>
        <v>0</v>
      </c>
      <c r="AO183" s="68" t="e">
        <f ca="1">1/(AC183+AD183)</f>
        <v>#DIV/0!</v>
      </c>
      <c r="AP183" s="67">
        <v>0</v>
      </c>
      <c r="AQ183" s="68">
        <f ca="1">IF(AC183&gt;=1,G183,0)+SUMIF($H$4:$M$4,"&lt;="&amp;AD183,$H183:$M183)+IF(AD183&gt;=7,N183,0)+O183</f>
        <v>0</v>
      </c>
    </row>
    <row r="184" spans="1:43" x14ac:dyDescent="0.15">
      <c r="G184" s="107"/>
      <c r="H184" s="107"/>
      <c r="I184" s="107"/>
      <c r="J184" s="107"/>
      <c r="K184" s="107"/>
      <c r="L184" s="107"/>
      <c r="M184" s="107"/>
      <c r="N184" s="107"/>
      <c r="O184" s="107"/>
    </row>
    <row r="185" spans="1:43" x14ac:dyDescent="0.15">
      <c r="A185" s="59" t="s">
        <v>352</v>
      </c>
      <c r="B185" s="60">
        <f ca="1">OFFSET(①簡易状況入力!$C$5,MATCH(A185,①簡易状況入力!$C$5:$C$104,0)-1,1)</f>
        <v>0</v>
      </c>
      <c r="C185" s="145">
        <f ca="1">OFFSET(①簡易状況入力!$C$5,MATCH(A185,①簡易状況入力!$C$5:$C$104,0)-1,17)</f>
        <v>0</v>
      </c>
      <c r="D185" s="148" t="s">
        <v>47</v>
      </c>
      <c r="E185" s="56">
        <f ca="1">U188</f>
        <v>0</v>
      </c>
      <c r="F185" s="56">
        <f ca="1">U187</f>
        <v>0</v>
      </c>
      <c r="G185" s="102"/>
      <c r="H185" s="103"/>
      <c r="I185" s="103"/>
      <c r="J185" s="103"/>
      <c r="K185" s="103"/>
      <c r="L185" s="103"/>
      <c r="M185" s="103"/>
      <c r="N185" s="103"/>
      <c r="O185" s="103"/>
      <c r="Q185" s="57">
        <f ca="1">OFFSET(①簡易状況入力!$C$5,MATCH(A185,①簡易状況入力!$C$5:$C$104,0)-1,15)</f>
        <v>0</v>
      </c>
      <c r="R185" s="58"/>
      <c r="S185" s="58"/>
      <c r="T185" s="58"/>
      <c r="U185" s="58"/>
      <c r="V185" s="58"/>
      <c r="W185" s="58"/>
      <c r="X185" s="58"/>
      <c r="Y185" s="58"/>
      <c r="Z185" s="58"/>
      <c r="AA185" s="58"/>
      <c r="AB185" s="148" t="s">
        <v>47</v>
      </c>
      <c r="AC185" s="56">
        <f ca="1">U188</f>
        <v>0</v>
      </c>
      <c r="AD185" s="56">
        <f ca="1">U187</f>
        <v>0</v>
      </c>
      <c r="AE185" s="62" t="s">
        <v>46</v>
      </c>
      <c r="AF185" s="62" t="str">
        <f t="shared" ref="AF185" ca="1" si="634">IF($C185="あり",IF(AF$4&lt;=$AD185,H185,"-"),IF(AF$4&lt;=$AD185,$AO185,"-"))</f>
        <v>-</v>
      </c>
      <c r="AG185" s="62" t="str">
        <f t="shared" ref="AG185" ca="1" si="635">IF($C185="あり",IF(AG$4&lt;=$AD185,I185,"-"),IF(AG$4&lt;=$AD185,$AO185,"-"))</f>
        <v>-</v>
      </c>
      <c r="AH185" s="62" t="str">
        <f t="shared" ref="AH185" ca="1" si="636">IF($C185="あり",IF(AH$4&lt;=$AD185,J185,"-"),IF(AH$4&lt;=$AD185,$AO185,"-"))</f>
        <v>-</v>
      </c>
      <c r="AI185" s="62" t="str">
        <f t="shared" ref="AI185" ca="1" si="637">IF($C185="あり",IF(AI$4&lt;=$AD185,K185,"-"),IF(AI$4&lt;=$AD185,$AO185,"-"))</f>
        <v>-</v>
      </c>
      <c r="AJ185" s="62" t="str">
        <f t="shared" ref="AJ185" ca="1" si="638">IF($C185="あり",IF(AJ$4&lt;=$AD185,L185,"-"),IF(AJ$4&lt;=$AD185,$AO185,"-"))</f>
        <v>-</v>
      </c>
      <c r="AK185" s="62" t="str">
        <f t="shared" ref="AK185" ca="1" si="639">IF($C185="あり",IF(AK$4&lt;=$AD185,M185,"-"),IF(AK$4&lt;=$AD185,$AO185,"-"))</f>
        <v>-</v>
      </c>
      <c r="AL185" s="62" t="str">
        <f ca="1">IF($C185="あり",IF(7&lt;=$AD185,N185,"-"),IF(7&lt;=$AD185,$AO185*($AD185-6),"-"))</f>
        <v>-</v>
      </c>
      <c r="AM185" s="62">
        <f ca="1">IF(C185="あり",O185,AP185)</f>
        <v>0</v>
      </c>
      <c r="AN185" s="62">
        <f ca="1">SUM(U186,AF185:AM185)</f>
        <v>0</v>
      </c>
      <c r="AO185" s="42">
        <f ca="1">OFFSET(【DB】被害率係数!$A$4,MATCH(②詳細状況入力!$Y186,【DB】被害率係数!$A$4:$A$19,0)-1,16)</f>
        <v>0</v>
      </c>
      <c r="AP185" s="42">
        <f ca="1">OFFSET(【DB】被害率係数!$A$4,MATCH(②詳細状況入力!$Y186,【DB】被害率係数!$A$4:$A$19,0)-1,17)</f>
        <v>0</v>
      </c>
      <c r="AQ185" s="42"/>
    </row>
    <row r="186" spans="1:43" x14ac:dyDescent="0.15">
      <c r="A186" s="50"/>
      <c r="B186" s="50"/>
      <c r="C186" s="145">
        <f ca="1">OFFSET(①簡易状況入力!$C$5,MATCH(A185,①簡易状況入力!$C$5:$C$104,0)-1,18)</f>
        <v>0</v>
      </c>
      <c r="D186" s="148" t="s">
        <v>52</v>
      </c>
      <c r="E186" s="56">
        <f t="shared" ref="E186:F186" ca="1" si="640">E185</f>
        <v>0</v>
      </c>
      <c r="F186" s="56">
        <f t="shared" ca="1" si="640"/>
        <v>0</v>
      </c>
      <c r="G186" s="104"/>
      <c r="H186" s="104"/>
      <c r="I186" s="104"/>
      <c r="J186" s="104"/>
      <c r="K186" s="104"/>
      <c r="L186" s="104"/>
      <c r="M186" s="104"/>
      <c r="N186" s="104"/>
      <c r="O186" s="105"/>
      <c r="Q186" s="57">
        <f ca="1">OFFSET(①簡易状況入力!$C$5,MATCH(A185,①簡易状況入力!$C$5:$C$104,0)-1,16)</f>
        <v>0</v>
      </c>
      <c r="R186" s="58"/>
      <c r="S186" s="146" t="s">
        <v>115</v>
      </c>
      <c r="T186" s="146" t="s">
        <v>116</v>
      </c>
      <c r="U186" s="36">
        <f ca="1">OFFSET(①簡易状況入力!$C$5,MATCH(A185,①簡易状況入力!$C$5:$C$104,0)-1,4)</f>
        <v>0</v>
      </c>
      <c r="V186" s="58"/>
      <c r="W186" s="146" t="s">
        <v>30</v>
      </c>
      <c r="X186" s="37">
        <f ca="1">OFFSET(①簡易状況入力!$C$5,MATCH(A185,①簡易状況入力!$C$5:$C$104,0)-1,5)</f>
        <v>0</v>
      </c>
      <c r="Y186" s="149">
        <f ca="1">OFFSET(①簡易状況入力!$C$5,MATCH(A185,①簡易状況入力!$C$5:$C$104,0)-1,8)</f>
        <v>0</v>
      </c>
      <c r="Z186" s="149">
        <f ca="1">OFFSET(①簡易状況入力!$C$5,MATCH(A185,①簡易状況入力!$C$5:$C$104,0)-1,9)</f>
        <v>0</v>
      </c>
      <c r="AA186" s="149">
        <f ca="1">OFFSET(①簡易状況入力!$C$5,MATCH(A185,①簡易状況入力!$C$5:$C$104,0)-1,10)</f>
        <v>0</v>
      </c>
      <c r="AB186" s="148" t="s">
        <v>52</v>
      </c>
      <c r="AC186" s="56">
        <f t="shared" ref="AC186:AD186" ca="1" si="641">AC185</f>
        <v>0</v>
      </c>
      <c r="AD186" s="56">
        <f t="shared" ca="1" si="641"/>
        <v>0</v>
      </c>
      <c r="AE186" s="63">
        <f ca="1">IF($C186="あり",IF(AC186&gt;=1,G186/AQ186,0),IF(AC186&gt;=1,AO186*AC186,0))</f>
        <v>0</v>
      </c>
      <c r="AF186" s="63">
        <f t="shared" ref="AF186:AF188" ca="1" si="642">IF($C186="あり",IF($AD186&gt;=AF$4,H186/$AQ186,0),IF($AD186&gt;=AF$4,$AO186,0))</f>
        <v>0</v>
      </c>
      <c r="AG186" s="63">
        <f t="shared" ref="AG186:AG188" ca="1" si="643">IF($C186="あり",IF($AD186&gt;=AG$4,I186/$AQ186,0),IF($AD186&gt;=AG$4,$AO186,0))</f>
        <v>0</v>
      </c>
      <c r="AH186" s="63">
        <f t="shared" ref="AH186:AH188" ca="1" si="644">IF($C186="あり",IF($AD186&gt;=AH$4,J186/$AQ186,0),IF($AD186&gt;=AH$4,$AO186,0))</f>
        <v>0</v>
      </c>
      <c r="AI186" s="63">
        <f t="shared" ref="AI186:AI188" ca="1" si="645">IF($C186="あり",IF($AD186&gt;=AI$4,K186/$AQ186,0),IF($AD186&gt;=AI$4,$AO186,0))</f>
        <v>0</v>
      </c>
      <c r="AJ186" s="63">
        <f t="shared" ref="AJ186:AJ188" ca="1" si="646">IF($C186="あり",IF($AD186&gt;=AJ$4,L186/$AQ186,0),IF($AD186&gt;=AJ$4,$AO186,0))</f>
        <v>0</v>
      </c>
      <c r="AK186" s="63">
        <f t="shared" ref="AK186:AK188" ca="1" si="647">IF($C186="あり",IF($AD186&gt;=AK$4,M186/$AQ186,0),IF($AD186&gt;=AK$4,$AO186,0))</f>
        <v>0</v>
      </c>
      <c r="AL186" s="63">
        <f ca="1">IF($C186="あり",IF($AD186&gt;=7,N186/$AQ186,0),IF($AD186&gt;=7,$AO186*($AD186-6),0))</f>
        <v>0</v>
      </c>
      <c r="AM186" s="64" t="s">
        <v>46</v>
      </c>
      <c r="AN186" s="63">
        <f ca="1">SUM(AE186:AM186)</f>
        <v>0</v>
      </c>
      <c r="AO186" s="68" t="e">
        <f ca="1">1/(AC186+AD186)</f>
        <v>#DIV/0!</v>
      </c>
      <c r="AP186" s="67">
        <v>0</v>
      </c>
      <c r="AQ186" s="68">
        <f ca="1">IF(AC186&gt;=1,G186,0)+SUMIF($H$4:$M$4,"&lt;="&amp;AD186,$H186:$M186)+IF(AD186&gt;=7,N186,0)</f>
        <v>0</v>
      </c>
    </row>
    <row r="187" spans="1:43" x14ac:dyDescent="0.15">
      <c r="A187" s="50"/>
      <c r="B187" s="50"/>
      <c r="C187" s="145">
        <f ca="1">OFFSET(①簡易状況入力!$C$5,MATCH(A185,①簡易状況入力!$C$5:$C$104,0)-1,19)</f>
        <v>0</v>
      </c>
      <c r="D187" s="148" t="s">
        <v>50</v>
      </c>
      <c r="E187" s="56">
        <f t="shared" ref="E187" ca="1" si="648">E186</f>
        <v>0</v>
      </c>
      <c r="F187" s="56">
        <f ca="1">F186</f>
        <v>0</v>
      </c>
      <c r="G187" s="104"/>
      <c r="H187" s="104"/>
      <c r="I187" s="104"/>
      <c r="J187" s="104"/>
      <c r="K187" s="104"/>
      <c r="L187" s="104"/>
      <c r="M187" s="104"/>
      <c r="N187" s="104"/>
      <c r="O187" s="106"/>
      <c r="Q187" s="50"/>
      <c r="R187" s="58"/>
      <c r="S187" s="165" t="s">
        <v>28</v>
      </c>
      <c r="T187" s="146" t="s">
        <v>35</v>
      </c>
      <c r="U187" s="35">
        <f ca="1">OFFSET(①簡易状況入力!$C$5,MATCH(A185,①簡易状況入力!$C$5:$C$104,0)-1,2)</f>
        <v>0</v>
      </c>
      <c r="V187" s="58"/>
      <c r="W187" s="146" t="s">
        <v>33</v>
      </c>
      <c r="X187" s="37">
        <f ca="1">OFFSET(①簡易状況入力!$C$5,MATCH(A185,①簡易状況入力!$C$5:$C$104,0)-1,6)</f>
        <v>0</v>
      </c>
      <c r="Y187" s="149">
        <f ca="1">OFFSET(①簡易状況入力!$C$5,MATCH(A185,①簡易状況入力!$C$5:$C$104,0)-1,11)</f>
        <v>0</v>
      </c>
      <c r="Z187" s="167">
        <f ca="1">OFFSET(①簡易状況入力!$C$5,MATCH(A185,①簡易状況入力!$C$5:$C$104,0)-1,12)</f>
        <v>0</v>
      </c>
      <c r="AA187" s="168"/>
      <c r="AB187" s="148" t="s">
        <v>50</v>
      </c>
      <c r="AC187" s="56">
        <f t="shared" ref="AC187:AD187" ca="1" si="649">AC186</f>
        <v>0</v>
      </c>
      <c r="AD187" s="56">
        <f t="shared" ca="1" si="649"/>
        <v>0</v>
      </c>
      <c r="AE187" s="63">
        <f ca="1">IF($C187="あり",IF(AC187&gt;=1,G187/AQ187,0),IF(AC187&gt;=1,AO187*AC187,0))</f>
        <v>0</v>
      </c>
      <c r="AF187" s="63">
        <f t="shared" ca="1" si="642"/>
        <v>0</v>
      </c>
      <c r="AG187" s="63">
        <f t="shared" ca="1" si="643"/>
        <v>0</v>
      </c>
      <c r="AH187" s="63">
        <f t="shared" ca="1" si="644"/>
        <v>0</v>
      </c>
      <c r="AI187" s="63">
        <f t="shared" ca="1" si="645"/>
        <v>0</v>
      </c>
      <c r="AJ187" s="63">
        <f t="shared" ca="1" si="646"/>
        <v>0</v>
      </c>
      <c r="AK187" s="63">
        <f t="shared" ca="1" si="647"/>
        <v>0</v>
      </c>
      <c r="AL187" s="63">
        <f ca="1">IF($C187="あり",IF($AD187&gt;=7,N187/$AQ187,0),IF($AD187&gt;=7,$AO187*($AD187-6),0))</f>
        <v>0</v>
      </c>
      <c r="AM187" s="65">
        <f ca="1">IF(C187="あり",O187/AQ187,AP187)</f>
        <v>0</v>
      </c>
      <c r="AN187" s="63">
        <f ca="1">SUM(AE187:AM187)</f>
        <v>0</v>
      </c>
      <c r="AO187" s="68" t="e">
        <f ca="1">1/(AC187+AD187)</f>
        <v>#DIV/0!</v>
      </c>
      <c r="AP187" s="67">
        <v>0</v>
      </c>
      <c r="AQ187" s="68">
        <f ca="1">IF(AC187&gt;=1,G187,0)+SUMIF($H$4:$M$4,"&lt;="&amp;AD187,$H187:$M187)+IF(AD187&gt;=7,N187,0)+O187</f>
        <v>0</v>
      </c>
    </row>
    <row r="188" spans="1:43" x14ac:dyDescent="0.15">
      <c r="A188" s="50"/>
      <c r="B188" s="50"/>
      <c r="C188" s="145">
        <f ca="1">OFFSET(①簡易状況入力!$C$5,MATCH(A185,①簡易状況入力!$C$5:$C$104,0)-1,20)</f>
        <v>0</v>
      </c>
      <c r="D188" s="148" t="s">
        <v>51</v>
      </c>
      <c r="E188" s="56">
        <f t="shared" ref="E188:F188" ca="1" si="650">E187</f>
        <v>0</v>
      </c>
      <c r="F188" s="56">
        <f t="shared" ca="1" si="650"/>
        <v>0</v>
      </c>
      <c r="G188" s="104"/>
      <c r="H188" s="104"/>
      <c r="I188" s="104"/>
      <c r="J188" s="104"/>
      <c r="K188" s="104"/>
      <c r="L188" s="104"/>
      <c r="M188" s="104"/>
      <c r="N188" s="104"/>
      <c r="O188" s="106"/>
      <c r="Q188" s="50"/>
      <c r="R188" s="58"/>
      <c r="S188" s="166"/>
      <c r="T188" s="146" t="s">
        <v>34</v>
      </c>
      <c r="U188" s="35">
        <f ca="1">OFFSET(①簡易状況入力!$C$5,MATCH(A185,①簡易状況入力!$C$5:$C$104,0)-1,3)</f>
        <v>0</v>
      </c>
      <c r="V188" s="58"/>
      <c r="W188" s="146" t="s">
        <v>118</v>
      </c>
      <c r="X188" s="37">
        <f ca="1">OFFSET(①簡易状況入力!$C$5,MATCH(A185,①簡易状況入力!$C$5:$C$104,0)-1,7)</f>
        <v>0</v>
      </c>
      <c r="Y188" s="149">
        <f ca="1">OFFSET(①簡易状況入力!$C$5,MATCH(A185,①簡易状況入力!$C$5:$C$104,0)-1,13)</f>
        <v>0</v>
      </c>
      <c r="Z188" s="167">
        <f ca="1">OFFSET(①簡易状況入力!$C$5,MATCH(A185,①簡易状況入力!$C$5:$C$104,0)-1,14)</f>
        <v>0</v>
      </c>
      <c r="AA188" s="168"/>
      <c r="AB188" s="148" t="s">
        <v>51</v>
      </c>
      <c r="AC188" s="56">
        <f t="shared" ref="AC188:AD188" ca="1" si="651">AC187</f>
        <v>0</v>
      </c>
      <c r="AD188" s="56">
        <f t="shared" ca="1" si="651"/>
        <v>0</v>
      </c>
      <c r="AE188" s="63">
        <f ca="1">IF($C188="あり",IF(AC188&gt;=1,G188/AQ188,0),IF(AC188&gt;=1,AO188*AC188,0))</f>
        <v>0</v>
      </c>
      <c r="AF188" s="63">
        <f t="shared" ca="1" si="642"/>
        <v>0</v>
      </c>
      <c r="AG188" s="63">
        <f t="shared" ca="1" si="643"/>
        <v>0</v>
      </c>
      <c r="AH188" s="63">
        <f t="shared" ca="1" si="644"/>
        <v>0</v>
      </c>
      <c r="AI188" s="63">
        <f t="shared" ca="1" si="645"/>
        <v>0</v>
      </c>
      <c r="AJ188" s="63">
        <f t="shared" ca="1" si="646"/>
        <v>0</v>
      </c>
      <c r="AK188" s="63">
        <f t="shared" ca="1" si="647"/>
        <v>0</v>
      </c>
      <c r="AL188" s="63">
        <f ca="1">IF($C188="あり",IF($AD188&gt;=7,N188/$AQ188,0),IF($AD188&gt;=7,$AO188*($AD188-6),0))</f>
        <v>0</v>
      </c>
      <c r="AM188" s="65">
        <f ca="1">IF(C188="あり",O188/AQ188,AP188)</f>
        <v>0</v>
      </c>
      <c r="AN188" s="63">
        <f ca="1">SUM(AE188:AM188)</f>
        <v>0</v>
      </c>
      <c r="AO188" s="68" t="e">
        <f ca="1">1/(AC188+AD188)</f>
        <v>#DIV/0!</v>
      </c>
      <c r="AP188" s="67">
        <v>0</v>
      </c>
      <c r="AQ188" s="68">
        <f ca="1">IF(AC188&gt;=1,G188,0)+SUMIF($H$4:$M$4,"&lt;="&amp;AD188,$H188:$M188)+IF(AD188&gt;=7,N188,0)+O188</f>
        <v>0</v>
      </c>
    </row>
    <row r="189" spans="1:43" x14ac:dyDescent="0.15">
      <c r="G189" s="107"/>
      <c r="H189" s="107"/>
      <c r="I189" s="107"/>
      <c r="J189" s="107"/>
      <c r="K189" s="107"/>
      <c r="L189" s="107"/>
      <c r="M189" s="107"/>
      <c r="N189" s="107"/>
      <c r="O189" s="107"/>
    </row>
    <row r="190" spans="1:43" x14ac:dyDescent="0.15">
      <c r="A190" s="59" t="s">
        <v>353</v>
      </c>
      <c r="B190" s="60">
        <f ca="1">OFFSET(①簡易状況入力!$C$5,MATCH(A190,①簡易状況入力!$C$5:$C$104,0)-1,1)</f>
        <v>0</v>
      </c>
      <c r="C190" s="145">
        <f ca="1">OFFSET(①簡易状況入力!$C$5,MATCH(A190,①簡易状況入力!$C$5:$C$104,0)-1,17)</f>
        <v>0</v>
      </c>
      <c r="D190" s="148" t="s">
        <v>47</v>
      </c>
      <c r="E190" s="56">
        <f ca="1">U193</f>
        <v>0</v>
      </c>
      <c r="F190" s="56">
        <f ca="1">U192</f>
        <v>0</v>
      </c>
      <c r="G190" s="102"/>
      <c r="H190" s="103"/>
      <c r="I190" s="103"/>
      <c r="J190" s="103"/>
      <c r="K190" s="103"/>
      <c r="L190" s="103"/>
      <c r="M190" s="103"/>
      <c r="N190" s="103"/>
      <c r="O190" s="103"/>
      <c r="Q190" s="57">
        <f ca="1">OFFSET(①簡易状況入力!$C$5,MATCH(A190,①簡易状況入力!$C$5:$C$104,0)-1,15)</f>
        <v>0</v>
      </c>
      <c r="R190" s="58"/>
      <c r="S190" s="58"/>
      <c r="T190" s="58"/>
      <c r="U190" s="58"/>
      <c r="V190" s="58"/>
      <c r="W190" s="58"/>
      <c r="X190" s="58"/>
      <c r="Y190" s="58"/>
      <c r="Z190" s="58"/>
      <c r="AA190" s="58"/>
      <c r="AB190" s="148" t="s">
        <v>47</v>
      </c>
      <c r="AC190" s="56">
        <f ca="1">U193</f>
        <v>0</v>
      </c>
      <c r="AD190" s="56">
        <f ca="1">U192</f>
        <v>0</v>
      </c>
      <c r="AE190" s="62" t="s">
        <v>46</v>
      </c>
      <c r="AF190" s="62" t="str">
        <f t="shared" ref="AF190" ca="1" si="652">IF($C190="あり",IF(AF$4&lt;=$AD190,H190,"-"),IF(AF$4&lt;=$AD190,$AO190,"-"))</f>
        <v>-</v>
      </c>
      <c r="AG190" s="62" t="str">
        <f t="shared" ref="AG190" ca="1" si="653">IF($C190="あり",IF(AG$4&lt;=$AD190,I190,"-"),IF(AG$4&lt;=$AD190,$AO190,"-"))</f>
        <v>-</v>
      </c>
      <c r="AH190" s="62" t="str">
        <f t="shared" ref="AH190" ca="1" si="654">IF($C190="あり",IF(AH$4&lt;=$AD190,J190,"-"),IF(AH$4&lt;=$AD190,$AO190,"-"))</f>
        <v>-</v>
      </c>
      <c r="AI190" s="62" t="str">
        <f t="shared" ref="AI190" ca="1" si="655">IF($C190="あり",IF(AI$4&lt;=$AD190,K190,"-"),IF(AI$4&lt;=$AD190,$AO190,"-"))</f>
        <v>-</v>
      </c>
      <c r="AJ190" s="62" t="str">
        <f t="shared" ref="AJ190" ca="1" si="656">IF($C190="あり",IF(AJ$4&lt;=$AD190,L190,"-"),IF(AJ$4&lt;=$AD190,$AO190,"-"))</f>
        <v>-</v>
      </c>
      <c r="AK190" s="62" t="str">
        <f t="shared" ref="AK190" ca="1" si="657">IF($C190="あり",IF(AK$4&lt;=$AD190,M190,"-"),IF(AK$4&lt;=$AD190,$AO190,"-"))</f>
        <v>-</v>
      </c>
      <c r="AL190" s="62" t="str">
        <f ca="1">IF($C190="あり",IF(7&lt;=$AD190,N190,"-"),IF(7&lt;=$AD190,$AO190*($AD190-6),"-"))</f>
        <v>-</v>
      </c>
      <c r="AM190" s="62">
        <f ca="1">IF(C190="あり",O190,AP190)</f>
        <v>0</v>
      </c>
      <c r="AN190" s="62">
        <f ca="1">SUM(U191,AF190:AM190)</f>
        <v>0</v>
      </c>
      <c r="AO190" s="42">
        <f ca="1">OFFSET(【DB】被害率係数!$A$4,MATCH(②詳細状況入力!$Y191,【DB】被害率係数!$A$4:$A$19,0)-1,16)</f>
        <v>0</v>
      </c>
      <c r="AP190" s="42">
        <f ca="1">OFFSET(【DB】被害率係数!$A$4,MATCH(②詳細状況入力!$Y191,【DB】被害率係数!$A$4:$A$19,0)-1,17)</f>
        <v>0</v>
      </c>
      <c r="AQ190" s="42"/>
    </row>
    <row r="191" spans="1:43" x14ac:dyDescent="0.15">
      <c r="A191" s="50"/>
      <c r="B191" s="50"/>
      <c r="C191" s="145">
        <f ca="1">OFFSET(①簡易状況入力!$C$5,MATCH(A190,①簡易状況入力!$C$5:$C$104,0)-1,18)</f>
        <v>0</v>
      </c>
      <c r="D191" s="148" t="s">
        <v>52</v>
      </c>
      <c r="E191" s="56">
        <f t="shared" ref="E191:F191" ca="1" si="658">E190</f>
        <v>0</v>
      </c>
      <c r="F191" s="56">
        <f t="shared" ca="1" si="658"/>
        <v>0</v>
      </c>
      <c r="G191" s="104"/>
      <c r="H191" s="104"/>
      <c r="I191" s="104"/>
      <c r="J191" s="104"/>
      <c r="K191" s="104"/>
      <c r="L191" s="104"/>
      <c r="M191" s="104"/>
      <c r="N191" s="104"/>
      <c r="O191" s="105"/>
      <c r="Q191" s="57">
        <f ca="1">OFFSET(①簡易状況入力!$C$5,MATCH(A190,①簡易状況入力!$C$5:$C$104,0)-1,16)</f>
        <v>0</v>
      </c>
      <c r="R191" s="58"/>
      <c r="S191" s="146" t="s">
        <v>115</v>
      </c>
      <c r="T191" s="146" t="s">
        <v>116</v>
      </c>
      <c r="U191" s="36">
        <f ca="1">OFFSET(①簡易状況入力!$C$5,MATCH(A190,①簡易状況入力!$C$5:$C$104,0)-1,4)</f>
        <v>0</v>
      </c>
      <c r="V191" s="58"/>
      <c r="W191" s="146" t="s">
        <v>30</v>
      </c>
      <c r="X191" s="37">
        <f ca="1">OFFSET(①簡易状況入力!$C$5,MATCH(A190,①簡易状況入力!$C$5:$C$104,0)-1,5)</f>
        <v>0</v>
      </c>
      <c r="Y191" s="149">
        <f ca="1">OFFSET(①簡易状況入力!$C$5,MATCH(A190,①簡易状況入力!$C$5:$C$104,0)-1,8)</f>
        <v>0</v>
      </c>
      <c r="Z191" s="149">
        <f ca="1">OFFSET(①簡易状況入力!$C$5,MATCH(A190,①簡易状況入力!$C$5:$C$104,0)-1,9)</f>
        <v>0</v>
      </c>
      <c r="AA191" s="149">
        <f ca="1">OFFSET(①簡易状況入力!$C$5,MATCH(A190,①簡易状況入力!$C$5:$C$104,0)-1,10)</f>
        <v>0</v>
      </c>
      <c r="AB191" s="148" t="s">
        <v>52</v>
      </c>
      <c r="AC191" s="56">
        <f t="shared" ref="AC191:AD191" ca="1" si="659">AC190</f>
        <v>0</v>
      </c>
      <c r="AD191" s="56">
        <f t="shared" ca="1" si="659"/>
        <v>0</v>
      </c>
      <c r="AE191" s="63">
        <f ca="1">IF($C191="あり",IF(AC191&gt;=1,G191/AQ191,0),IF(AC191&gt;=1,AO191*AC191,0))</f>
        <v>0</v>
      </c>
      <c r="AF191" s="63">
        <f t="shared" ref="AF191:AF193" ca="1" si="660">IF($C191="あり",IF($AD191&gt;=AF$4,H191/$AQ191,0),IF($AD191&gt;=AF$4,$AO191,0))</f>
        <v>0</v>
      </c>
      <c r="AG191" s="63">
        <f t="shared" ref="AG191:AG193" ca="1" si="661">IF($C191="あり",IF($AD191&gt;=AG$4,I191/$AQ191,0),IF($AD191&gt;=AG$4,$AO191,0))</f>
        <v>0</v>
      </c>
      <c r="AH191" s="63">
        <f t="shared" ref="AH191:AH193" ca="1" si="662">IF($C191="あり",IF($AD191&gt;=AH$4,J191/$AQ191,0),IF($AD191&gt;=AH$4,$AO191,0))</f>
        <v>0</v>
      </c>
      <c r="AI191" s="63">
        <f t="shared" ref="AI191:AI193" ca="1" si="663">IF($C191="あり",IF($AD191&gt;=AI$4,K191/$AQ191,0),IF($AD191&gt;=AI$4,$AO191,0))</f>
        <v>0</v>
      </c>
      <c r="AJ191" s="63">
        <f t="shared" ref="AJ191:AJ193" ca="1" si="664">IF($C191="あり",IF($AD191&gt;=AJ$4,L191/$AQ191,0),IF($AD191&gt;=AJ$4,$AO191,0))</f>
        <v>0</v>
      </c>
      <c r="AK191" s="63">
        <f t="shared" ref="AK191:AK193" ca="1" si="665">IF($C191="あり",IF($AD191&gt;=AK$4,M191/$AQ191,0),IF($AD191&gt;=AK$4,$AO191,0))</f>
        <v>0</v>
      </c>
      <c r="AL191" s="63">
        <f ca="1">IF($C191="あり",IF($AD191&gt;=7,N191/$AQ191,0),IF($AD191&gt;=7,$AO191*($AD191-6),0))</f>
        <v>0</v>
      </c>
      <c r="AM191" s="64" t="s">
        <v>46</v>
      </c>
      <c r="AN191" s="63">
        <f ca="1">SUM(AE191:AM191)</f>
        <v>0</v>
      </c>
      <c r="AO191" s="68" t="e">
        <f ca="1">1/(AC191+AD191)</f>
        <v>#DIV/0!</v>
      </c>
      <c r="AP191" s="67">
        <v>0</v>
      </c>
      <c r="AQ191" s="68">
        <f ca="1">IF(AC191&gt;=1,G191,0)+SUMIF($H$4:$M$4,"&lt;="&amp;AD191,$H191:$M191)+IF(AD191&gt;=7,N191,0)</f>
        <v>0</v>
      </c>
    </row>
    <row r="192" spans="1:43" x14ac:dyDescent="0.15">
      <c r="A192" s="50"/>
      <c r="B192" s="50"/>
      <c r="C192" s="145">
        <f ca="1">OFFSET(①簡易状況入力!$C$5,MATCH(A190,①簡易状況入力!$C$5:$C$104,0)-1,19)</f>
        <v>0</v>
      </c>
      <c r="D192" s="148" t="s">
        <v>50</v>
      </c>
      <c r="E192" s="56">
        <f t="shared" ref="E192" ca="1" si="666">E191</f>
        <v>0</v>
      </c>
      <c r="F192" s="56">
        <f ca="1">F191</f>
        <v>0</v>
      </c>
      <c r="G192" s="104"/>
      <c r="H192" s="104"/>
      <c r="I192" s="104"/>
      <c r="J192" s="104"/>
      <c r="K192" s="104"/>
      <c r="L192" s="104"/>
      <c r="M192" s="104"/>
      <c r="N192" s="104"/>
      <c r="O192" s="106"/>
      <c r="Q192" s="50"/>
      <c r="R192" s="58"/>
      <c r="S192" s="165" t="s">
        <v>28</v>
      </c>
      <c r="T192" s="146" t="s">
        <v>35</v>
      </c>
      <c r="U192" s="35">
        <f ca="1">OFFSET(①簡易状況入力!$C$5,MATCH(A190,①簡易状況入力!$C$5:$C$104,0)-1,2)</f>
        <v>0</v>
      </c>
      <c r="V192" s="58"/>
      <c r="W192" s="146" t="s">
        <v>33</v>
      </c>
      <c r="X192" s="37">
        <f ca="1">OFFSET(①簡易状況入力!$C$5,MATCH(A190,①簡易状況入力!$C$5:$C$104,0)-1,6)</f>
        <v>0</v>
      </c>
      <c r="Y192" s="149">
        <f ca="1">OFFSET(①簡易状況入力!$C$5,MATCH(A190,①簡易状況入力!$C$5:$C$104,0)-1,11)</f>
        <v>0</v>
      </c>
      <c r="Z192" s="167">
        <f ca="1">OFFSET(①簡易状況入力!$C$5,MATCH(A190,①簡易状況入力!$C$5:$C$104,0)-1,12)</f>
        <v>0</v>
      </c>
      <c r="AA192" s="168"/>
      <c r="AB192" s="148" t="s">
        <v>50</v>
      </c>
      <c r="AC192" s="56">
        <f t="shared" ref="AC192:AD192" ca="1" si="667">AC191</f>
        <v>0</v>
      </c>
      <c r="AD192" s="56">
        <f t="shared" ca="1" si="667"/>
        <v>0</v>
      </c>
      <c r="AE192" s="63">
        <f ca="1">IF($C192="あり",IF(AC192&gt;=1,G192/AQ192,0),IF(AC192&gt;=1,AO192*AC192,0))</f>
        <v>0</v>
      </c>
      <c r="AF192" s="63">
        <f t="shared" ca="1" si="660"/>
        <v>0</v>
      </c>
      <c r="AG192" s="63">
        <f t="shared" ca="1" si="661"/>
        <v>0</v>
      </c>
      <c r="AH192" s="63">
        <f t="shared" ca="1" si="662"/>
        <v>0</v>
      </c>
      <c r="AI192" s="63">
        <f t="shared" ca="1" si="663"/>
        <v>0</v>
      </c>
      <c r="AJ192" s="63">
        <f t="shared" ca="1" si="664"/>
        <v>0</v>
      </c>
      <c r="AK192" s="63">
        <f t="shared" ca="1" si="665"/>
        <v>0</v>
      </c>
      <c r="AL192" s="63">
        <f ca="1">IF($C192="あり",IF($AD192&gt;=7,N192/$AQ192,0),IF($AD192&gt;=7,$AO192*($AD192-6),0))</f>
        <v>0</v>
      </c>
      <c r="AM192" s="65">
        <f ca="1">IF(C192="あり",O192/AQ192,AP192)</f>
        <v>0</v>
      </c>
      <c r="AN192" s="63">
        <f ca="1">SUM(AE192:AM192)</f>
        <v>0</v>
      </c>
      <c r="AO192" s="68" t="e">
        <f ca="1">1/(AC192+AD192)</f>
        <v>#DIV/0!</v>
      </c>
      <c r="AP192" s="67">
        <v>0</v>
      </c>
      <c r="AQ192" s="68">
        <f ca="1">IF(AC192&gt;=1,G192,0)+SUMIF($H$4:$M$4,"&lt;="&amp;AD192,$H192:$M192)+IF(AD192&gt;=7,N192,0)+O192</f>
        <v>0</v>
      </c>
    </row>
    <row r="193" spans="1:43" x14ac:dyDescent="0.15">
      <c r="A193" s="50"/>
      <c r="B193" s="50"/>
      <c r="C193" s="145">
        <f ca="1">OFFSET(①簡易状況入力!$C$5,MATCH(A190,①簡易状況入力!$C$5:$C$104,0)-1,20)</f>
        <v>0</v>
      </c>
      <c r="D193" s="148" t="s">
        <v>51</v>
      </c>
      <c r="E193" s="56">
        <f t="shared" ref="E193:F193" ca="1" si="668">E192</f>
        <v>0</v>
      </c>
      <c r="F193" s="56">
        <f t="shared" ca="1" si="668"/>
        <v>0</v>
      </c>
      <c r="G193" s="104"/>
      <c r="H193" s="104"/>
      <c r="I193" s="104"/>
      <c r="J193" s="104"/>
      <c r="K193" s="104"/>
      <c r="L193" s="104"/>
      <c r="M193" s="104"/>
      <c r="N193" s="104"/>
      <c r="O193" s="106"/>
      <c r="Q193" s="50"/>
      <c r="R193" s="58"/>
      <c r="S193" s="166"/>
      <c r="T193" s="146" t="s">
        <v>34</v>
      </c>
      <c r="U193" s="35">
        <f ca="1">OFFSET(①簡易状況入力!$C$5,MATCH(A190,①簡易状況入力!$C$5:$C$104,0)-1,3)</f>
        <v>0</v>
      </c>
      <c r="V193" s="58"/>
      <c r="W193" s="146" t="s">
        <v>118</v>
      </c>
      <c r="X193" s="37">
        <f ca="1">OFFSET(①簡易状況入力!$C$5,MATCH(A190,①簡易状況入力!$C$5:$C$104,0)-1,7)</f>
        <v>0</v>
      </c>
      <c r="Y193" s="149">
        <f ca="1">OFFSET(①簡易状況入力!$C$5,MATCH(A190,①簡易状況入力!$C$5:$C$104,0)-1,13)</f>
        <v>0</v>
      </c>
      <c r="Z193" s="167">
        <f ca="1">OFFSET(①簡易状況入力!$C$5,MATCH(A190,①簡易状況入力!$C$5:$C$104,0)-1,14)</f>
        <v>0</v>
      </c>
      <c r="AA193" s="168"/>
      <c r="AB193" s="148" t="s">
        <v>51</v>
      </c>
      <c r="AC193" s="56">
        <f t="shared" ref="AC193:AD193" ca="1" si="669">AC192</f>
        <v>0</v>
      </c>
      <c r="AD193" s="56">
        <f t="shared" ca="1" si="669"/>
        <v>0</v>
      </c>
      <c r="AE193" s="63">
        <f ca="1">IF($C193="あり",IF(AC193&gt;=1,G193/AQ193,0),IF(AC193&gt;=1,AO193*AC193,0))</f>
        <v>0</v>
      </c>
      <c r="AF193" s="63">
        <f t="shared" ca="1" si="660"/>
        <v>0</v>
      </c>
      <c r="AG193" s="63">
        <f t="shared" ca="1" si="661"/>
        <v>0</v>
      </c>
      <c r="AH193" s="63">
        <f t="shared" ca="1" si="662"/>
        <v>0</v>
      </c>
      <c r="AI193" s="63">
        <f t="shared" ca="1" si="663"/>
        <v>0</v>
      </c>
      <c r="AJ193" s="63">
        <f t="shared" ca="1" si="664"/>
        <v>0</v>
      </c>
      <c r="AK193" s="63">
        <f t="shared" ca="1" si="665"/>
        <v>0</v>
      </c>
      <c r="AL193" s="63">
        <f ca="1">IF($C193="あり",IF($AD193&gt;=7,N193/$AQ193,0),IF($AD193&gt;=7,$AO193*($AD193-6),0))</f>
        <v>0</v>
      </c>
      <c r="AM193" s="65">
        <f ca="1">IF(C193="あり",O193/AQ193,AP193)</f>
        <v>0</v>
      </c>
      <c r="AN193" s="63">
        <f ca="1">SUM(AE193:AM193)</f>
        <v>0</v>
      </c>
      <c r="AO193" s="68" t="e">
        <f ca="1">1/(AC193+AD193)</f>
        <v>#DIV/0!</v>
      </c>
      <c r="AP193" s="67">
        <v>0</v>
      </c>
      <c r="AQ193" s="68">
        <f ca="1">IF(AC193&gt;=1,G193,0)+SUMIF($H$4:$M$4,"&lt;="&amp;AD193,$H193:$M193)+IF(AD193&gt;=7,N193,0)+O193</f>
        <v>0</v>
      </c>
    </row>
    <row r="194" spans="1:43" x14ac:dyDescent="0.15">
      <c r="G194" s="107"/>
      <c r="H194" s="107"/>
      <c r="I194" s="107"/>
      <c r="J194" s="107"/>
      <c r="K194" s="107"/>
      <c r="L194" s="107"/>
      <c r="M194" s="107"/>
      <c r="N194" s="107"/>
      <c r="O194" s="107"/>
    </row>
    <row r="195" spans="1:43" x14ac:dyDescent="0.15">
      <c r="A195" s="59" t="s">
        <v>354</v>
      </c>
      <c r="B195" s="60">
        <f ca="1">OFFSET(①簡易状況入力!$C$5,MATCH(A195,①簡易状況入力!$C$5:$C$104,0)-1,1)</f>
        <v>0</v>
      </c>
      <c r="C195" s="145">
        <f ca="1">OFFSET(①簡易状況入力!$C$5,MATCH(A195,①簡易状況入力!$C$5:$C$104,0)-1,17)</f>
        <v>0</v>
      </c>
      <c r="D195" s="148" t="s">
        <v>47</v>
      </c>
      <c r="E195" s="56">
        <f ca="1">U198</f>
        <v>0</v>
      </c>
      <c r="F195" s="56">
        <f ca="1">U197</f>
        <v>0</v>
      </c>
      <c r="G195" s="102"/>
      <c r="H195" s="103"/>
      <c r="I195" s="103"/>
      <c r="J195" s="103"/>
      <c r="K195" s="103"/>
      <c r="L195" s="103"/>
      <c r="M195" s="103"/>
      <c r="N195" s="103"/>
      <c r="O195" s="103"/>
      <c r="Q195" s="57">
        <f ca="1">OFFSET(①簡易状況入力!$C$5,MATCH(A195,①簡易状況入力!$C$5:$C$104,0)-1,15)</f>
        <v>0</v>
      </c>
      <c r="R195" s="58"/>
      <c r="S195" s="58"/>
      <c r="T195" s="58"/>
      <c r="U195" s="58"/>
      <c r="V195" s="58"/>
      <c r="W195" s="58"/>
      <c r="X195" s="58"/>
      <c r="Y195" s="58"/>
      <c r="Z195" s="58"/>
      <c r="AA195" s="58"/>
      <c r="AB195" s="148" t="s">
        <v>47</v>
      </c>
      <c r="AC195" s="56">
        <f ca="1">U198</f>
        <v>0</v>
      </c>
      <c r="AD195" s="56">
        <f ca="1">U197</f>
        <v>0</v>
      </c>
      <c r="AE195" s="62" t="s">
        <v>46</v>
      </c>
      <c r="AF195" s="62" t="str">
        <f t="shared" ref="AF195" ca="1" si="670">IF($C195="あり",IF(AF$4&lt;=$AD195,H195,"-"),IF(AF$4&lt;=$AD195,$AO195,"-"))</f>
        <v>-</v>
      </c>
      <c r="AG195" s="62" t="str">
        <f t="shared" ref="AG195" ca="1" si="671">IF($C195="あり",IF(AG$4&lt;=$AD195,I195,"-"),IF(AG$4&lt;=$AD195,$AO195,"-"))</f>
        <v>-</v>
      </c>
      <c r="AH195" s="62" t="str">
        <f t="shared" ref="AH195" ca="1" si="672">IF($C195="あり",IF(AH$4&lt;=$AD195,J195,"-"),IF(AH$4&lt;=$AD195,$AO195,"-"))</f>
        <v>-</v>
      </c>
      <c r="AI195" s="62" t="str">
        <f t="shared" ref="AI195" ca="1" si="673">IF($C195="あり",IF(AI$4&lt;=$AD195,K195,"-"),IF(AI$4&lt;=$AD195,$AO195,"-"))</f>
        <v>-</v>
      </c>
      <c r="AJ195" s="62" t="str">
        <f t="shared" ref="AJ195" ca="1" si="674">IF($C195="あり",IF(AJ$4&lt;=$AD195,L195,"-"),IF(AJ$4&lt;=$AD195,$AO195,"-"))</f>
        <v>-</v>
      </c>
      <c r="AK195" s="62" t="str">
        <f t="shared" ref="AK195" ca="1" si="675">IF($C195="あり",IF(AK$4&lt;=$AD195,M195,"-"),IF(AK$4&lt;=$AD195,$AO195,"-"))</f>
        <v>-</v>
      </c>
      <c r="AL195" s="62" t="str">
        <f ca="1">IF($C195="あり",IF(7&lt;=$AD195,N195,"-"),IF(7&lt;=$AD195,$AO195*($AD195-6),"-"))</f>
        <v>-</v>
      </c>
      <c r="AM195" s="62">
        <f ca="1">IF(C195="あり",O195,AP195)</f>
        <v>0</v>
      </c>
      <c r="AN195" s="62">
        <f ca="1">SUM(U196,AF195:AM195)</f>
        <v>0</v>
      </c>
      <c r="AO195" s="42">
        <f ca="1">OFFSET(【DB】被害率係数!$A$4,MATCH(②詳細状況入力!$Y196,【DB】被害率係数!$A$4:$A$19,0)-1,16)</f>
        <v>0</v>
      </c>
      <c r="AP195" s="42">
        <f ca="1">OFFSET(【DB】被害率係数!$A$4,MATCH(②詳細状況入力!$Y196,【DB】被害率係数!$A$4:$A$19,0)-1,17)</f>
        <v>0</v>
      </c>
      <c r="AQ195" s="42"/>
    </row>
    <row r="196" spans="1:43" x14ac:dyDescent="0.15">
      <c r="A196" s="50"/>
      <c r="B196" s="50"/>
      <c r="C196" s="145">
        <f ca="1">OFFSET(①簡易状況入力!$C$5,MATCH(A195,①簡易状況入力!$C$5:$C$104,0)-1,18)</f>
        <v>0</v>
      </c>
      <c r="D196" s="148" t="s">
        <v>52</v>
      </c>
      <c r="E196" s="56">
        <f t="shared" ref="E196:F196" ca="1" si="676">E195</f>
        <v>0</v>
      </c>
      <c r="F196" s="56">
        <f t="shared" ca="1" si="676"/>
        <v>0</v>
      </c>
      <c r="G196" s="104"/>
      <c r="H196" s="104"/>
      <c r="I196" s="104"/>
      <c r="J196" s="104"/>
      <c r="K196" s="104"/>
      <c r="L196" s="104"/>
      <c r="M196" s="104"/>
      <c r="N196" s="104"/>
      <c r="O196" s="105"/>
      <c r="Q196" s="57">
        <f ca="1">OFFSET(①簡易状況入力!$C$5,MATCH(A195,①簡易状況入力!$C$5:$C$104,0)-1,16)</f>
        <v>0</v>
      </c>
      <c r="R196" s="58"/>
      <c r="S196" s="146" t="s">
        <v>115</v>
      </c>
      <c r="T196" s="146" t="s">
        <v>116</v>
      </c>
      <c r="U196" s="36">
        <f ca="1">OFFSET(①簡易状況入力!$C$5,MATCH(A195,①簡易状況入力!$C$5:$C$104,0)-1,4)</f>
        <v>0</v>
      </c>
      <c r="V196" s="58"/>
      <c r="W196" s="146" t="s">
        <v>30</v>
      </c>
      <c r="X196" s="37">
        <f ca="1">OFFSET(①簡易状況入力!$C$5,MATCH(A195,①簡易状況入力!$C$5:$C$104,0)-1,5)</f>
        <v>0</v>
      </c>
      <c r="Y196" s="149">
        <f ca="1">OFFSET(①簡易状況入力!$C$5,MATCH(A195,①簡易状況入力!$C$5:$C$104,0)-1,8)</f>
        <v>0</v>
      </c>
      <c r="Z196" s="149">
        <f ca="1">OFFSET(①簡易状況入力!$C$5,MATCH(A195,①簡易状況入力!$C$5:$C$104,0)-1,9)</f>
        <v>0</v>
      </c>
      <c r="AA196" s="149">
        <f ca="1">OFFSET(①簡易状況入力!$C$5,MATCH(A195,①簡易状況入力!$C$5:$C$104,0)-1,10)</f>
        <v>0</v>
      </c>
      <c r="AB196" s="148" t="s">
        <v>52</v>
      </c>
      <c r="AC196" s="56">
        <f t="shared" ref="AC196:AD196" ca="1" si="677">AC195</f>
        <v>0</v>
      </c>
      <c r="AD196" s="56">
        <f t="shared" ca="1" si="677"/>
        <v>0</v>
      </c>
      <c r="AE196" s="63">
        <f ca="1">IF($C196="あり",IF(AC196&gt;=1,G196/AQ196,0),IF(AC196&gt;=1,AO196*AC196,0))</f>
        <v>0</v>
      </c>
      <c r="AF196" s="63">
        <f t="shared" ref="AF196:AF198" ca="1" si="678">IF($C196="あり",IF($AD196&gt;=AF$4,H196/$AQ196,0),IF($AD196&gt;=AF$4,$AO196,0))</f>
        <v>0</v>
      </c>
      <c r="AG196" s="63">
        <f t="shared" ref="AG196:AG198" ca="1" si="679">IF($C196="あり",IF($AD196&gt;=AG$4,I196/$AQ196,0),IF($AD196&gt;=AG$4,$AO196,0))</f>
        <v>0</v>
      </c>
      <c r="AH196" s="63">
        <f t="shared" ref="AH196:AH198" ca="1" si="680">IF($C196="あり",IF($AD196&gt;=AH$4,J196/$AQ196,0),IF($AD196&gt;=AH$4,$AO196,0))</f>
        <v>0</v>
      </c>
      <c r="AI196" s="63">
        <f t="shared" ref="AI196:AI198" ca="1" si="681">IF($C196="あり",IF($AD196&gt;=AI$4,K196/$AQ196,0),IF($AD196&gt;=AI$4,$AO196,0))</f>
        <v>0</v>
      </c>
      <c r="AJ196" s="63">
        <f t="shared" ref="AJ196:AJ198" ca="1" si="682">IF($C196="あり",IF($AD196&gt;=AJ$4,L196/$AQ196,0),IF($AD196&gt;=AJ$4,$AO196,0))</f>
        <v>0</v>
      </c>
      <c r="AK196" s="63">
        <f t="shared" ref="AK196:AK198" ca="1" si="683">IF($C196="あり",IF($AD196&gt;=AK$4,M196/$AQ196,0),IF($AD196&gt;=AK$4,$AO196,0))</f>
        <v>0</v>
      </c>
      <c r="AL196" s="63">
        <f ca="1">IF($C196="あり",IF($AD196&gt;=7,N196/$AQ196,0),IF($AD196&gt;=7,$AO196*($AD196-6),0))</f>
        <v>0</v>
      </c>
      <c r="AM196" s="64" t="s">
        <v>46</v>
      </c>
      <c r="AN196" s="63">
        <f ca="1">SUM(AE196:AM196)</f>
        <v>0</v>
      </c>
      <c r="AO196" s="68" t="e">
        <f ca="1">1/(AC196+AD196)</f>
        <v>#DIV/0!</v>
      </c>
      <c r="AP196" s="67">
        <v>0</v>
      </c>
      <c r="AQ196" s="68">
        <f ca="1">IF(AC196&gt;=1,G196,0)+SUMIF($H$4:$M$4,"&lt;="&amp;AD196,$H196:$M196)+IF(AD196&gt;=7,N196,0)</f>
        <v>0</v>
      </c>
    </row>
    <row r="197" spans="1:43" x14ac:dyDescent="0.15">
      <c r="A197" s="50"/>
      <c r="B197" s="50"/>
      <c r="C197" s="145">
        <f ca="1">OFFSET(①簡易状況入力!$C$5,MATCH(A195,①簡易状況入力!$C$5:$C$104,0)-1,19)</f>
        <v>0</v>
      </c>
      <c r="D197" s="148" t="s">
        <v>50</v>
      </c>
      <c r="E197" s="56">
        <f t="shared" ref="E197" ca="1" si="684">E196</f>
        <v>0</v>
      </c>
      <c r="F197" s="56">
        <f ca="1">F196</f>
        <v>0</v>
      </c>
      <c r="G197" s="104"/>
      <c r="H197" s="104"/>
      <c r="I197" s="104"/>
      <c r="J197" s="104"/>
      <c r="K197" s="104"/>
      <c r="L197" s="104"/>
      <c r="M197" s="104"/>
      <c r="N197" s="104"/>
      <c r="O197" s="106"/>
      <c r="Q197" s="50"/>
      <c r="R197" s="58"/>
      <c r="S197" s="165" t="s">
        <v>28</v>
      </c>
      <c r="T197" s="146" t="s">
        <v>35</v>
      </c>
      <c r="U197" s="35">
        <f ca="1">OFFSET(①簡易状況入力!$C$5,MATCH(A195,①簡易状況入力!$C$5:$C$104,0)-1,2)</f>
        <v>0</v>
      </c>
      <c r="V197" s="58"/>
      <c r="W197" s="146" t="s">
        <v>33</v>
      </c>
      <c r="X197" s="37">
        <f ca="1">OFFSET(①簡易状況入力!$C$5,MATCH(A195,①簡易状況入力!$C$5:$C$104,0)-1,6)</f>
        <v>0</v>
      </c>
      <c r="Y197" s="149">
        <f ca="1">OFFSET(①簡易状況入力!$C$5,MATCH(A195,①簡易状況入力!$C$5:$C$104,0)-1,11)</f>
        <v>0</v>
      </c>
      <c r="Z197" s="167">
        <f ca="1">OFFSET(①簡易状況入力!$C$5,MATCH(A195,①簡易状況入力!$C$5:$C$104,0)-1,12)</f>
        <v>0</v>
      </c>
      <c r="AA197" s="168"/>
      <c r="AB197" s="148" t="s">
        <v>50</v>
      </c>
      <c r="AC197" s="56">
        <f t="shared" ref="AC197:AD197" ca="1" si="685">AC196</f>
        <v>0</v>
      </c>
      <c r="AD197" s="56">
        <f t="shared" ca="1" si="685"/>
        <v>0</v>
      </c>
      <c r="AE197" s="63">
        <f ca="1">IF($C197="あり",IF(AC197&gt;=1,G197/AQ197,0),IF(AC197&gt;=1,AO197*AC197,0))</f>
        <v>0</v>
      </c>
      <c r="AF197" s="63">
        <f t="shared" ca="1" si="678"/>
        <v>0</v>
      </c>
      <c r="AG197" s="63">
        <f t="shared" ca="1" si="679"/>
        <v>0</v>
      </c>
      <c r="AH197" s="63">
        <f t="shared" ca="1" si="680"/>
        <v>0</v>
      </c>
      <c r="AI197" s="63">
        <f t="shared" ca="1" si="681"/>
        <v>0</v>
      </c>
      <c r="AJ197" s="63">
        <f t="shared" ca="1" si="682"/>
        <v>0</v>
      </c>
      <c r="AK197" s="63">
        <f t="shared" ca="1" si="683"/>
        <v>0</v>
      </c>
      <c r="AL197" s="63">
        <f ca="1">IF($C197="あり",IF($AD197&gt;=7,N197/$AQ197,0),IF($AD197&gt;=7,$AO197*($AD197-6),0))</f>
        <v>0</v>
      </c>
      <c r="AM197" s="65">
        <f ca="1">IF(C197="あり",O197/AQ197,AP197)</f>
        <v>0</v>
      </c>
      <c r="AN197" s="63">
        <f ca="1">SUM(AE197:AM197)</f>
        <v>0</v>
      </c>
      <c r="AO197" s="68" t="e">
        <f ca="1">1/(AC197+AD197)</f>
        <v>#DIV/0!</v>
      </c>
      <c r="AP197" s="67">
        <v>0</v>
      </c>
      <c r="AQ197" s="68">
        <f ca="1">IF(AC197&gt;=1,G197,0)+SUMIF($H$4:$M$4,"&lt;="&amp;AD197,$H197:$M197)+IF(AD197&gt;=7,N197,0)+O197</f>
        <v>0</v>
      </c>
    </row>
    <row r="198" spans="1:43" x14ac:dyDescent="0.15">
      <c r="A198" s="50"/>
      <c r="B198" s="50"/>
      <c r="C198" s="145">
        <f ca="1">OFFSET(①簡易状況入力!$C$5,MATCH(A195,①簡易状況入力!$C$5:$C$104,0)-1,20)</f>
        <v>0</v>
      </c>
      <c r="D198" s="148" t="s">
        <v>51</v>
      </c>
      <c r="E198" s="56">
        <f t="shared" ref="E198:F198" ca="1" si="686">E197</f>
        <v>0</v>
      </c>
      <c r="F198" s="56">
        <f t="shared" ca="1" si="686"/>
        <v>0</v>
      </c>
      <c r="G198" s="104"/>
      <c r="H198" s="104"/>
      <c r="I198" s="104"/>
      <c r="J198" s="104"/>
      <c r="K198" s="104"/>
      <c r="L198" s="104"/>
      <c r="M198" s="104"/>
      <c r="N198" s="104"/>
      <c r="O198" s="106"/>
      <c r="Q198" s="50"/>
      <c r="R198" s="58"/>
      <c r="S198" s="166"/>
      <c r="T198" s="146" t="s">
        <v>34</v>
      </c>
      <c r="U198" s="35">
        <f ca="1">OFFSET(①簡易状況入力!$C$5,MATCH(A195,①簡易状況入力!$C$5:$C$104,0)-1,3)</f>
        <v>0</v>
      </c>
      <c r="V198" s="58"/>
      <c r="W198" s="146" t="s">
        <v>118</v>
      </c>
      <c r="X198" s="37">
        <f ca="1">OFFSET(①簡易状況入力!$C$5,MATCH(A195,①簡易状況入力!$C$5:$C$104,0)-1,7)</f>
        <v>0</v>
      </c>
      <c r="Y198" s="149">
        <f ca="1">OFFSET(①簡易状況入力!$C$5,MATCH(A195,①簡易状況入力!$C$5:$C$104,0)-1,13)</f>
        <v>0</v>
      </c>
      <c r="Z198" s="167">
        <f ca="1">OFFSET(①簡易状況入力!$C$5,MATCH(A195,①簡易状況入力!$C$5:$C$104,0)-1,14)</f>
        <v>0</v>
      </c>
      <c r="AA198" s="168"/>
      <c r="AB198" s="148" t="s">
        <v>51</v>
      </c>
      <c r="AC198" s="56">
        <f t="shared" ref="AC198:AD198" ca="1" si="687">AC197</f>
        <v>0</v>
      </c>
      <c r="AD198" s="56">
        <f t="shared" ca="1" si="687"/>
        <v>0</v>
      </c>
      <c r="AE198" s="63">
        <f ca="1">IF($C198="あり",IF(AC198&gt;=1,G198/AQ198,0),IF(AC198&gt;=1,AO198*AC198,0))</f>
        <v>0</v>
      </c>
      <c r="AF198" s="63">
        <f t="shared" ca="1" si="678"/>
        <v>0</v>
      </c>
      <c r="AG198" s="63">
        <f t="shared" ca="1" si="679"/>
        <v>0</v>
      </c>
      <c r="AH198" s="63">
        <f t="shared" ca="1" si="680"/>
        <v>0</v>
      </c>
      <c r="AI198" s="63">
        <f t="shared" ca="1" si="681"/>
        <v>0</v>
      </c>
      <c r="AJ198" s="63">
        <f t="shared" ca="1" si="682"/>
        <v>0</v>
      </c>
      <c r="AK198" s="63">
        <f t="shared" ca="1" si="683"/>
        <v>0</v>
      </c>
      <c r="AL198" s="63">
        <f ca="1">IF($C198="あり",IF($AD198&gt;=7,N198/$AQ198,0),IF($AD198&gt;=7,$AO198*($AD198-6),0))</f>
        <v>0</v>
      </c>
      <c r="AM198" s="65">
        <f ca="1">IF(C198="あり",O198/AQ198,AP198)</f>
        <v>0</v>
      </c>
      <c r="AN198" s="63">
        <f ca="1">SUM(AE198:AM198)</f>
        <v>0</v>
      </c>
      <c r="AO198" s="68" t="e">
        <f ca="1">1/(AC198+AD198)</f>
        <v>#DIV/0!</v>
      </c>
      <c r="AP198" s="67">
        <v>0</v>
      </c>
      <c r="AQ198" s="68">
        <f ca="1">IF(AC198&gt;=1,G198,0)+SUMIF($H$4:$M$4,"&lt;="&amp;AD198,$H198:$M198)+IF(AD198&gt;=7,N198,0)+O198</f>
        <v>0</v>
      </c>
    </row>
    <row r="199" spans="1:43" x14ac:dyDescent="0.15">
      <c r="G199" s="107"/>
      <c r="H199" s="107"/>
      <c r="I199" s="107"/>
      <c r="J199" s="107"/>
      <c r="K199" s="107"/>
      <c r="L199" s="107"/>
      <c r="M199" s="107"/>
      <c r="N199" s="107"/>
      <c r="O199" s="107"/>
    </row>
    <row r="200" spans="1:43" x14ac:dyDescent="0.15">
      <c r="A200" s="59" t="s">
        <v>355</v>
      </c>
      <c r="B200" s="60">
        <f ca="1">OFFSET(①簡易状況入力!$C$5,MATCH(A200,①簡易状況入力!$C$5:$C$104,0)-1,1)</f>
        <v>0</v>
      </c>
      <c r="C200" s="145">
        <f ca="1">OFFSET(①簡易状況入力!$C$5,MATCH(A200,①簡易状況入力!$C$5:$C$104,0)-1,17)</f>
        <v>0</v>
      </c>
      <c r="D200" s="148" t="s">
        <v>47</v>
      </c>
      <c r="E200" s="56">
        <f ca="1">U203</f>
        <v>0</v>
      </c>
      <c r="F200" s="56">
        <f ca="1">U202</f>
        <v>0</v>
      </c>
      <c r="G200" s="102"/>
      <c r="H200" s="103"/>
      <c r="I200" s="103"/>
      <c r="J200" s="103"/>
      <c r="K200" s="103"/>
      <c r="L200" s="103"/>
      <c r="M200" s="103"/>
      <c r="N200" s="103"/>
      <c r="O200" s="103"/>
      <c r="Q200" s="57">
        <f ca="1">OFFSET(①簡易状況入力!$C$5,MATCH(A200,①簡易状況入力!$C$5:$C$104,0)-1,15)</f>
        <v>0</v>
      </c>
      <c r="R200" s="58"/>
      <c r="S200" s="58"/>
      <c r="T200" s="58"/>
      <c r="U200" s="58"/>
      <c r="V200" s="58"/>
      <c r="W200" s="58"/>
      <c r="X200" s="58"/>
      <c r="Y200" s="58"/>
      <c r="Z200" s="58"/>
      <c r="AA200" s="58"/>
      <c r="AB200" s="148" t="s">
        <v>47</v>
      </c>
      <c r="AC200" s="56">
        <f ca="1">U203</f>
        <v>0</v>
      </c>
      <c r="AD200" s="56">
        <f ca="1">U202</f>
        <v>0</v>
      </c>
      <c r="AE200" s="62" t="s">
        <v>46</v>
      </c>
      <c r="AF200" s="62" t="str">
        <f t="shared" ref="AF200" ca="1" si="688">IF($C200="あり",IF(AF$4&lt;=$AD200,H200,"-"),IF(AF$4&lt;=$AD200,$AO200,"-"))</f>
        <v>-</v>
      </c>
      <c r="AG200" s="62" t="str">
        <f t="shared" ref="AG200" ca="1" si="689">IF($C200="あり",IF(AG$4&lt;=$AD200,I200,"-"),IF(AG$4&lt;=$AD200,$AO200,"-"))</f>
        <v>-</v>
      </c>
      <c r="AH200" s="62" t="str">
        <f t="shared" ref="AH200" ca="1" si="690">IF($C200="あり",IF(AH$4&lt;=$AD200,J200,"-"),IF(AH$4&lt;=$AD200,$AO200,"-"))</f>
        <v>-</v>
      </c>
      <c r="AI200" s="62" t="str">
        <f t="shared" ref="AI200" ca="1" si="691">IF($C200="あり",IF(AI$4&lt;=$AD200,K200,"-"),IF(AI$4&lt;=$AD200,$AO200,"-"))</f>
        <v>-</v>
      </c>
      <c r="AJ200" s="62" t="str">
        <f t="shared" ref="AJ200" ca="1" si="692">IF($C200="あり",IF(AJ$4&lt;=$AD200,L200,"-"),IF(AJ$4&lt;=$AD200,$AO200,"-"))</f>
        <v>-</v>
      </c>
      <c r="AK200" s="62" t="str">
        <f t="shared" ref="AK200" ca="1" si="693">IF($C200="あり",IF(AK$4&lt;=$AD200,M200,"-"),IF(AK$4&lt;=$AD200,$AO200,"-"))</f>
        <v>-</v>
      </c>
      <c r="AL200" s="62" t="str">
        <f ca="1">IF($C200="あり",IF(7&lt;=$AD200,N200,"-"),IF(7&lt;=$AD200,$AO200*($AD200-6),"-"))</f>
        <v>-</v>
      </c>
      <c r="AM200" s="62">
        <f ca="1">IF(C200="あり",O200,AP200)</f>
        <v>0</v>
      </c>
      <c r="AN200" s="62">
        <f ca="1">SUM(U201,AF200:AM200)</f>
        <v>0</v>
      </c>
      <c r="AO200" s="42">
        <f ca="1">OFFSET(【DB】被害率係数!$A$4,MATCH(②詳細状況入力!$Y201,【DB】被害率係数!$A$4:$A$19,0)-1,16)</f>
        <v>0</v>
      </c>
      <c r="AP200" s="42">
        <f ca="1">OFFSET(【DB】被害率係数!$A$4,MATCH(②詳細状況入力!$Y201,【DB】被害率係数!$A$4:$A$19,0)-1,17)</f>
        <v>0</v>
      </c>
      <c r="AQ200" s="42"/>
    </row>
    <row r="201" spans="1:43" x14ac:dyDescent="0.15">
      <c r="A201" s="50"/>
      <c r="B201" s="50"/>
      <c r="C201" s="145">
        <f ca="1">OFFSET(①簡易状況入力!$C$5,MATCH(A200,①簡易状況入力!$C$5:$C$104,0)-1,18)</f>
        <v>0</v>
      </c>
      <c r="D201" s="148" t="s">
        <v>52</v>
      </c>
      <c r="E201" s="56">
        <f t="shared" ref="E201:F201" ca="1" si="694">E200</f>
        <v>0</v>
      </c>
      <c r="F201" s="56">
        <f t="shared" ca="1" si="694"/>
        <v>0</v>
      </c>
      <c r="G201" s="104"/>
      <c r="H201" s="104"/>
      <c r="I201" s="104"/>
      <c r="J201" s="104"/>
      <c r="K201" s="104"/>
      <c r="L201" s="104"/>
      <c r="M201" s="104"/>
      <c r="N201" s="104"/>
      <c r="O201" s="105"/>
      <c r="Q201" s="57">
        <f ca="1">OFFSET(①簡易状況入力!$C$5,MATCH(A200,①簡易状況入力!$C$5:$C$104,0)-1,16)</f>
        <v>0</v>
      </c>
      <c r="R201" s="58"/>
      <c r="S201" s="146" t="s">
        <v>115</v>
      </c>
      <c r="T201" s="146" t="s">
        <v>116</v>
      </c>
      <c r="U201" s="36">
        <f ca="1">OFFSET(①簡易状況入力!$C$5,MATCH(A200,①簡易状況入力!$C$5:$C$104,0)-1,4)</f>
        <v>0</v>
      </c>
      <c r="V201" s="58"/>
      <c r="W201" s="146" t="s">
        <v>30</v>
      </c>
      <c r="X201" s="37">
        <f ca="1">OFFSET(①簡易状況入力!$C$5,MATCH(A200,①簡易状況入力!$C$5:$C$104,0)-1,5)</f>
        <v>0</v>
      </c>
      <c r="Y201" s="149">
        <f ca="1">OFFSET(①簡易状況入力!$C$5,MATCH(A200,①簡易状況入力!$C$5:$C$104,0)-1,8)</f>
        <v>0</v>
      </c>
      <c r="Z201" s="149">
        <f ca="1">OFFSET(①簡易状況入力!$C$5,MATCH(A200,①簡易状況入力!$C$5:$C$104,0)-1,9)</f>
        <v>0</v>
      </c>
      <c r="AA201" s="149">
        <f ca="1">OFFSET(①簡易状況入力!$C$5,MATCH(A200,①簡易状況入力!$C$5:$C$104,0)-1,10)</f>
        <v>0</v>
      </c>
      <c r="AB201" s="148" t="s">
        <v>52</v>
      </c>
      <c r="AC201" s="56">
        <f t="shared" ref="AC201:AD201" ca="1" si="695">AC200</f>
        <v>0</v>
      </c>
      <c r="AD201" s="56">
        <f t="shared" ca="1" si="695"/>
        <v>0</v>
      </c>
      <c r="AE201" s="63">
        <f ca="1">IF($C201="あり",IF(AC201&gt;=1,G201/AQ201,0),IF(AC201&gt;=1,AO201*AC201,0))</f>
        <v>0</v>
      </c>
      <c r="AF201" s="63">
        <f t="shared" ref="AF201:AF203" ca="1" si="696">IF($C201="あり",IF($AD201&gt;=AF$4,H201/$AQ201,0),IF($AD201&gt;=AF$4,$AO201,0))</f>
        <v>0</v>
      </c>
      <c r="AG201" s="63">
        <f t="shared" ref="AG201:AG203" ca="1" si="697">IF($C201="あり",IF($AD201&gt;=AG$4,I201/$AQ201,0),IF($AD201&gt;=AG$4,$AO201,0))</f>
        <v>0</v>
      </c>
      <c r="AH201" s="63">
        <f t="shared" ref="AH201:AH203" ca="1" si="698">IF($C201="あり",IF($AD201&gt;=AH$4,J201/$AQ201,0),IF($AD201&gt;=AH$4,$AO201,0))</f>
        <v>0</v>
      </c>
      <c r="AI201" s="63">
        <f t="shared" ref="AI201:AI203" ca="1" si="699">IF($C201="あり",IF($AD201&gt;=AI$4,K201/$AQ201,0),IF($AD201&gt;=AI$4,$AO201,0))</f>
        <v>0</v>
      </c>
      <c r="AJ201" s="63">
        <f t="shared" ref="AJ201:AJ203" ca="1" si="700">IF($C201="あり",IF($AD201&gt;=AJ$4,L201/$AQ201,0),IF($AD201&gt;=AJ$4,$AO201,0))</f>
        <v>0</v>
      </c>
      <c r="AK201" s="63">
        <f t="shared" ref="AK201:AK203" ca="1" si="701">IF($C201="あり",IF($AD201&gt;=AK$4,M201/$AQ201,0),IF($AD201&gt;=AK$4,$AO201,0))</f>
        <v>0</v>
      </c>
      <c r="AL201" s="63">
        <f ca="1">IF($C201="あり",IF($AD201&gt;=7,N201/$AQ201,0),IF($AD201&gt;=7,$AO201*($AD201-6),0))</f>
        <v>0</v>
      </c>
      <c r="AM201" s="64" t="s">
        <v>46</v>
      </c>
      <c r="AN201" s="63">
        <f ca="1">SUM(AE201:AM201)</f>
        <v>0</v>
      </c>
      <c r="AO201" s="68" t="e">
        <f ca="1">1/(AC201+AD201)</f>
        <v>#DIV/0!</v>
      </c>
      <c r="AP201" s="67">
        <v>0</v>
      </c>
      <c r="AQ201" s="68">
        <f ca="1">IF(AC201&gt;=1,G201,0)+SUMIF($H$4:$M$4,"&lt;="&amp;AD201,$H201:$M201)+IF(AD201&gt;=7,N201,0)</f>
        <v>0</v>
      </c>
    </row>
    <row r="202" spans="1:43" x14ac:dyDescent="0.15">
      <c r="A202" s="50"/>
      <c r="B202" s="50"/>
      <c r="C202" s="145">
        <f ca="1">OFFSET(①簡易状況入力!$C$5,MATCH(A200,①簡易状況入力!$C$5:$C$104,0)-1,19)</f>
        <v>0</v>
      </c>
      <c r="D202" s="148" t="s">
        <v>50</v>
      </c>
      <c r="E202" s="56">
        <f t="shared" ref="E202" ca="1" si="702">E201</f>
        <v>0</v>
      </c>
      <c r="F202" s="56">
        <f ca="1">F201</f>
        <v>0</v>
      </c>
      <c r="G202" s="104"/>
      <c r="H202" s="104"/>
      <c r="I202" s="104"/>
      <c r="J202" s="104"/>
      <c r="K202" s="104"/>
      <c r="L202" s="104"/>
      <c r="M202" s="104"/>
      <c r="N202" s="104"/>
      <c r="O202" s="106"/>
      <c r="Q202" s="50"/>
      <c r="R202" s="58"/>
      <c r="S202" s="165" t="s">
        <v>28</v>
      </c>
      <c r="T202" s="146" t="s">
        <v>35</v>
      </c>
      <c r="U202" s="35">
        <f ca="1">OFFSET(①簡易状況入力!$C$5,MATCH(A200,①簡易状況入力!$C$5:$C$104,0)-1,2)</f>
        <v>0</v>
      </c>
      <c r="V202" s="58"/>
      <c r="W202" s="146" t="s">
        <v>33</v>
      </c>
      <c r="X202" s="37">
        <f ca="1">OFFSET(①簡易状況入力!$C$5,MATCH(A200,①簡易状況入力!$C$5:$C$104,0)-1,6)</f>
        <v>0</v>
      </c>
      <c r="Y202" s="149">
        <f ca="1">OFFSET(①簡易状況入力!$C$5,MATCH(A200,①簡易状況入力!$C$5:$C$104,0)-1,11)</f>
        <v>0</v>
      </c>
      <c r="Z202" s="167">
        <f ca="1">OFFSET(①簡易状況入力!$C$5,MATCH(A200,①簡易状況入力!$C$5:$C$104,0)-1,12)</f>
        <v>0</v>
      </c>
      <c r="AA202" s="168"/>
      <c r="AB202" s="148" t="s">
        <v>50</v>
      </c>
      <c r="AC202" s="56">
        <f t="shared" ref="AC202:AD202" ca="1" si="703">AC201</f>
        <v>0</v>
      </c>
      <c r="AD202" s="56">
        <f t="shared" ca="1" si="703"/>
        <v>0</v>
      </c>
      <c r="AE202" s="63">
        <f ca="1">IF($C202="あり",IF(AC202&gt;=1,G202/AQ202,0),IF(AC202&gt;=1,AO202*AC202,0))</f>
        <v>0</v>
      </c>
      <c r="AF202" s="63">
        <f t="shared" ca="1" si="696"/>
        <v>0</v>
      </c>
      <c r="AG202" s="63">
        <f t="shared" ca="1" si="697"/>
        <v>0</v>
      </c>
      <c r="AH202" s="63">
        <f t="shared" ca="1" si="698"/>
        <v>0</v>
      </c>
      <c r="AI202" s="63">
        <f t="shared" ca="1" si="699"/>
        <v>0</v>
      </c>
      <c r="AJ202" s="63">
        <f t="shared" ca="1" si="700"/>
        <v>0</v>
      </c>
      <c r="AK202" s="63">
        <f t="shared" ca="1" si="701"/>
        <v>0</v>
      </c>
      <c r="AL202" s="63">
        <f ca="1">IF($C202="あり",IF($AD202&gt;=7,N202/$AQ202,0),IF($AD202&gt;=7,$AO202*($AD202-6),0))</f>
        <v>0</v>
      </c>
      <c r="AM202" s="65">
        <f ca="1">IF(C202="あり",O202/AQ202,AP202)</f>
        <v>0</v>
      </c>
      <c r="AN202" s="63">
        <f ca="1">SUM(AE202:AM202)</f>
        <v>0</v>
      </c>
      <c r="AO202" s="68" t="e">
        <f ca="1">1/(AC202+AD202)</f>
        <v>#DIV/0!</v>
      </c>
      <c r="AP202" s="67">
        <v>0</v>
      </c>
      <c r="AQ202" s="68">
        <f ca="1">IF(AC202&gt;=1,G202,0)+SUMIF($H$4:$M$4,"&lt;="&amp;AD202,$H202:$M202)+IF(AD202&gt;=7,N202,0)+O202</f>
        <v>0</v>
      </c>
    </row>
    <row r="203" spans="1:43" x14ac:dyDescent="0.15">
      <c r="A203" s="50"/>
      <c r="B203" s="50"/>
      <c r="C203" s="145">
        <f ca="1">OFFSET(①簡易状況入力!$C$5,MATCH(A200,①簡易状況入力!$C$5:$C$104,0)-1,20)</f>
        <v>0</v>
      </c>
      <c r="D203" s="148" t="s">
        <v>51</v>
      </c>
      <c r="E203" s="56">
        <f t="shared" ref="E203:F203" ca="1" si="704">E202</f>
        <v>0</v>
      </c>
      <c r="F203" s="56">
        <f t="shared" ca="1" si="704"/>
        <v>0</v>
      </c>
      <c r="G203" s="104"/>
      <c r="H203" s="104"/>
      <c r="I203" s="104"/>
      <c r="J203" s="104"/>
      <c r="K203" s="104"/>
      <c r="L203" s="104"/>
      <c r="M203" s="104"/>
      <c r="N203" s="104"/>
      <c r="O203" s="106"/>
      <c r="Q203" s="50"/>
      <c r="R203" s="58"/>
      <c r="S203" s="166"/>
      <c r="T203" s="146" t="s">
        <v>34</v>
      </c>
      <c r="U203" s="35">
        <f ca="1">OFFSET(①簡易状況入力!$C$5,MATCH(A200,①簡易状況入力!$C$5:$C$104,0)-1,3)</f>
        <v>0</v>
      </c>
      <c r="V203" s="58"/>
      <c r="W203" s="146" t="s">
        <v>118</v>
      </c>
      <c r="X203" s="37">
        <f ca="1">OFFSET(①簡易状況入力!$C$5,MATCH(A200,①簡易状況入力!$C$5:$C$104,0)-1,7)</f>
        <v>0</v>
      </c>
      <c r="Y203" s="149">
        <f ca="1">OFFSET(①簡易状況入力!$C$5,MATCH(A200,①簡易状況入力!$C$5:$C$104,0)-1,13)</f>
        <v>0</v>
      </c>
      <c r="Z203" s="167">
        <f ca="1">OFFSET(①簡易状況入力!$C$5,MATCH(A200,①簡易状況入力!$C$5:$C$104,0)-1,14)</f>
        <v>0</v>
      </c>
      <c r="AA203" s="168"/>
      <c r="AB203" s="148" t="s">
        <v>51</v>
      </c>
      <c r="AC203" s="56">
        <f t="shared" ref="AC203:AD203" ca="1" si="705">AC202</f>
        <v>0</v>
      </c>
      <c r="AD203" s="56">
        <f t="shared" ca="1" si="705"/>
        <v>0</v>
      </c>
      <c r="AE203" s="63">
        <f ca="1">IF($C203="あり",IF(AC203&gt;=1,G203/AQ203,0),IF(AC203&gt;=1,AO203*AC203,0))</f>
        <v>0</v>
      </c>
      <c r="AF203" s="63">
        <f t="shared" ca="1" si="696"/>
        <v>0</v>
      </c>
      <c r="AG203" s="63">
        <f t="shared" ca="1" si="697"/>
        <v>0</v>
      </c>
      <c r="AH203" s="63">
        <f t="shared" ca="1" si="698"/>
        <v>0</v>
      </c>
      <c r="AI203" s="63">
        <f t="shared" ca="1" si="699"/>
        <v>0</v>
      </c>
      <c r="AJ203" s="63">
        <f t="shared" ca="1" si="700"/>
        <v>0</v>
      </c>
      <c r="AK203" s="63">
        <f t="shared" ca="1" si="701"/>
        <v>0</v>
      </c>
      <c r="AL203" s="63">
        <f ca="1">IF($C203="あり",IF($AD203&gt;=7,N203/$AQ203,0),IF($AD203&gt;=7,$AO203*($AD203-6),0))</f>
        <v>0</v>
      </c>
      <c r="AM203" s="65">
        <f ca="1">IF(C203="あり",O203/AQ203,AP203)</f>
        <v>0</v>
      </c>
      <c r="AN203" s="63">
        <f ca="1">SUM(AE203:AM203)</f>
        <v>0</v>
      </c>
      <c r="AO203" s="68" t="e">
        <f ca="1">1/(AC203+AD203)</f>
        <v>#DIV/0!</v>
      </c>
      <c r="AP203" s="67">
        <v>0</v>
      </c>
      <c r="AQ203" s="68">
        <f ca="1">IF(AC203&gt;=1,G203,0)+SUMIF($H$4:$M$4,"&lt;="&amp;AD203,$H203:$M203)+IF(AD203&gt;=7,N203,0)+O203</f>
        <v>0</v>
      </c>
    </row>
    <row r="205" spans="1:43" x14ac:dyDescent="0.15">
      <c r="A205" s="59" t="s">
        <v>356</v>
      </c>
      <c r="B205" s="60">
        <f ca="1">OFFSET(①簡易状況入力!$C$5,MATCH(A205,①簡易状況入力!$C$5:$C$104,0)-1,1)</f>
        <v>0</v>
      </c>
      <c r="C205" s="145">
        <f ca="1">OFFSET(①簡易状況入力!$C$5,MATCH(A205,①簡易状況入力!$C$5:$C$104,0)-1,17)</f>
        <v>0</v>
      </c>
      <c r="D205" s="148" t="s">
        <v>47</v>
      </c>
      <c r="E205" s="56">
        <f ca="1">U208</f>
        <v>0</v>
      </c>
      <c r="F205" s="56">
        <f ca="1">U207</f>
        <v>0</v>
      </c>
      <c r="G205" s="102"/>
      <c r="H205" s="103"/>
      <c r="I205" s="103"/>
      <c r="J205" s="103"/>
      <c r="K205" s="103"/>
      <c r="L205" s="103"/>
      <c r="M205" s="103"/>
      <c r="N205" s="103"/>
      <c r="O205" s="103"/>
      <c r="Q205" s="57">
        <f ca="1">OFFSET(①簡易状況入力!$C$5,MATCH(A205,①簡易状況入力!$C$5:$C$104,0)-1,15)</f>
        <v>0</v>
      </c>
      <c r="R205" s="58"/>
      <c r="S205" s="58"/>
      <c r="T205" s="58"/>
      <c r="U205" s="58"/>
      <c r="V205" s="58"/>
      <c r="W205" s="58"/>
      <c r="X205" s="58"/>
      <c r="Y205" s="58"/>
      <c r="Z205" s="58"/>
      <c r="AA205" s="58"/>
      <c r="AB205" s="148" t="s">
        <v>47</v>
      </c>
      <c r="AC205" s="56">
        <f ca="1">U208</f>
        <v>0</v>
      </c>
      <c r="AD205" s="56">
        <f ca="1">U207</f>
        <v>0</v>
      </c>
      <c r="AE205" s="62" t="s">
        <v>46</v>
      </c>
      <c r="AF205" s="62" t="str">
        <f t="shared" ref="AF205" ca="1" si="706">IF($C205="あり",IF(AF$4&lt;=$AD205,H205,"-"),IF(AF$4&lt;=$AD205,$AO205,"-"))</f>
        <v>-</v>
      </c>
      <c r="AG205" s="62" t="str">
        <f t="shared" ref="AG205" ca="1" si="707">IF($C205="あり",IF(AG$4&lt;=$AD205,I205,"-"),IF(AG$4&lt;=$AD205,$AO205,"-"))</f>
        <v>-</v>
      </c>
      <c r="AH205" s="62" t="str">
        <f t="shared" ref="AH205" ca="1" si="708">IF($C205="あり",IF(AH$4&lt;=$AD205,J205,"-"),IF(AH$4&lt;=$AD205,$AO205,"-"))</f>
        <v>-</v>
      </c>
      <c r="AI205" s="62" t="str">
        <f t="shared" ref="AI205" ca="1" si="709">IF($C205="あり",IF(AI$4&lt;=$AD205,K205,"-"),IF(AI$4&lt;=$AD205,$AO205,"-"))</f>
        <v>-</v>
      </c>
      <c r="AJ205" s="62" t="str">
        <f t="shared" ref="AJ205" ca="1" si="710">IF($C205="あり",IF(AJ$4&lt;=$AD205,L205,"-"),IF(AJ$4&lt;=$AD205,$AO205,"-"))</f>
        <v>-</v>
      </c>
      <c r="AK205" s="62" t="str">
        <f t="shared" ref="AK205" ca="1" si="711">IF($C205="あり",IF(AK$4&lt;=$AD205,M205,"-"),IF(AK$4&lt;=$AD205,$AO205,"-"))</f>
        <v>-</v>
      </c>
      <c r="AL205" s="62" t="str">
        <f ca="1">IF($C205="あり",IF(7&lt;=$AD205,N205,"-"),IF(7&lt;=$AD205,$AO205*($AD205-6),"-"))</f>
        <v>-</v>
      </c>
      <c r="AM205" s="62">
        <f ca="1">IF(C205="あり",O205,AP205)</f>
        <v>0</v>
      </c>
      <c r="AN205" s="62">
        <f ca="1">SUM(U206,AF205:AM205)</f>
        <v>0</v>
      </c>
      <c r="AO205" s="42">
        <f ca="1">OFFSET(【DB】被害率係数!$A$4,MATCH(②詳細状況入力!$Y206,【DB】被害率係数!$A$4:$A$19,0)-1,16)</f>
        <v>0</v>
      </c>
      <c r="AP205" s="42">
        <f ca="1">OFFSET(【DB】被害率係数!$A$4,MATCH(②詳細状況入力!$Y206,【DB】被害率係数!$A$4:$A$19,0)-1,17)</f>
        <v>0</v>
      </c>
      <c r="AQ205" s="42"/>
    </row>
    <row r="206" spans="1:43" x14ac:dyDescent="0.15">
      <c r="A206" s="50"/>
      <c r="B206" s="50"/>
      <c r="C206" s="145">
        <f ca="1">OFFSET(①簡易状況入力!$C$5,MATCH(A205,①簡易状況入力!$C$5:$C$104,0)-1,18)</f>
        <v>0</v>
      </c>
      <c r="D206" s="148" t="s">
        <v>52</v>
      </c>
      <c r="E206" s="56">
        <f t="shared" ref="E206:F206" ca="1" si="712">E205</f>
        <v>0</v>
      </c>
      <c r="F206" s="56">
        <f t="shared" ca="1" si="712"/>
        <v>0</v>
      </c>
      <c r="G206" s="104"/>
      <c r="H206" s="104"/>
      <c r="I206" s="104"/>
      <c r="J206" s="104"/>
      <c r="K206" s="104"/>
      <c r="L206" s="104"/>
      <c r="M206" s="104"/>
      <c r="N206" s="104"/>
      <c r="O206" s="105"/>
      <c r="Q206" s="57">
        <f ca="1">OFFSET(①簡易状況入力!$C$5,MATCH(A205,①簡易状況入力!$C$5:$C$104,0)-1,16)</f>
        <v>0</v>
      </c>
      <c r="R206" s="58"/>
      <c r="S206" s="146" t="s">
        <v>115</v>
      </c>
      <c r="T206" s="146" t="s">
        <v>116</v>
      </c>
      <c r="U206" s="36">
        <f ca="1">OFFSET(①簡易状況入力!$C$5,MATCH(A205,①簡易状況入力!$C$5:$C$104,0)-1,4)</f>
        <v>0</v>
      </c>
      <c r="V206" s="58"/>
      <c r="W206" s="146" t="s">
        <v>30</v>
      </c>
      <c r="X206" s="37">
        <f ca="1">OFFSET(①簡易状況入力!$C$5,MATCH(A205,①簡易状況入力!$C$5:$C$104,0)-1,5)</f>
        <v>0</v>
      </c>
      <c r="Y206" s="149">
        <f ca="1">OFFSET(①簡易状況入力!$C$5,MATCH(A205,①簡易状況入力!$C$5:$C$104,0)-1,8)</f>
        <v>0</v>
      </c>
      <c r="Z206" s="149">
        <f ca="1">OFFSET(①簡易状況入力!$C$5,MATCH(A205,①簡易状況入力!$C$5:$C$104,0)-1,9)</f>
        <v>0</v>
      </c>
      <c r="AA206" s="149">
        <f ca="1">OFFSET(①簡易状況入力!$C$5,MATCH(A205,①簡易状況入力!$C$5:$C$104,0)-1,10)</f>
        <v>0</v>
      </c>
      <c r="AB206" s="148" t="s">
        <v>52</v>
      </c>
      <c r="AC206" s="56">
        <f t="shared" ref="AC206:AD206" ca="1" si="713">AC205</f>
        <v>0</v>
      </c>
      <c r="AD206" s="56">
        <f t="shared" ca="1" si="713"/>
        <v>0</v>
      </c>
      <c r="AE206" s="63">
        <f ca="1">IF($C206="あり",IF(AC206&gt;=1,G206/AQ206,0),IF(AC206&gt;=1,AO206*AC206,0))</f>
        <v>0</v>
      </c>
      <c r="AF206" s="63">
        <f t="shared" ref="AF206:AF208" ca="1" si="714">IF($C206="あり",IF($AD206&gt;=AF$4,H206/$AQ206,0),IF($AD206&gt;=AF$4,$AO206,0))</f>
        <v>0</v>
      </c>
      <c r="AG206" s="63">
        <f t="shared" ref="AG206:AG208" ca="1" si="715">IF($C206="あり",IF($AD206&gt;=AG$4,I206/$AQ206,0),IF($AD206&gt;=AG$4,$AO206,0))</f>
        <v>0</v>
      </c>
      <c r="AH206" s="63">
        <f t="shared" ref="AH206:AH208" ca="1" si="716">IF($C206="あり",IF($AD206&gt;=AH$4,J206/$AQ206,0),IF($AD206&gt;=AH$4,$AO206,0))</f>
        <v>0</v>
      </c>
      <c r="AI206" s="63">
        <f t="shared" ref="AI206:AI208" ca="1" si="717">IF($C206="あり",IF($AD206&gt;=AI$4,K206/$AQ206,0),IF($AD206&gt;=AI$4,$AO206,0))</f>
        <v>0</v>
      </c>
      <c r="AJ206" s="63">
        <f t="shared" ref="AJ206:AJ208" ca="1" si="718">IF($C206="あり",IF($AD206&gt;=AJ$4,L206/$AQ206,0),IF($AD206&gt;=AJ$4,$AO206,0))</f>
        <v>0</v>
      </c>
      <c r="AK206" s="63">
        <f t="shared" ref="AK206:AK208" ca="1" si="719">IF($C206="あり",IF($AD206&gt;=AK$4,M206/$AQ206,0),IF($AD206&gt;=AK$4,$AO206,0))</f>
        <v>0</v>
      </c>
      <c r="AL206" s="63">
        <f ca="1">IF($C206="あり",IF($AD206&gt;=7,N206/$AQ206,0),IF($AD206&gt;=7,$AO206*($AD206-6),0))</f>
        <v>0</v>
      </c>
      <c r="AM206" s="64" t="s">
        <v>46</v>
      </c>
      <c r="AN206" s="63">
        <f ca="1">SUM(AE206:AM206)</f>
        <v>0</v>
      </c>
      <c r="AO206" s="68" t="e">
        <f ca="1">1/(AC206+AD206)</f>
        <v>#DIV/0!</v>
      </c>
      <c r="AP206" s="67">
        <v>0</v>
      </c>
      <c r="AQ206" s="68">
        <f ca="1">IF(AC206&gt;=1,G206,0)+SUMIF($H$4:$M$4,"&lt;="&amp;AD206,$H206:$M206)+IF(AD206&gt;=7,N206,0)</f>
        <v>0</v>
      </c>
    </row>
    <row r="207" spans="1:43" x14ac:dyDescent="0.15">
      <c r="A207" s="50"/>
      <c r="B207" s="50"/>
      <c r="C207" s="145">
        <f ca="1">OFFSET(①簡易状況入力!$C$5,MATCH(A205,①簡易状況入力!$C$5:$C$104,0)-1,19)</f>
        <v>0</v>
      </c>
      <c r="D207" s="148" t="s">
        <v>50</v>
      </c>
      <c r="E207" s="56">
        <f t="shared" ref="E207" ca="1" si="720">E206</f>
        <v>0</v>
      </c>
      <c r="F207" s="56">
        <f ca="1">F206</f>
        <v>0</v>
      </c>
      <c r="G207" s="104"/>
      <c r="H207" s="104"/>
      <c r="I207" s="104"/>
      <c r="J207" s="104"/>
      <c r="K207" s="104"/>
      <c r="L207" s="104"/>
      <c r="M207" s="104"/>
      <c r="N207" s="104"/>
      <c r="O207" s="106"/>
      <c r="Q207" s="50"/>
      <c r="R207" s="58"/>
      <c r="S207" s="165" t="s">
        <v>28</v>
      </c>
      <c r="T207" s="146" t="s">
        <v>35</v>
      </c>
      <c r="U207" s="35">
        <f ca="1">OFFSET(①簡易状況入力!$C$5,MATCH(A205,①簡易状況入力!$C$5:$C$104,0)-1,2)</f>
        <v>0</v>
      </c>
      <c r="V207" s="58"/>
      <c r="W207" s="146" t="s">
        <v>33</v>
      </c>
      <c r="X207" s="37">
        <f ca="1">OFFSET(①簡易状況入力!$C$5,MATCH(A205,①簡易状況入力!$C$5:$C$104,0)-1,6)</f>
        <v>0</v>
      </c>
      <c r="Y207" s="149">
        <f ca="1">OFFSET(①簡易状況入力!$C$5,MATCH(A205,①簡易状況入力!$C$5:$C$104,0)-1,11)</f>
        <v>0</v>
      </c>
      <c r="Z207" s="167">
        <f ca="1">OFFSET(①簡易状況入力!$C$5,MATCH(A205,①簡易状況入力!$C$5:$C$104,0)-1,12)</f>
        <v>0</v>
      </c>
      <c r="AA207" s="168"/>
      <c r="AB207" s="148" t="s">
        <v>50</v>
      </c>
      <c r="AC207" s="56">
        <f t="shared" ref="AC207:AD207" ca="1" si="721">AC206</f>
        <v>0</v>
      </c>
      <c r="AD207" s="56">
        <f t="shared" ca="1" si="721"/>
        <v>0</v>
      </c>
      <c r="AE207" s="63">
        <f ca="1">IF($C207="あり",IF(AC207&gt;=1,G207/AQ207,0),IF(AC207&gt;=1,AO207*AC207,0))</f>
        <v>0</v>
      </c>
      <c r="AF207" s="63">
        <f t="shared" ca="1" si="714"/>
        <v>0</v>
      </c>
      <c r="AG207" s="63">
        <f t="shared" ca="1" si="715"/>
        <v>0</v>
      </c>
      <c r="AH207" s="63">
        <f t="shared" ca="1" si="716"/>
        <v>0</v>
      </c>
      <c r="AI207" s="63">
        <f t="shared" ca="1" si="717"/>
        <v>0</v>
      </c>
      <c r="AJ207" s="63">
        <f t="shared" ca="1" si="718"/>
        <v>0</v>
      </c>
      <c r="AK207" s="63">
        <f t="shared" ca="1" si="719"/>
        <v>0</v>
      </c>
      <c r="AL207" s="63">
        <f ca="1">IF($C207="あり",IF($AD207&gt;=7,N207/$AQ207,0),IF($AD207&gt;=7,$AO207*($AD207-6),0))</f>
        <v>0</v>
      </c>
      <c r="AM207" s="65">
        <f ca="1">IF(C207="あり",O207/AQ207,AP207)</f>
        <v>0</v>
      </c>
      <c r="AN207" s="63">
        <f ca="1">SUM(AE207:AM207)</f>
        <v>0</v>
      </c>
      <c r="AO207" s="68" t="e">
        <f ca="1">1/(AC207+AD207)</f>
        <v>#DIV/0!</v>
      </c>
      <c r="AP207" s="67">
        <v>0</v>
      </c>
      <c r="AQ207" s="68">
        <f ca="1">IF(AC207&gt;=1,G207,0)+SUMIF($H$4:$M$4,"&lt;="&amp;AD207,$H207:$M207)+IF(AD207&gt;=7,N207,0)+O207</f>
        <v>0</v>
      </c>
    </row>
    <row r="208" spans="1:43" x14ac:dyDescent="0.15">
      <c r="A208" s="50"/>
      <c r="B208" s="50"/>
      <c r="C208" s="145">
        <f ca="1">OFFSET(①簡易状況入力!$C$5,MATCH(A205,①簡易状況入力!$C$5:$C$104,0)-1,20)</f>
        <v>0</v>
      </c>
      <c r="D208" s="148" t="s">
        <v>51</v>
      </c>
      <c r="E208" s="56">
        <f t="shared" ref="E208:F208" ca="1" si="722">E207</f>
        <v>0</v>
      </c>
      <c r="F208" s="56">
        <f t="shared" ca="1" si="722"/>
        <v>0</v>
      </c>
      <c r="G208" s="104"/>
      <c r="H208" s="104"/>
      <c r="I208" s="104"/>
      <c r="J208" s="104"/>
      <c r="K208" s="104"/>
      <c r="L208" s="104"/>
      <c r="M208" s="104"/>
      <c r="N208" s="104"/>
      <c r="O208" s="106"/>
      <c r="Q208" s="50"/>
      <c r="R208" s="58"/>
      <c r="S208" s="166"/>
      <c r="T208" s="146" t="s">
        <v>34</v>
      </c>
      <c r="U208" s="35">
        <f ca="1">OFFSET(①簡易状況入力!$C$5,MATCH(A205,①簡易状況入力!$C$5:$C$104,0)-1,3)</f>
        <v>0</v>
      </c>
      <c r="V208" s="58"/>
      <c r="W208" s="146" t="s">
        <v>118</v>
      </c>
      <c r="X208" s="37">
        <f ca="1">OFFSET(①簡易状況入力!$C$5,MATCH(A205,①簡易状況入力!$C$5:$C$104,0)-1,7)</f>
        <v>0</v>
      </c>
      <c r="Y208" s="149">
        <f ca="1">OFFSET(①簡易状況入力!$C$5,MATCH(A205,①簡易状況入力!$C$5:$C$104,0)-1,13)</f>
        <v>0</v>
      </c>
      <c r="Z208" s="167">
        <f ca="1">OFFSET(①簡易状況入力!$C$5,MATCH(A205,①簡易状況入力!$C$5:$C$104,0)-1,14)</f>
        <v>0</v>
      </c>
      <c r="AA208" s="168"/>
      <c r="AB208" s="148" t="s">
        <v>51</v>
      </c>
      <c r="AC208" s="56">
        <f t="shared" ref="AC208:AD208" ca="1" si="723">AC207</f>
        <v>0</v>
      </c>
      <c r="AD208" s="56">
        <f t="shared" ca="1" si="723"/>
        <v>0</v>
      </c>
      <c r="AE208" s="63">
        <f ca="1">IF($C208="あり",IF(AC208&gt;=1,G208/AQ208,0),IF(AC208&gt;=1,AO208*AC208,0))</f>
        <v>0</v>
      </c>
      <c r="AF208" s="63">
        <f t="shared" ca="1" si="714"/>
        <v>0</v>
      </c>
      <c r="AG208" s="63">
        <f t="shared" ca="1" si="715"/>
        <v>0</v>
      </c>
      <c r="AH208" s="63">
        <f t="shared" ca="1" si="716"/>
        <v>0</v>
      </c>
      <c r="AI208" s="63">
        <f t="shared" ca="1" si="717"/>
        <v>0</v>
      </c>
      <c r="AJ208" s="63">
        <f t="shared" ca="1" si="718"/>
        <v>0</v>
      </c>
      <c r="AK208" s="63">
        <f t="shared" ca="1" si="719"/>
        <v>0</v>
      </c>
      <c r="AL208" s="63">
        <f ca="1">IF($C208="あり",IF($AD208&gt;=7,N208/$AQ208,0),IF($AD208&gt;=7,$AO208*($AD208-6),0))</f>
        <v>0</v>
      </c>
      <c r="AM208" s="65">
        <f ca="1">IF(C208="あり",O208/AQ208,AP208)</f>
        <v>0</v>
      </c>
      <c r="AN208" s="63">
        <f ca="1">SUM(AE208:AM208)</f>
        <v>0</v>
      </c>
      <c r="AO208" s="68" t="e">
        <f ca="1">1/(AC208+AD208)</f>
        <v>#DIV/0!</v>
      </c>
      <c r="AP208" s="67">
        <v>0</v>
      </c>
      <c r="AQ208" s="68">
        <f ca="1">IF(AC208&gt;=1,G208,0)+SUMIF($H$4:$M$4,"&lt;="&amp;AD208,$H208:$M208)+IF(AD208&gt;=7,N208,0)+O208</f>
        <v>0</v>
      </c>
    </row>
    <row r="209" spans="1:43" x14ac:dyDescent="0.15">
      <c r="G209" s="107"/>
      <c r="H209" s="107"/>
      <c r="I209" s="107"/>
      <c r="J209" s="107"/>
      <c r="K209" s="107"/>
      <c r="L209" s="107"/>
      <c r="M209" s="107"/>
      <c r="N209" s="107"/>
      <c r="O209" s="107"/>
    </row>
    <row r="210" spans="1:43" x14ac:dyDescent="0.15">
      <c r="A210" s="59" t="s">
        <v>357</v>
      </c>
      <c r="B210" s="60">
        <f ca="1">OFFSET(①簡易状況入力!$C$5,MATCH(A210,①簡易状況入力!$C$5:$C$104,0)-1,1)</f>
        <v>0</v>
      </c>
      <c r="C210" s="145">
        <f ca="1">OFFSET(①簡易状況入力!$C$5,MATCH(A210,①簡易状況入力!$C$5:$C$104,0)-1,17)</f>
        <v>0</v>
      </c>
      <c r="D210" s="148" t="s">
        <v>47</v>
      </c>
      <c r="E210" s="56">
        <f ca="1">U213</f>
        <v>0</v>
      </c>
      <c r="F210" s="56">
        <f ca="1">U212</f>
        <v>0</v>
      </c>
      <c r="G210" s="102"/>
      <c r="H210" s="103"/>
      <c r="I210" s="103"/>
      <c r="J210" s="103"/>
      <c r="K210" s="103"/>
      <c r="L210" s="103"/>
      <c r="M210" s="103"/>
      <c r="N210" s="103"/>
      <c r="O210" s="103"/>
      <c r="Q210" s="57">
        <f ca="1">OFFSET(①簡易状況入力!$C$5,MATCH(A210,①簡易状況入力!$C$5:$C$104,0)-1,15)</f>
        <v>0</v>
      </c>
      <c r="R210" s="58"/>
      <c r="S210" s="58"/>
      <c r="T210" s="58"/>
      <c r="U210" s="58"/>
      <c r="V210" s="58"/>
      <c r="W210" s="58"/>
      <c r="X210" s="58"/>
      <c r="Y210" s="58"/>
      <c r="Z210" s="58"/>
      <c r="AA210" s="58"/>
      <c r="AB210" s="148" t="s">
        <v>47</v>
      </c>
      <c r="AC210" s="56">
        <f ca="1">U213</f>
        <v>0</v>
      </c>
      <c r="AD210" s="56">
        <f ca="1">U212</f>
        <v>0</v>
      </c>
      <c r="AE210" s="62" t="s">
        <v>46</v>
      </c>
      <c r="AF210" s="62" t="str">
        <f t="shared" ref="AF210" ca="1" si="724">IF($C210="あり",IF(AF$4&lt;=$AD210,H210,"-"),IF(AF$4&lt;=$AD210,$AO210,"-"))</f>
        <v>-</v>
      </c>
      <c r="AG210" s="62" t="str">
        <f t="shared" ref="AG210" ca="1" si="725">IF($C210="あり",IF(AG$4&lt;=$AD210,I210,"-"),IF(AG$4&lt;=$AD210,$AO210,"-"))</f>
        <v>-</v>
      </c>
      <c r="AH210" s="62" t="str">
        <f t="shared" ref="AH210" ca="1" si="726">IF($C210="あり",IF(AH$4&lt;=$AD210,J210,"-"),IF(AH$4&lt;=$AD210,$AO210,"-"))</f>
        <v>-</v>
      </c>
      <c r="AI210" s="62" t="str">
        <f t="shared" ref="AI210" ca="1" si="727">IF($C210="あり",IF(AI$4&lt;=$AD210,K210,"-"),IF(AI$4&lt;=$AD210,$AO210,"-"))</f>
        <v>-</v>
      </c>
      <c r="AJ210" s="62" t="str">
        <f t="shared" ref="AJ210" ca="1" si="728">IF($C210="あり",IF(AJ$4&lt;=$AD210,L210,"-"),IF(AJ$4&lt;=$AD210,$AO210,"-"))</f>
        <v>-</v>
      </c>
      <c r="AK210" s="62" t="str">
        <f t="shared" ref="AK210" ca="1" si="729">IF($C210="あり",IF(AK$4&lt;=$AD210,M210,"-"),IF(AK$4&lt;=$AD210,$AO210,"-"))</f>
        <v>-</v>
      </c>
      <c r="AL210" s="62" t="str">
        <f ca="1">IF($C210="あり",IF(7&lt;=$AD210,N210,"-"),IF(7&lt;=$AD210,$AO210*($AD210-6),"-"))</f>
        <v>-</v>
      </c>
      <c r="AM210" s="62">
        <f ca="1">IF(C210="あり",O210,AP210)</f>
        <v>0</v>
      </c>
      <c r="AN210" s="62">
        <f ca="1">SUM(U211,AF210:AM210)</f>
        <v>0</v>
      </c>
      <c r="AO210" s="42">
        <f ca="1">OFFSET(【DB】被害率係数!$A$4,MATCH(②詳細状況入力!$Y211,【DB】被害率係数!$A$4:$A$19,0)-1,16)</f>
        <v>0</v>
      </c>
      <c r="AP210" s="42">
        <f ca="1">OFFSET(【DB】被害率係数!$A$4,MATCH(②詳細状況入力!$Y211,【DB】被害率係数!$A$4:$A$19,0)-1,17)</f>
        <v>0</v>
      </c>
      <c r="AQ210" s="42"/>
    </row>
    <row r="211" spans="1:43" x14ac:dyDescent="0.15">
      <c r="A211" s="50"/>
      <c r="B211" s="50"/>
      <c r="C211" s="145">
        <f ca="1">OFFSET(①簡易状況入力!$C$5,MATCH(A210,①簡易状況入力!$C$5:$C$104,0)-1,18)</f>
        <v>0</v>
      </c>
      <c r="D211" s="148" t="s">
        <v>52</v>
      </c>
      <c r="E211" s="56">
        <f t="shared" ref="E211:F211" ca="1" si="730">E210</f>
        <v>0</v>
      </c>
      <c r="F211" s="56">
        <f t="shared" ca="1" si="730"/>
        <v>0</v>
      </c>
      <c r="G211" s="104"/>
      <c r="H211" s="104"/>
      <c r="I211" s="104"/>
      <c r="J211" s="104"/>
      <c r="K211" s="104"/>
      <c r="L211" s="104"/>
      <c r="M211" s="104"/>
      <c r="N211" s="104"/>
      <c r="O211" s="105"/>
      <c r="Q211" s="57">
        <f ca="1">OFFSET(①簡易状況入力!$C$5,MATCH(A210,①簡易状況入力!$C$5:$C$104,0)-1,16)</f>
        <v>0</v>
      </c>
      <c r="R211" s="58"/>
      <c r="S211" s="146" t="s">
        <v>115</v>
      </c>
      <c r="T211" s="146" t="s">
        <v>116</v>
      </c>
      <c r="U211" s="36">
        <f ca="1">OFFSET(①簡易状況入力!$C$5,MATCH(A210,①簡易状況入力!$C$5:$C$104,0)-1,4)</f>
        <v>0</v>
      </c>
      <c r="V211" s="58"/>
      <c r="W211" s="146" t="s">
        <v>30</v>
      </c>
      <c r="X211" s="37">
        <f ca="1">OFFSET(①簡易状況入力!$C$5,MATCH(A210,①簡易状況入力!$C$5:$C$104,0)-1,5)</f>
        <v>0</v>
      </c>
      <c r="Y211" s="149">
        <f ca="1">OFFSET(①簡易状況入力!$C$5,MATCH(A210,①簡易状況入力!$C$5:$C$104,0)-1,8)</f>
        <v>0</v>
      </c>
      <c r="Z211" s="149">
        <f ca="1">OFFSET(①簡易状況入力!$C$5,MATCH(A210,①簡易状況入力!$C$5:$C$104,0)-1,9)</f>
        <v>0</v>
      </c>
      <c r="AA211" s="149">
        <f ca="1">OFFSET(①簡易状況入力!$C$5,MATCH(A210,①簡易状況入力!$C$5:$C$104,0)-1,10)</f>
        <v>0</v>
      </c>
      <c r="AB211" s="148" t="s">
        <v>52</v>
      </c>
      <c r="AC211" s="56">
        <f t="shared" ref="AC211:AD211" ca="1" si="731">AC210</f>
        <v>0</v>
      </c>
      <c r="AD211" s="56">
        <f t="shared" ca="1" si="731"/>
        <v>0</v>
      </c>
      <c r="AE211" s="63">
        <f ca="1">IF($C211="あり",IF(AC211&gt;=1,G211/AQ211,0),IF(AC211&gt;=1,AO211*AC211,0))</f>
        <v>0</v>
      </c>
      <c r="AF211" s="63">
        <f t="shared" ref="AF211:AF213" ca="1" si="732">IF($C211="あり",IF($AD211&gt;=AF$4,H211/$AQ211,0),IF($AD211&gt;=AF$4,$AO211,0))</f>
        <v>0</v>
      </c>
      <c r="AG211" s="63">
        <f t="shared" ref="AG211:AG213" ca="1" si="733">IF($C211="あり",IF($AD211&gt;=AG$4,I211/$AQ211,0),IF($AD211&gt;=AG$4,$AO211,0))</f>
        <v>0</v>
      </c>
      <c r="AH211" s="63">
        <f t="shared" ref="AH211:AH213" ca="1" si="734">IF($C211="あり",IF($AD211&gt;=AH$4,J211/$AQ211,0),IF($AD211&gt;=AH$4,$AO211,0))</f>
        <v>0</v>
      </c>
      <c r="AI211" s="63">
        <f t="shared" ref="AI211:AI213" ca="1" si="735">IF($C211="あり",IF($AD211&gt;=AI$4,K211/$AQ211,0),IF($AD211&gt;=AI$4,$AO211,0))</f>
        <v>0</v>
      </c>
      <c r="AJ211" s="63">
        <f t="shared" ref="AJ211:AJ213" ca="1" si="736">IF($C211="あり",IF($AD211&gt;=AJ$4,L211/$AQ211,0),IF($AD211&gt;=AJ$4,$AO211,0))</f>
        <v>0</v>
      </c>
      <c r="AK211" s="63">
        <f t="shared" ref="AK211:AK213" ca="1" si="737">IF($C211="あり",IF($AD211&gt;=AK$4,M211/$AQ211,0),IF($AD211&gt;=AK$4,$AO211,0))</f>
        <v>0</v>
      </c>
      <c r="AL211" s="63">
        <f ca="1">IF($C211="あり",IF($AD211&gt;=7,N211/$AQ211,0),IF($AD211&gt;=7,$AO211*($AD211-6),0))</f>
        <v>0</v>
      </c>
      <c r="AM211" s="64" t="s">
        <v>46</v>
      </c>
      <c r="AN211" s="63">
        <f ca="1">SUM(AE211:AM211)</f>
        <v>0</v>
      </c>
      <c r="AO211" s="68" t="e">
        <f ca="1">1/(AC211+AD211)</f>
        <v>#DIV/0!</v>
      </c>
      <c r="AP211" s="67">
        <v>0</v>
      </c>
      <c r="AQ211" s="68">
        <f ca="1">IF(AC211&gt;=1,G211,0)+SUMIF($H$4:$M$4,"&lt;="&amp;AD211,$H211:$M211)+IF(AD211&gt;=7,N211,0)</f>
        <v>0</v>
      </c>
    </row>
    <row r="212" spans="1:43" x14ac:dyDescent="0.15">
      <c r="A212" s="50"/>
      <c r="B212" s="50"/>
      <c r="C212" s="145">
        <f ca="1">OFFSET(①簡易状況入力!$C$5,MATCH(A210,①簡易状況入力!$C$5:$C$104,0)-1,19)</f>
        <v>0</v>
      </c>
      <c r="D212" s="148" t="s">
        <v>50</v>
      </c>
      <c r="E212" s="56">
        <f t="shared" ref="E212" ca="1" si="738">E211</f>
        <v>0</v>
      </c>
      <c r="F212" s="56">
        <f ca="1">F211</f>
        <v>0</v>
      </c>
      <c r="G212" s="104"/>
      <c r="H212" s="104"/>
      <c r="I212" s="104"/>
      <c r="J212" s="104"/>
      <c r="K212" s="104"/>
      <c r="L212" s="104"/>
      <c r="M212" s="104"/>
      <c r="N212" s="104"/>
      <c r="O212" s="106"/>
      <c r="Q212" s="50"/>
      <c r="R212" s="58"/>
      <c r="S212" s="165" t="s">
        <v>28</v>
      </c>
      <c r="T212" s="146" t="s">
        <v>35</v>
      </c>
      <c r="U212" s="35">
        <f ca="1">OFFSET(①簡易状況入力!$C$5,MATCH(A210,①簡易状況入力!$C$5:$C$104,0)-1,2)</f>
        <v>0</v>
      </c>
      <c r="V212" s="58"/>
      <c r="W212" s="146" t="s">
        <v>33</v>
      </c>
      <c r="X212" s="37">
        <f ca="1">OFFSET(①簡易状況入力!$C$5,MATCH(A210,①簡易状況入力!$C$5:$C$104,0)-1,6)</f>
        <v>0</v>
      </c>
      <c r="Y212" s="149">
        <f ca="1">OFFSET(①簡易状況入力!$C$5,MATCH(A210,①簡易状況入力!$C$5:$C$104,0)-1,11)</f>
        <v>0</v>
      </c>
      <c r="Z212" s="167">
        <f ca="1">OFFSET(①簡易状況入力!$C$5,MATCH(A210,①簡易状況入力!$C$5:$C$104,0)-1,12)</f>
        <v>0</v>
      </c>
      <c r="AA212" s="168"/>
      <c r="AB212" s="148" t="s">
        <v>50</v>
      </c>
      <c r="AC212" s="56">
        <f t="shared" ref="AC212:AD212" ca="1" si="739">AC211</f>
        <v>0</v>
      </c>
      <c r="AD212" s="56">
        <f t="shared" ca="1" si="739"/>
        <v>0</v>
      </c>
      <c r="AE212" s="63">
        <f ca="1">IF($C212="あり",IF(AC212&gt;=1,G212/AQ212,0),IF(AC212&gt;=1,AO212*AC212,0))</f>
        <v>0</v>
      </c>
      <c r="AF212" s="63">
        <f t="shared" ca="1" si="732"/>
        <v>0</v>
      </c>
      <c r="AG212" s="63">
        <f t="shared" ca="1" si="733"/>
        <v>0</v>
      </c>
      <c r="AH212" s="63">
        <f t="shared" ca="1" si="734"/>
        <v>0</v>
      </c>
      <c r="AI212" s="63">
        <f t="shared" ca="1" si="735"/>
        <v>0</v>
      </c>
      <c r="AJ212" s="63">
        <f t="shared" ca="1" si="736"/>
        <v>0</v>
      </c>
      <c r="AK212" s="63">
        <f t="shared" ca="1" si="737"/>
        <v>0</v>
      </c>
      <c r="AL212" s="63">
        <f ca="1">IF($C212="あり",IF($AD212&gt;=7,N212/$AQ212,0),IF($AD212&gt;=7,$AO212*($AD212-6),0))</f>
        <v>0</v>
      </c>
      <c r="AM212" s="65">
        <f ca="1">IF(C212="あり",O212/AQ212,AP212)</f>
        <v>0</v>
      </c>
      <c r="AN212" s="63">
        <f ca="1">SUM(AE212:AM212)</f>
        <v>0</v>
      </c>
      <c r="AO212" s="68" t="e">
        <f ca="1">1/(AC212+AD212)</f>
        <v>#DIV/0!</v>
      </c>
      <c r="AP212" s="67">
        <v>0</v>
      </c>
      <c r="AQ212" s="68">
        <f ca="1">IF(AC212&gt;=1,G212,0)+SUMIF($H$4:$M$4,"&lt;="&amp;AD212,$H212:$M212)+IF(AD212&gt;=7,N212,0)+O212</f>
        <v>0</v>
      </c>
    </row>
    <row r="213" spans="1:43" x14ac:dyDescent="0.15">
      <c r="A213" s="50"/>
      <c r="B213" s="50"/>
      <c r="C213" s="145">
        <f ca="1">OFFSET(①簡易状況入力!$C$5,MATCH(A210,①簡易状況入力!$C$5:$C$104,0)-1,20)</f>
        <v>0</v>
      </c>
      <c r="D213" s="148" t="s">
        <v>51</v>
      </c>
      <c r="E213" s="56">
        <f t="shared" ref="E213:F213" ca="1" si="740">E212</f>
        <v>0</v>
      </c>
      <c r="F213" s="56">
        <f t="shared" ca="1" si="740"/>
        <v>0</v>
      </c>
      <c r="G213" s="104"/>
      <c r="H213" s="104"/>
      <c r="I213" s="104"/>
      <c r="J213" s="104"/>
      <c r="K213" s="104"/>
      <c r="L213" s="104"/>
      <c r="M213" s="104"/>
      <c r="N213" s="104"/>
      <c r="O213" s="106"/>
      <c r="Q213" s="50"/>
      <c r="R213" s="58"/>
      <c r="S213" s="166"/>
      <c r="T213" s="146" t="s">
        <v>34</v>
      </c>
      <c r="U213" s="35">
        <f ca="1">OFFSET(①簡易状況入力!$C$5,MATCH(A210,①簡易状況入力!$C$5:$C$104,0)-1,3)</f>
        <v>0</v>
      </c>
      <c r="V213" s="58"/>
      <c r="W213" s="146" t="s">
        <v>118</v>
      </c>
      <c r="X213" s="37">
        <f ca="1">OFFSET(①簡易状況入力!$C$5,MATCH(A210,①簡易状況入力!$C$5:$C$104,0)-1,7)</f>
        <v>0</v>
      </c>
      <c r="Y213" s="149">
        <f ca="1">OFFSET(①簡易状況入力!$C$5,MATCH(A210,①簡易状況入力!$C$5:$C$104,0)-1,13)</f>
        <v>0</v>
      </c>
      <c r="Z213" s="167">
        <f ca="1">OFFSET(①簡易状況入力!$C$5,MATCH(A210,①簡易状況入力!$C$5:$C$104,0)-1,14)</f>
        <v>0</v>
      </c>
      <c r="AA213" s="168"/>
      <c r="AB213" s="148" t="s">
        <v>51</v>
      </c>
      <c r="AC213" s="56">
        <f t="shared" ref="AC213:AD213" ca="1" si="741">AC212</f>
        <v>0</v>
      </c>
      <c r="AD213" s="56">
        <f t="shared" ca="1" si="741"/>
        <v>0</v>
      </c>
      <c r="AE213" s="63">
        <f ca="1">IF($C213="あり",IF(AC213&gt;=1,G213/AQ213,0),IF(AC213&gt;=1,AO213*AC213,0))</f>
        <v>0</v>
      </c>
      <c r="AF213" s="63">
        <f t="shared" ca="1" si="732"/>
        <v>0</v>
      </c>
      <c r="AG213" s="63">
        <f t="shared" ca="1" si="733"/>
        <v>0</v>
      </c>
      <c r="AH213" s="63">
        <f t="shared" ca="1" si="734"/>
        <v>0</v>
      </c>
      <c r="AI213" s="63">
        <f t="shared" ca="1" si="735"/>
        <v>0</v>
      </c>
      <c r="AJ213" s="63">
        <f t="shared" ca="1" si="736"/>
        <v>0</v>
      </c>
      <c r="AK213" s="63">
        <f t="shared" ca="1" si="737"/>
        <v>0</v>
      </c>
      <c r="AL213" s="63">
        <f ca="1">IF($C213="あり",IF($AD213&gt;=7,N213/$AQ213,0),IF($AD213&gt;=7,$AO213*($AD213-6),0))</f>
        <v>0</v>
      </c>
      <c r="AM213" s="65">
        <f ca="1">IF(C213="あり",O213/AQ213,AP213)</f>
        <v>0</v>
      </c>
      <c r="AN213" s="63">
        <f ca="1">SUM(AE213:AM213)</f>
        <v>0</v>
      </c>
      <c r="AO213" s="68" t="e">
        <f ca="1">1/(AC213+AD213)</f>
        <v>#DIV/0!</v>
      </c>
      <c r="AP213" s="67">
        <v>0</v>
      </c>
      <c r="AQ213" s="68">
        <f ca="1">IF(AC213&gt;=1,G213,0)+SUMIF($H$4:$M$4,"&lt;="&amp;AD213,$H213:$M213)+IF(AD213&gt;=7,N213,0)+O213</f>
        <v>0</v>
      </c>
    </row>
    <row r="214" spans="1:43" x14ac:dyDescent="0.15">
      <c r="G214" s="107"/>
      <c r="H214" s="107"/>
      <c r="I214" s="107"/>
      <c r="J214" s="107"/>
      <c r="K214" s="107"/>
      <c r="L214" s="107"/>
      <c r="M214" s="107"/>
      <c r="N214" s="107"/>
      <c r="O214" s="107"/>
    </row>
    <row r="215" spans="1:43" x14ac:dyDescent="0.15">
      <c r="A215" s="59" t="s">
        <v>358</v>
      </c>
      <c r="B215" s="60">
        <f ca="1">OFFSET(①簡易状況入力!$C$5,MATCH(A215,①簡易状況入力!$C$5:$C$104,0)-1,1)</f>
        <v>0</v>
      </c>
      <c r="C215" s="145">
        <f ca="1">OFFSET(①簡易状況入力!$C$5,MATCH(A215,①簡易状況入力!$C$5:$C$104,0)-1,17)</f>
        <v>0</v>
      </c>
      <c r="D215" s="148" t="s">
        <v>47</v>
      </c>
      <c r="E215" s="56">
        <f ca="1">U218</f>
        <v>0</v>
      </c>
      <c r="F215" s="56">
        <f ca="1">U217</f>
        <v>0</v>
      </c>
      <c r="G215" s="102"/>
      <c r="H215" s="103"/>
      <c r="I215" s="103"/>
      <c r="J215" s="103"/>
      <c r="K215" s="103"/>
      <c r="L215" s="103"/>
      <c r="M215" s="103"/>
      <c r="N215" s="103"/>
      <c r="O215" s="103"/>
      <c r="Q215" s="57">
        <f ca="1">OFFSET(①簡易状況入力!$C$5,MATCH(A215,①簡易状況入力!$C$5:$C$104,0)-1,15)</f>
        <v>0</v>
      </c>
      <c r="R215" s="58"/>
      <c r="S215" s="58"/>
      <c r="T215" s="58"/>
      <c r="U215" s="58"/>
      <c r="V215" s="58"/>
      <c r="W215" s="58"/>
      <c r="X215" s="58"/>
      <c r="Y215" s="58"/>
      <c r="Z215" s="58"/>
      <c r="AA215" s="58"/>
      <c r="AB215" s="148" t="s">
        <v>47</v>
      </c>
      <c r="AC215" s="56">
        <f ca="1">U218</f>
        <v>0</v>
      </c>
      <c r="AD215" s="56">
        <f ca="1">U217</f>
        <v>0</v>
      </c>
      <c r="AE215" s="62" t="s">
        <v>46</v>
      </c>
      <c r="AF215" s="62" t="str">
        <f t="shared" ref="AF215" ca="1" si="742">IF($C215="あり",IF(AF$4&lt;=$AD215,H215,"-"),IF(AF$4&lt;=$AD215,$AO215,"-"))</f>
        <v>-</v>
      </c>
      <c r="AG215" s="62" t="str">
        <f t="shared" ref="AG215" ca="1" si="743">IF($C215="あり",IF(AG$4&lt;=$AD215,I215,"-"),IF(AG$4&lt;=$AD215,$AO215,"-"))</f>
        <v>-</v>
      </c>
      <c r="AH215" s="62" t="str">
        <f t="shared" ref="AH215" ca="1" si="744">IF($C215="あり",IF(AH$4&lt;=$AD215,J215,"-"),IF(AH$4&lt;=$AD215,$AO215,"-"))</f>
        <v>-</v>
      </c>
      <c r="AI215" s="62" t="str">
        <f t="shared" ref="AI215" ca="1" si="745">IF($C215="あり",IF(AI$4&lt;=$AD215,K215,"-"),IF(AI$4&lt;=$AD215,$AO215,"-"))</f>
        <v>-</v>
      </c>
      <c r="AJ215" s="62" t="str">
        <f t="shared" ref="AJ215" ca="1" si="746">IF($C215="あり",IF(AJ$4&lt;=$AD215,L215,"-"),IF(AJ$4&lt;=$AD215,$AO215,"-"))</f>
        <v>-</v>
      </c>
      <c r="AK215" s="62" t="str">
        <f t="shared" ref="AK215" ca="1" si="747">IF($C215="あり",IF(AK$4&lt;=$AD215,M215,"-"),IF(AK$4&lt;=$AD215,$AO215,"-"))</f>
        <v>-</v>
      </c>
      <c r="AL215" s="62" t="str">
        <f ca="1">IF($C215="あり",IF(7&lt;=$AD215,N215,"-"),IF(7&lt;=$AD215,$AO215*($AD215-6),"-"))</f>
        <v>-</v>
      </c>
      <c r="AM215" s="62">
        <f ca="1">IF(C215="あり",O215,AP215)</f>
        <v>0</v>
      </c>
      <c r="AN215" s="62">
        <f ca="1">SUM(U216,AF215:AM215)</f>
        <v>0</v>
      </c>
      <c r="AO215" s="42">
        <f ca="1">OFFSET(【DB】被害率係数!$A$4,MATCH(②詳細状況入力!$Y216,【DB】被害率係数!$A$4:$A$19,0)-1,16)</f>
        <v>0</v>
      </c>
      <c r="AP215" s="42">
        <f ca="1">OFFSET(【DB】被害率係数!$A$4,MATCH(②詳細状況入力!$Y216,【DB】被害率係数!$A$4:$A$19,0)-1,17)</f>
        <v>0</v>
      </c>
      <c r="AQ215" s="42"/>
    </row>
    <row r="216" spans="1:43" x14ac:dyDescent="0.15">
      <c r="A216" s="50"/>
      <c r="B216" s="50"/>
      <c r="C216" s="145">
        <f ca="1">OFFSET(①簡易状況入力!$C$5,MATCH(A215,①簡易状況入力!$C$5:$C$104,0)-1,18)</f>
        <v>0</v>
      </c>
      <c r="D216" s="148" t="s">
        <v>52</v>
      </c>
      <c r="E216" s="56">
        <f t="shared" ref="E216:F216" ca="1" si="748">E215</f>
        <v>0</v>
      </c>
      <c r="F216" s="56">
        <f t="shared" ca="1" si="748"/>
        <v>0</v>
      </c>
      <c r="G216" s="104"/>
      <c r="H216" s="104"/>
      <c r="I216" s="104"/>
      <c r="J216" s="104"/>
      <c r="K216" s="104"/>
      <c r="L216" s="104"/>
      <c r="M216" s="104"/>
      <c r="N216" s="104"/>
      <c r="O216" s="105"/>
      <c r="Q216" s="57">
        <f ca="1">OFFSET(①簡易状況入力!$C$5,MATCH(A215,①簡易状況入力!$C$5:$C$104,0)-1,16)</f>
        <v>0</v>
      </c>
      <c r="R216" s="58"/>
      <c r="S216" s="146" t="s">
        <v>115</v>
      </c>
      <c r="T216" s="146" t="s">
        <v>116</v>
      </c>
      <c r="U216" s="36">
        <f ca="1">OFFSET(①簡易状況入力!$C$5,MATCH(A215,①簡易状況入力!$C$5:$C$104,0)-1,4)</f>
        <v>0</v>
      </c>
      <c r="V216" s="58"/>
      <c r="W216" s="146" t="s">
        <v>30</v>
      </c>
      <c r="X216" s="37">
        <f ca="1">OFFSET(①簡易状況入力!$C$5,MATCH(A215,①簡易状況入力!$C$5:$C$104,0)-1,5)</f>
        <v>0</v>
      </c>
      <c r="Y216" s="149">
        <f ca="1">OFFSET(①簡易状況入力!$C$5,MATCH(A215,①簡易状況入力!$C$5:$C$104,0)-1,8)</f>
        <v>0</v>
      </c>
      <c r="Z216" s="149">
        <f ca="1">OFFSET(①簡易状況入力!$C$5,MATCH(A215,①簡易状況入力!$C$5:$C$104,0)-1,9)</f>
        <v>0</v>
      </c>
      <c r="AA216" s="149">
        <f ca="1">OFFSET(①簡易状況入力!$C$5,MATCH(A215,①簡易状況入力!$C$5:$C$104,0)-1,10)</f>
        <v>0</v>
      </c>
      <c r="AB216" s="148" t="s">
        <v>52</v>
      </c>
      <c r="AC216" s="56">
        <f t="shared" ref="AC216:AD216" ca="1" si="749">AC215</f>
        <v>0</v>
      </c>
      <c r="AD216" s="56">
        <f t="shared" ca="1" si="749"/>
        <v>0</v>
      </c>
      <c r="AE216" s="63">
        <f ca="1">IF($C216="あり",IF(AC216&gt;=1,G216/AQ216,0),IF(AC216&gt;=1,AO216*AC216,0))</f>
        <v>0</v>
      </c>
      <c r="AF216" s="63">
        <f t="shared" ref="AF216:AF218" ca="1" si="750">IF($C216="あり",IF($AD216&gt;=AF$4,H216/$AQ216,0),IF($AD216&gt;=AF$4,$AO216,0))</f>
        <v>0</v>
      </c>
      <c r="AG216" s="63">
        <f t="shared" ref="AG216:AG218" ca="1" si="751">IF($C216="あり",IF($AD216&gt;=AG$4,I216/$AQ216,0),IF($AD216&gt;=AG$4,$AO216,0))</f>
        <v>0</v>
      </c>
      <c r="AH216" s="63">
        <f t="shared" ref="AH216:AH218" ca="1" si="752">IF($C216="あり",IF($AD216&gt;=AH$4,J216/$AQ216,0),IF($AD216&gt;=AH$4,$AO216,0))</f>
        <v>0</v>
      </c>
      <c r="AI216" s="63">
        <f t="shared" ref="AI216:AI218" ca="1" si="753">IF($C216="あり",IF($AD216&gt;=AI$4,K216/$AQ216,0),IF($AD216&gt;=AI$4,$AO216,0))</f>
        <v>0</v>
      </c>
      <c r="AJ216" s="63">
        <f t="shared" ref="AJ216:AJ218" ca="1" si="754">IF($C216="あり",IF($AD216&gt;=AJ$4,L216/$AQ216,0),IF($AD216&gt;=AJ$4,$AO216,0))</f>
        <v>0</v>
      </c>
      <c r="AK216" s="63">
        <f t="shared" ref="AK216:AK218" ca="1" si="755">IF($C216="あり",IF($AD216&gt;=AK$4,M216/$AQ216,0),IF($AD216&gt;=AK$4,$AO216,0))</f>
        <v>0</v>
      </c>
      <c r="AL216" s="63">
        <f ca="1">IF($C216="あり",IF($AD216&gt;=7,N216/$AQ216,0),IF($AD216&gt;=7,$AO216*($AD216-6),0))</f>
        <v>0</v>
      </c>
      <c r="AM216" s="64" t="s">
        <v>46</v>
      </c>
      <c r="AN216" s="63">
        <f ca="1">SUM(AE216:AM216)</f>
        <v>0</v>
      </c>
      <c r="AO216" s="68" t="e">
        <f ca="1">1/(AC216+AD216)</f>
        <v>#DIV/0!</v>
      </c>
      <c r="AP216" s="67">
        <v>0</v>
      </c>
      <c r="AQ216" s="68">
        <f ca="1">IF(AC216&gt;=1,G216,0)+SUMIF($H$4:$M$4,"&lt;="&amp;AD216,$H216:$M216)+IF(AD216&gt;=7,N216,0)</f>
        <v>0</v>
      </c>
    </row>
    <row r="217" spans="1:43" x14ac:dyDescent="0.15">
      <c r="A217" s="50"/>
      <c r="B217" s="50"/>
      <c r="C217" s="145">
        <f ca="1">OFFSET(①簡易状況入力!$C$5,MATCH(A215,①簡易状況入力!$C$5:$C$104,0)-1,19)</f>
        <v>0</v>
      </c>
      <c r="D217" s="148" t="s">
        <v>50</v>
      </c>
      <c r="E217" s="56">
        <f t="shared" ref="E217" ca="1" si="756">E216</f>
        <v>0</v>
      </c>
      <c r="F217" s="56">
        <f ca="1">F216</f>
        <v>0</v>
      </c>
      <c r="G217" s="104"/>
      <c r="H217" s="104"/>
      <c r="I217" s="104"/>
      <c r="J217" s="104"/>
      <c r="K217" s="104"/>
      <c r="L217" s="104"/>
      <c r="M217" s="104"/>
      <c r="N217" s="104"/>
      <c r="O217" s="106"/>
      <c r="Q217" s="50"/>
      <c r="R217" s="58"/>
      <c r="S217" s="165" t="s">
        <v>28</v>
      </c>
      <c r="T217" s="146" t="s">
        <v>35</v>
      </c>
      <c r="U217" s="35">
        <f ca="1">OFFSET(①簡易状況入力!$C$5,MATCH(A215,①簡易状況入力!$C$5:$C$104,0)-1,2)</f>
        <v>0</v>
      </c>
      <c r="V217" s="58"/>
      <c r="W217" s="146" t="s">
        <v>33</v>
      </c>
      <c r="X217" s="37">
        <f ca="1">OFFSET(①簡易状況入力!$C$5,MATCH(A215,①簡易状況入力!$C$5:$C$104,0)-1,6)</f>
        <v>0</v>
      </c>
      <c r="Y217" s="149">
        <f ca="1">OFFSET(①簡易状況入力!$C$5,MATCH(A215,①簡易状況入力!$C$5:$C$104,0)-1,11)</f>
        <v>0</v>
      </c>
      <c r="Z217" s="167">
        <f ca="1">OFFSET(①簡易状況入力!$C$5,MATCH(A215,①簡易状況入力!$C$5:$C$104,0)-1,12)</f>
        <v>0</v>
      </c>
      <c r="AA217" s="168"/>
      <c r="AB217" s="148" t="s">
        <v>50</v>
      </c>
      <c r="AC217" s="56">
        <f t="shared" ref="AC217:AD217" ca="1" si="757">AC216</f>
        <v>0</v>
      </c>
      <c r="AD217" s="56">
        <f t="shared" ca="1" si="757"/>
        <v>0</v>
      </c>
      <c r="AE217" s="63">
        <f ca="1">IF($C217="あり",IF(AC217&gt;=1,G217/AQ217,0),IF(AC217&gt;=1,AO217*AC217,0))</f>
        <v>0</v>
      </c>
      <c r="AF217" s="63">
        <f t="shared" ca="1" si="750"/>
        <v>0</v>
      </c>
      <c r="AG217" s="63">
        <f t="shared" ca="1" si="751"/>
        <v>0</v>
      </c>
      <c r="AH217" s="63">
        <f t="shared" ca="1" si="752"/>
        <v>0</v>
      </c>
      <c r="AI217" s="63">
        <f t="shared" ca="1" si="753"/>
        <v>0</v>
      </c>
      <c r="AJ217" s="63">
        <f t="shared" ca="1" si="754"/>
        <v>0</v>
      </c>
      <c r="AK217" s="63">
        <f t="shared" ca="1" si="755"/>
        <v>0</v>
      </c>
      <c r="AL217" s="63">
        <f ca="1">IF($C217="あり",IF($AD217&gt;=7,N217/$AQ217,0),IF($AD217&gt;=7,$AO217*($AD217-6),0))</f>
        <v>0</v>
      </c>
      <c r="AM217" s="65">
        <f ca="1">IF(C217="あり",O217/AQ217,AP217)</f>
        <v>0</v>
      </c>
      <c r="AN217" s="63">
        <f ca="1">SUM(AE217:AM217)</f>
        <v>0</v>
      </c>
      <c r="AO217" s="68" t="e">
        <f ca="1">1/(AC217+AD217)</f>
        <v>#DIV/0!</v>
      </c>
      <c r="AP217" s="67">
        <v>0</v>
      </c>
      <c r="AQ217" s="68">
        <f ca="1">IF(AC217&gt;=1,G217,0)+SUMIF($H$4:$M$4,"&lt;="&amp;AD217,$H217:$M217)+IF(AD217&gt;=7,N217,0)+O217</f>
        <v>0</v>
      </c>
    </row>
    <row r="218" spans="1:43" x14ac:dyDescent="0.15">
      <c r="A218" s="50"/>
      <c r="B218" s="50"/>
      <c r="C218" s="145">
        <f ca="1">OFFSET(①簡易状況入力!$C$5,MATCH(A215,①簡易状況入力!$C$5:$C$104,0)-1,20)</f>
        <v>0</v>
      </c>
      <c r="D218" s="148" t="s">
        <v>51</v>
      </c>
      <c r="E218" s="56">
        <f t="shared" ref="E218:F218" ca="1" si="758">E217</f>
        <v>0</v>
      </c>
      <c r="F218" s="56">
        <f t="shared" ca="1" si="758"/>
        <v>0</v>
      </c>
      <c r="G218" s="104"/>
      <c r="H218" s="104"/>
      <c r="I218" s="104"/>
      <c r="J218" s="104"/>
      <c r="K218" s="104"/>
      <c r="L218" s="104"/>
      <c r="M218" s="104"/>
      <c r="N218" s="104"/>
      <c r="O218" s="106"/>
      <c r="Q218" s="50"/>
      <c r="R218" s="58"/>
      <c r="S218" s="166"/>
      <c r="T218" s="146" t="s">
        <v>34</v>
      </c>
      <c r="U218" s="35">
        <f ca="1">OFFSET(①簡易状況入力!$C$5,MATCH(A215,①簡易状況入力!$C$5:$C$104,0)-1,3)</f>
        <v>0</v>
      </c>
      <c r="V218" s="58"/>
      <c r="W218" s="146" t="s">
        <v>118</v>
      </c>
      <c r="X218" s="37">
        <f ca="1">OFFSET(①簡易状況入力!$C$5,MATCH(A215,①簡易状況入力!$C$5:$C$104,0)-1,7)</f>
        <v>0</v>
      </c>
      <c r="Y218" s="149">
        <f ca="1">OFFSET(①簡易状況入力!$C$5,MATCH(A215,①簡易状況入力!$C$5:$C$104,0)-1,13)</f>
        <v>0</v>
      </c>
      <c r="Z218" s="167">
        <f ca="1">OFFSET(①簡易状況入力!$C$5,MATCH(A215,①簡易状況入力!$C$5:$C$104,0)-1,14)</f>
        <v>0</v>
      </c>
      <c r="AA218" s="168"/>
      <c r="AB218" s="148" t="s">
        <v>51</v>
      </c>
      <c r="AC218" s="56">
        <f t="shared" ref="AC218:AD218" ca="1" si="759">AC217</f>
        <v>0</v>
      </c>
      <c r="AD218" s="56">
        <f t="shared" ca="1" si="759"/>
        <v>0</v>
      </c>
      <c r="AE218" s="63">
        <f ca="1">IF($C218="あり",IF(AC218&gt;=1,G218/AQ218,0),IF(AC218&gt;=1,AO218*AC218,0))</f>
        <v>0</v>
      </c>
      <c r="AF218" s="63">
        <f t="shared" ca="1" si="750"/>
        <v>0</v>
      </c>
      <c r="AG218" s="63">
        <f t="shared" ca="1" si="751"/>
        <v>0</v>
      </c>
      <c r="AH218" s="63">
        <f t="shared" ca="1" si="752"/>
        <v>0</v>
      </c>
      <c r="AI218" s="63">
        <f t="shared" ca="1" si="753"/>
        <v>0</v>
      </c>
      <c r="AJ218" s="63">
        <f t="shared" ca="1" si="754"/>
        <v>0</v>
      </c>
      <c r="AK218" s="63">
        <f t="shared" ca="1" si="755"/>
        <v>0</v>
      </c>
      <c r="AL218" s="63">
        <f ca="1">IF($C218="あり",IF($AD218&gt;=7,N218/$AQ218,0),IF($AD218&gt;=7,$AO218*($AD218-6),0))</f>
        <v>0</v>
      </c>
      <c r="AM218" s="65">
        <f ca="1">IF(C218="あり",O218/AQ218,AP218)</f>
        <v>0</v>
      </c>
      <c r="AN218" s="63">
        <f ca="1">SUM(AE218:AM218)</f>
        <v>0</v>
      </c>
      <c r="AO218" s="68" t="e">
        <f ca="1">1/(AC218+AD218)</f>
        <v>#DIV/0!</v>
      </c>
      <c r="AP218" s="67">
        <v>0</v>
      </c>
      <c r="AQ218" s="68">
        <f ca="1">IF(AC218&gt;=1,G218,0)+SUMIF($H$4:$M$4,"&lt;="&amp;AD218,$H218:$M218)+IF(AD218&gt;=7,N218,0)+O218</f>
        <v>0</v>
      </c>
    </row>
    <row r="219" spans="1:43" x14ac:dyDescent="0.15">
      <c r="G219" s="107"/>
      <c r="H219" s="107"/>
      <c r="I219" s="107"/>
      <c r="J219" s="107"/>
      <c r="K219" s="107"/>
      <c r="L219" s="107"/>
      <c r="M219" s="107"/>
      <c r="N219" s="107"/>
      <c r="O219" s="107"/>
    </row>
    <row r="220" spans="1:43" x14ac:dyDescent="0.15">
      <c r="A220" s="59" t="s">
        <v>359</v>
      </c>
      <c r="B220" s="60">
        <f ca="1">OFFSET(①簡易状況入力!$C$5,MATCH(A220,①簡易状況入力!$C$5:$C$104,0)-1,1)</f>
        <v>0</v>
      </c>
      <c r="C220" s="145">
        <f ca="1">OFFSET(①簡易状況入力!$C$5,MATCH(A220,①簡易状況入力!$C$5:$C$104,0)-1,17)</f>
        <v>0</v>
      </c>
      <c r="D220" s="148" t="s">
        <v>47</v>
      </c>
      <c r="E220" s="56">
        <f ca="1">U223</f>
        <v>0</v>
      </c>
      <c r="F220" s="56">
        <f ca="1">U222</f>
        <v>0</v>
      </c>
      <c r="G220" s="102"/>
      <c r="H220" s="103"/>
      <c r="I220" s="103"/>
      <c r="J220" s="103"/>
      <c r="K220" s="103"/>
      <c r="L220" s="103"/>
      <c r="M220" s="103"/>
      <c r="N220" s="103"/>
      <c r="O220" s="103"/>
      <c r="Q220" s="57">
        <f ca="1">OFFSET(①簡易状況入力!$C$5,MATCH(A220,①簡易状況入力!$C$5:$C$104,0)-1,15)</f>
        <v>0</v>
      </c>
      <c r="R220" s="58"/>
      <c r="S220" s="58"/>
      <c r="T220" s="58"/>
      <c r="U220" s="58"/>
      <c r="V220" s="58"/>
      <c r="W220" s="58"/>
      <c r="X220" s="58"/>
      <c r="Y220" s="58"/>
      <c r="Z220" s="58"/>
      <c r="AA220" s="58"/>
      <c r="AB220" s="148" t="s">
        <v>47</v>
      </c>
      <c r="AC220" s="56">
        <f ca="1">U223</f>
        <v>0</v>
      </c>
      <c r="AD220" s="56">
        <f ca="1">U222</f>
        <v>0</v>
      </c>
      <c r="AE220" s="62" t="s">
        <v>46</v>
      </c>
      <c r="AF220" s="62" t="str">
        <f t="shared" ref="AF220" ca="1" si="760">IF($C220="あり",IF(AF$4&lt;=$AD220,H220,"-"),IF(AF$4&lt;=$AD220,$AO220,"-"))</f>
        <v>-</v>
      </c>
      <c r="AG220" s="62" t="str">
        <f t="shared" ref="AG220" ca="1" si="761">IF($C220="あり",IF(AG$4&lt;=$AD220,I220,"-"),IF(AG$4&lt;=$AD220,$AO220,"-"))</f>
        <v>-</v>
      </c>
      <c r="AH220" s="62" t="str">
        <f t="shared" ref="AH220" ca="1" si="762">IF($C220="あり",IF(AH$4&lt;=$AD220,J220,"-"),IF(AH$4&lt;=$AD220,$AO220,"-"))</f>
        <v>-</v>
      </c>
      <c r="AI220" s="62" t="str">
        <f t="shared" ref="AI220" ca="1" si="763">IF($C220="あり",IF(AI$4&lt;=$AD220,K220,"-"),IF(AI$4&lt;=$AD220,$AO220,"-"))</f>
        <v>-</v>
      </c>
      <c r="AJ220" s="62" t="str">
        <f t="shared" ref="AJ220" ca="1" si="764">IF($C220="あり",IF(AJ$4&lt;=$AD220,L220,"-"),IF(AJ$4&lt;=$AD220,$AO220,"-"))</f>
        <v>-</v>
      </c>
      <c r="AK220" s="62" t="str">
        <f t="shared" ref="AK220" ca="1" si="765">IF($C220="あり",IF(AK$4&lt;=$AD220,M220,"-"),IF(AK$4&lt;=$AD220,$AO220,"-"))</f>
        <v>-</v>
      </c>
      <c r="AL220" s="62" t="str">
        <f ca="1">IF($C220="あり",IF(7&lt;=$AD220,N220,"-"),IF(7&lt;=$AD220,$AO220*($AD220-6),"-"))</f>
        <v>-</v>
      </c>
      <c r="AM220" s="62">
        <f ca="1">IF(C220="あり",O220,AP220)</f>
        <v>0</v>
      </c>
      <c r="AN220" s="62">
        <f ca="1">SUM(U221,AF220:AM220)</f>
        <v>0</v>
      </c>
      <c r="AO220" s="42">
        <f ca="1">OFFSET(【DB】被害率係数!$A$4,MATCH(②詳細状況入力!$Y221,【DB】被害率係数!$A$4:$A$19,0)-1,16)</f>
        <v>0</v>
      </c>
      <c r="AP220" s="42">
        <f ca="1">OFFSET(【DB】被害率係数!$A$4,MATCH(②詳細状況入力!$Y221,【DB】被害率係数!$A$4:$A$19,0)-1,17)</f>
        <v>0</v>
      </c>
      <c r="AQ220" s="42"/>
    </row>
    <row r="221" spans="1:43" x14ac:dyDescent="0.15">
      <c r="A221" s="50"/>
      <c r="B221" s="50"/>
      <c r="C221" s="145">
        <f ca="1">OFFSET(①簡易状況入力!$C$5,MATCH(A220,①簡易状況入力!$C$5:$C$104,0)-1,18)</f>
        <v>0</v>
      </c>
      <c r="D221" s="148" t="s">
        <v>52</v>
      </c>
      <c r="E221" s="56">
        <f t="shared" ref="E221:F221" ca="1" si="766">E220</f>
        <v>0</v>
      </c>
      <c r="F221" s="56">
        <f t="shared" ca="1" si="766"/>
        <v>0</v>
      </c>
      <c r="G221" s="104"/>
      <c r="H221" s="104"/>
      <c r="I221" s="104"/>
      <c r="J221" s="104"/>
      <c r="K221" s="104"/>
      <c r="L221" s="104"/>
      <c r="M221" s="104"/>
      <c r="N221" s="104"/>
      <c r="O221" s="105"/>
      <c r="Q221" s="57">
        <f ca="1">OFFSET(①簡易状況入力!$C$5,MATCH(A220,①簡易状況入力!$C$5:$C$104,0)-1,16)</f>
        <v>0</v>
      </c>
      <c r="R221" s="58"/>
      <c r="S221" s="146" t="s">
        <v>115</v>
      </c>
      <c r="T221" s="146" t="s">
        <v>116</v>
      </c>
      <c r="U221" s="36">
        <f ca="1">OFFSET(①簡易状況入力!$C$5,MATCH(A220,①簡易状況入力!$C$5:$C$104,0)-1,4)</f>
        <v>0</v>
      </c>
      <c r="V221" s="58"/>
      <c r="W221" s="146" t="s">
        <v>30</v>
      </c>
      <c r="X221" s="37">
        <f ca="1">OFFSET(①簡易状況入力!$C$5,MATCH(A220,①簡易状況入力!$C$5:$C$104,0)-1,5)</f>
        <v>0</v>
      </c>
      <c r="Y221" s="149">
        <f ca="1">OFFSET(①簡易状況入力!$C$5,MATCH(A220,①簡易状況入力!$C$5:$C$104,0)-1,8)</f>
        <v>0</v>
      </c>
      <c r="Z221" s="149">
        <f ca="1">OFFSET(①簡易状況入力!$C$5,MATCH(A220,①簡易状況入力!$C$5:$C$104,0)-1,9)</f>
        <v>0</v>
      </c>
      <c r="AA221" s="149">
        <f ca="1">OFFSET(①簡易状況入力!$C$5,MATCH(A220,①簡易状況入力!$C$5:$C$104,0)-1,10)</f>
        <v>0</v>
      </c>
      <c r="AB221" s="148" t="s">
        <v>52</v>
      </c>
      <c r="AC221" s="56">
        <f t="shared" ref="AC221:AD221" ca="1" si="767">AC220</f>
        <v>0</v>
      </c>
      <c r="AD221" s="56">
        <f t="shared" ca="1" si="767"/>
        <v>0</v>
      </c>
      <c r="AE221" s="63">
        <f ca="1">IF($C221="あり",IF(AC221&gt;=1,G221/AQ221,0),IF(AC221&gt;=1,AO221*AC221,0))</f>
        <v>0</v>
      </c>
      <c r="AF221" s="63">
        <f t="shared" ref="AF221:AF223" ca="1" si="768">IF($C221="あり",IF($AD221&gt;=AF$4,H221/$AQ221,0),IF($AD221&gt;=AF$4,$AO221,0))</f>
        <v>0</v>
      </c>
      <c r="AG221" s="63">
        <f t="shared" ref="AG221:AG223" ca="1" si="769">IF($C221="あり",IF($AD221&gt;=AG$4,I221/$AQ221,0),IF($AD221&gt;=AG$4,$AO221,0))</f>
        <v>0</v>
      </c>
      <c r="AH221" s="63">
        <f t="shared" ref="AH221:AH223" ca="1" si="770">IF($C221="あり",IF($AD221&gt;=AH$4,J221/$AQ221,0),IF($AD221&gt;=AH$4,$AO221,0))</f>
        <v>0</v>
      </c>
      <c r="AI221" s="63">
        <f t="shared" ref="AI221:AI223" ca="1" si="771">IF($C221="あり",IF($AD221&gt;=AI$4,K221/$AQ221,0),IF($AD221&gt;=AI$4,$AO221,0))</f>
        <v>0</v>
      </c>
      <c r="AJ221" s="63">
        <f t="shared" ref="AJ221:AJ223" ca="1" si="772">IF($C221="あり",IF($AD221&gt;=AJ$4,L221/$AQ221,0),IF($AD221&gt;=AJ$4,$AO221,0))</f>
        <v>0</v>
      </c>
      <c r="AK221" s="63">
        <f t="shared" ref="AK221:AK223" ca="1" si="773">IF($C221="あり",IF($AD221&gt;=AK$4,M221/$AQ221,0),IF($AD221&gt;=AK$4,$AO221,0))</f>
        <v>0</v>
      </c>
      <c r="AL221" s="63">
        <f ca="1">IF($C221="あり",IF($AD221&gt;=7,N221/$AQ221,0),IF($AD221&gt;=7,$AO221*($AD221-6),0))</f>
        <v>0</v>
      </c>
      <c r="AM221" s="64" t="s">
        <v>46</v>
      </c>
      <c r="AN221" s="63">
        <f ca="1">SUM(AE221:AM221)</f>
        <v>0</v>
      </c>
      <c r="AO221" s="68" t="e">
        <f ca="1">1/(AC221+AD221)</f>
        <v>#DIV/0!</v>
      </c>
      <c r="AP221" s="67">
        <v>0</v>
      </c>
      <c r="AQ221" s="68">
        <f ca="1">IF(AC221&gt;=1,G221,0)+SUMIF($H$4:$M$4,"&lt;="&amp;AD221,$H221:$M221)+IF(AD221&gt;=7,N221,0)</f>
        <v>0</v>
      </c>
    </row>
    <row r="222" spans="1:43" x14ac:dyDescent="0.15">
      <c r="A222" s="50"/>
      <c r="B222" s="50"/>
      <c r="C222" s="145">
        <f ca="1">OFFSET(①簡易状況入力!$C$5,MATCH(A220,①簡易状況入力!$C$5:$C$104,0)-1,19)</f>
        <v>0</v>
      </c>
      <c r="D222" s="148" t="s">
        <v>50</v>
      </c>
      <c r="E222" s="56">
        <f t="shared" ref="E222" ca="1" si="774">E221</f>
        <v>0</v>
      </c>
      <c r="F222" s="56">
        <f ca="1">F221</f>
        <v>0</v>
      </c>
      <c r="G222" s="104"/>
      <c r="H222" s="104"/>
      <c r="I222" s="104"/>
      <c r="J222" s="104"/>
      <c r="K222" s="104"/>
      <c r="L222" s="104"/>
      <c r="M222" s="104"/>
      <c r="N222" s="104"/>
      <c r="O222" s="106"/>
      <c r="Q222" s="50"/>
      <c r="R222" s="58"/>
      <c r="S222" s="165" t="s">
        <v>28</v>
      </c>
      <c r="T222" s="146" t="s">
        <v>35</v>
      </c>
      <c r="U222" s="35">
        <f ca="1">OFFSET(①簡易状況入力!$C$5,MATCH(A220,①簡易状況入力!$C$5:$C$104,0)-1,2)</f>
        <v>0</v>
      </c>
      <c r="V222" s="58"/>
      <c r="W222" s="146" t="s">
        <v>33</v>
      </c>
      <c r="X222" s="37">
        <f ca="1">OFFSET(①簡易状況入力!$C$5,MATCH(A220,①簡易状況入力!$C$5:$C$104,0)-1,6)</f>
        <v>0</v>
      </c>
      <c r="Y222" s="149">
        <f ca="1">OFFSET(①簡易状況入力!$C$5,MATCH(A220,①簡易状況入力!$C$5:$C$104,0)-1,11)</f>
        <v>0</v>
      </c>
      <c r="Z222" s="167">
        <f ca="1">OFFSET(①簡易状況入力!$C$5,MATCH(A220,①簡易状況入力!$C$5:$C$104,0)-1,12)</f>
        <v>0</v>
      </c>
      <c r="AA222" s="168"/>
      <c r="AB222" s="148" t="s">
        <v>50</v>
      </c>
      <c r="AC222" s="56">
        <f t="shared" ref="AC222:AD222" ca="1" si="775">AC221</f>
        <v>0</v>
      </c>
      <c r="AD222" s="56">
        <f t="shared" ca="1" si="775"/>
        <v>0</v>
      </c>
      <c r="AE222" s="63">
        <f ca="1">IF($C222="あり",IF(AC222&gt;=1,G222/AQ222,0),IF(AC222&gt;=1,AO222*AC222,0))</f>
        <v>0</v>
      </c>
      <c r="AF222" s="63">
        <f t="shared" ca="1" si="768"/>
        <v>0</v>
      </c>
      <c r="AG222" s="63">
        <f t="shared" ca="1" si="769"/>
        <v>0</v>
      </c>
      <c r="AH222" s="63">
        <f t="shared" ca="1" si="770"/>
        <v>0</v>
      </c>
      <c r="AI222" s="63">
        <f t="shared" ca="1" si="771"/>
        <v>0</v>
      </c>
      <c r="AJ222" s="63">
        <f t="shared" ca="1" si="772"/>
        <v>0</v>
      </c>
      <c r="AK222" s="63">
        <f t="shared" ca="1" si="773"/>
        <v>0</v>
      </c>
      <c r="AL222" s="63">
        <f ca="1">IF($C222="あり",IF($AD222&gt;=7,N222/$AQ222,0),IF($AD222&gt;=7,$AO222*($AD222-6),0))</f>
        <v>0</v>
      </c>
      <c r="AM222" s="65">
        <f ca="1">IF(C222="あり",O222/AQ222,AP222)</f>
        <v>0</v>
      </c>
      <c r="AN222" s="63">
        <f ca="1">SUM(AE222:AM222)</f>
        <v>0</v>
      </c>
      <c r="AO222" s="68" t="e">
        <f ca="1">1/(AC222+AD222)</f>
        <v>#DIV/0!</v>
      </c>
      <c r="AP222" s="67">
        <v>0</v>
      </c>
      <c r="AQ222" s="68">
        <f ca="1">IF(AC222&gt;=1,G222,0)+SUMIF($H$4:$M$4,"&lt;="&amp;AD222,$H222:$M222)+IF(AD222&gt;=7,N222,0)+O222</f>
        <v>0</v>
      </c>
    </row>
    <row r="223" spans="1:43" x14ac:dyDescent="0.15">
      <c r="A223" s="50"/>
      <c r="B223" s="50"/>
      <c r="C223" s="145">
        <f ca="1">OFFSET(①簡易状況入力!$C$5,MATCH(A220,①簡易状況入力!$C$5:$C$104,0)-1,20)</f>
        <v>0</v>
      </c>
      <c r="D223" s="148" t="s">
        <v>51</v>
      </c>
      <c r="E223" s="56">
        <f t="shared" ref="E223:F223" ca="1" si="776">E222</f>
        <v>0</v>
      </c>
      <c r="F223" s="56">
        <f t="shared" ca="1" si="776"/>
        <v>0</v>
      </c>
      <c r="G223" s="104"/>
      <c r="H223" s="104"/>
      <c r="I223" s="104"/>
      <c r="J223" s="104"/>
      <c r="K223" s="104"/>
      <c r="L223" s="104"/>
      <c r="M223" s="104"/>
      <c r="N223" s="104"/>
      <c r="O223" s="106"/>
      <c r="Q223" s="50"/>
      <c r="R223" s="58"/>
      <c r="S223" s="166"/>
      <c r="T223" s="146" t="s">
        <v>34</v>
      </c>
      <c r="U223" s="35">
        <f ca="1">OFFSET(①簡易状況入力!$C$5,MATCH(A220,①簡易状況入力!$C$5:$C$104,0)-1,3)</f>
        <v>0</v>
      </c>
      <c r="V223" s="58"/>
      <c r="W223" s="146" t="s">
        <v>118</v>
      </c>
      <c r="X223" s="37">
        <f ca="1">OFFSET(①簡易状況入力!$C$5,MATCH(A220,①簡易状況入力!$C$5:$C$104,0)-1,7)</f>
        <v>0</v>
      </c>
      <c r="Y223" s="149">
        <f ca="1">OFFSET(①簡易状況入力!$C$5,MATCH(A220,①簡易状況入力!$C$5:$C$104,0)-1,13)</f>
        <v>0</v>
      </c>
      <c r="Z223" s="167">
        <f ca="1">OFFSET(①簡易状況入力!$C$5,MATCH(A220,①簡易状況入力!$C$5:$C$104,0)-1,14)</f>
        <v>0</v>
      </c>
      <c r="AA223" s="168"/>
      <c r="AB223" s="148" t="s">
        <v>51</v>
      </c>
      <c r="AC223" s="56">
        <f t="shared" ref="AC223:AD223" ca="1" si="777">AC222</f>
        <v>0</v>
      </c>
      <c r="AD223" s="56">
        <f t="shared" ca="1" si="777"/>
        <v>0</v>
      </c>
      <c r="AE223" s="63">
        <f ca="1">IF($C223="あり",IF(AC223&gt;=1,G223/AQ223,0),IF(AC223&gt;=1,AO223*AC223,0))</f>
        <v>0</v>
      </c>
      <c r="AF223" s="63">
        <f t="shared" ca="1" si="768"/>
        <v>0</v>
      </c>
      <c r="AG223" s="63">
        <f t="shared" ca="1" si="769"/>
        <v>0</v>
      </c>
      <c r="AH223" s="63">
        <f t="shared" ca="1" si="770"/>
        <v>0</v>
      </c>
      <c r="AI223" s="63">
        <f t="shared" ca="1" si="771"/>
        <v>0</v>
      </c>
      <c r="AJ223" s="63">
        <f t="shared" ca="1" si="772"/>
        <v>0</v>
      </c>
      <c r="AK223" s="63">
        <f t="shared" ca="1" si="773"/>
        <v>0</v>
      </c>
      <c r="AL223" s="63">
        <f ca="1">IF($C223="あり",IF($AD223&gt;=7,N223/$AQ223,0),IF($AD223&gt;=7,$AO223*($AD223-6),0))</f>
        <v>0</v>
      </c>
      <c r="AM223" s="65">
        <f ca="1">IF(C223="あり",O223/AQ223,AP223)</f>
        <v>0</v>
      </c>
      <c r="AN223" s="63">
        <f ca="1">SUM(AE223:AM223)</f>
        <v>0</v>
      </c>
      <c r="AO223" s="68" t="e">
        <f ca="1">1/(AC223+AD223)</f>
        <v>#DIV/0!</v>
      </c>
      <c r="AP223" s="67">
        <v>0</v>
      </c>
      <c r="AQ223" s="68">
        <f ca="1">IF(AC223&gt;=1,G223,0)+SUMIF($H$4:$M$4,"&lt;="&amp;AD223,$H223:$M223)+IF(AD223&gt;=7,N223,0)+O223</f>
        <v>0</v>
      </c>
    </row>
    <row r="224" spans="1:43" x14ac:dyDescent="0.15">
      <c r="G224" s="107"/>
      <c r="H224" s="107"/>
      <c r="I224" s="107"/>
      <c r="J224" s="107"/>
      <c r="K224" s="107"/>
      <c r="L224" s="107"/>
      <c r="M224" s="107"/>
      <c r="N224" s="107"/>
      <c r="O224" s="107"/>
    </row>
    <row r="225" spans="1:43" x14ac:dyDescent="0.15">
      <c r="A225" s="59" t="s">
        <v>360</v>
      </c>
      <c r="B225" s="60">
        <f ca="1">OFFSET(①簡易状況入力!$C$5,MATCH(A225,①簡易状況入力!$C$5:$C$104,0)-1,1)</f>
        <v>0</v>
      </c>
      <c r="C225" s="145">
        <f ca="1">OFFSET(①簡易状況入力!$C$5,MATCH(A225,①簡易状況入力!$C$5:$C$104,0)-1,17)</f>
        <v>0</v>
      </c>
      <c r="D225" s="148" t="s">
        <v>47</v>
      </c>
      <c r="E225" s="56">
        <f ca="1">U228</f>
        <v>0</v>
      </c>
      <c r="F225" s="56">
        <f ca="1">U227</f>
        <v>0</v>
      </c>
      <c r="G225" s="102"/>
      <c r="H225" s="103"/>
      <c r="I225" s="103"/>
      <c r="J225" s="103"/>
      <c r="K225" s="103"/>
      <c r="L225" s="103"/>
      <c r="M225" s="103"/>
      <c r="N225" s="103"/>
      <c r="O225" s="103"/>
      <c r="Q225" s="57">
        <f ca="1">OFFSET(①簡易状況入力!$C$5,MATCH(A225,①簡易状況入力!$C$5:$C$104,0)-1,15)</f>
        <v>0</v>
      </c>
      <c r="R225" s="58"/>
      <c r="S225" s="58"/>
      <c r="T225" s="58"/>
      <c r="U225" s="58"/>
      <c r="V225" s="58"/>
      <c r="W225" s="58"/>
      <c r="X225" s="58"/>
      <c r="Y225" s="58"/>
      <c r="Z225" s="58"/>
      <c r="AA225" s="58"/>
      <c r="AB225" s="148" t="s">
        <v>47</v>
      </c>
      <c r="AC225" s="56">
        <f ca="1">U228</f>
        <v>0</v>
      </c>
      <c r="AD225" s="56">
        <f ca="1">U227</f>
        <v>0</v>
      </c>
      <c r="AE225" s="62" t="s">
        <v>46</v>
      </c>
      <c r="AF225" s="62" t="str">
        <f t="shared" ref="AF225" ca="1" si="778">IF($C225="あり",IF(AF$4&lt;=$AD225,H225,"-"),IF(AF$4&lt;=$AD225,$AO225,"-"))</f>
        <v>-</v>
      </c>
      <c r="AG225" s="62" t="str">
        <f t="shared" ref="AG225" ca="1" si="779">IF($C225="あり",IF(AG$4&lt;=$AD225,I225,"-"),IF(AG$4&lt;=$AD225,$AO225,"-"))</f>
        <v>-</v>
      </c>
      <c r="AH225" s="62" t="str">
        <f t="shared" ref="AH225" ca="1" si="780">IF($C225="あり",IF(AH$4&lt;=$AD225,J225,"-"),IF(AH$4&lt;=$AD225,$AO225,"-"))</f>
        <v>-</v>
      </c>
      <c r="AI225" s="62" t="str">
        <f t="shared" ref="AI225" ca="1" si="781">IF($C225="あり",IF(AI$4&lt;=$AD225,K225,"-"),IF(AI$4&lt;=$AD225,$AO225,"-"))</f>
        <v>-</v>
      </c>
      <c r="AJ225" s="62" t="str">
        <f t="shared" ref="AJ225" ca="1" si="782">IF($C225="あり",IF(AJ$4&lt;=$AD225,L225,"-"),IF(AJ$4&lt;=$AD225,$AO225,"-"))</f>
        <v>-</v>
      </c>
      <c r="AK225" s="62" t="str">
        <f t="shared" ref="AK225" ca="1" si="783">IF($C225="あり",IF(AK$4&lt;=$AD225,M225,"-"),IF(AK$4&lt;=$AD225,$AO225,"-"))</f>
        <v>-</v>
      </c>
      <c r="AL225" s="62" t="str">
        <f ca="1">IF($C225="あり",IF(7&lt;=$AD225,N225,"-"),IF(7&lt;=$AD225,$AO225*($AD225-6),"-"))</f>
        <v>-</v>
      </c>
      <c r="AM225" s="62">
        <f ca="1">IF(C225="あり",O225,AP225)</f>
        <v>0</v>
      </c>
      <c r="AN225" s="62">
        <f ca="1">SUM(U226,AF225:AM225)</f>
        <v>0</v>
      </c>
      <c r="AO225" s="42">
        <f ca="1">OFFSET(【DB】被害率係数!$A$4,MATCH(②詳細状況入力!$Y226,【DB】被害率係数!$A$4:$A$19,0)-1,16)</f>
        <v>0</v>
      </c>
      <c r="AP225" s="42">
        <f ca="1">OFFSET(【DB】被害率係数!$A$4,MATCH(②詳細状況入力!$Y226,【DB】被害率係数!$A$4:$A$19,0)-1,17)</f>
        <v>0</v>
      </c>
      <c r="AQ225" s="42"/>
    </row>
    <row r="226" spans="1:43" x14ac:dyDescent="0.15">
      <c r="A226" s="50"/>
      <c r="B226" s="50"/>
      <c r="C226" s="145">
        <f ca="1">OFFSET(①簡易状況入力!$C$5,MATCH(A225,①簡易状況入力!$C$5:$C$104,0)-1,18)</f>
        <v>0</v>
      </c>
      <c r="D226" s="148" t="s">
        <v>52</v>
      </c>
      <c r="E226" s="56">
        <f t="shared" ref="E226:F226" ca="1" si="784">E225</f>
        <v>0</v>
      </c>
      <c r="F226" s="56">
        <f t="shared" ca="1" si="784"/>
        <v>0</v>
      </c>
      <c r="G226" s="104"/>
      <c r="H226" s="104"/>
      <c r="I226" s="104"/>
      <c r="J226" s="104"/>
      <c r="K226" s="104"/>
      <c r="L226" s="104"/>
      <c r="M226" s="104"/>
      <c r="N226" s="104"/>
      <c r="O226" s="105"/>
      <c r="Q226" s="57">
        <f ca="1">OFFSET(①簡易状況入力!$C$5,MATCH(A225,①簡易状況入力!$C$5:$C$104,0)-1,16)</f>
        <v>0</v>
      </c>
      <c r="R226" s="58"/>
      <c r="S226" s="146" t="s">
        <v>115</v>
      </c>
      <c r="T226" s="146" t="s">
        <v>116</v>
      </c>
      <c r="U226" s="36">
        <f ca="1">OFFSET(①簡易状況入力!$C$5,MATCH(A225,①簡易状況入力!$C$5:$C$104,0)-1,4)</f>
        <v>0</v>
      </c>
      <c r="V226" s="58"/>
      <c r="W226" s="146" t="s">
        <v>30</v>
      </c>
      <c r="X226" s="37">
        <f ca="1">OFFSET(①簡易状況入力!$C$5,MATCH(A225,①簡易状況入力!$C$5:$C$104,0)-1,5)</f>
        <v>0</v>
      </c>
      <c r="Y226" s="149">
        <f ca="1">OFFSET(①簡易状況入力!$C$5,MATCH(A225,①簡易状況入力!$C$5:$C$104,0)-1,8)</f>
        <v>0</v>
      </c>
      <c r="Z226" s="149">
        <f ca="1">OFFSET(①簡易状況入力!$C$5,MATCH(A225,①簡易状況入力!$C$5:$C$104,0)-1,9)</f>
        <v>0</v>
      </c>
      <c r="AA226" s="149">
        <f ca="1">OFFSET(①簡易状況入力!$C$5,MATCH(A225,①簡易状況入力!$C$5:$C$104,0)-1,10)</f>
        <v>0</v>
      </c>
      <c r="AB226" s="148" t="s">
        <v>52</v>
      </c>
      <c r="AC226" s="56">
        <f t="shared" ref="AC226:AD226" ca="1" si="785">AC225</f>
        <v>0</v>
      </c>
      <c r="AD226" s="56">
        <f t="shared" ca="1" si="785"/>
        <v>0</v>
      </c>
      <c r="AE226" s="63">
        <f ca="1">IF($C226="あり",IF(AC226&gt;=1,G226/AQ226,0),IF(AC226&gt;=1,AO226*AC226,0))</f>
        <v>0</v>
      </c>
      <c r="AF226" s="63">
        <f t="shared" ref="AF226:AF228" ca="1" si="786">IF($C226="あり",IF($AD226&gt;=AF$4,H226/$AQ226,0),IF($AD226&gt;=AF$4,$AO226,0))</f>
        <v>0</v>
      </c>
      <c r="AG226" s="63">
        <f t="shared" ref="AG226:AG228" ca="1" si="787">IF($C226="あり",IF($AD226&gt;=AG$4,I226/$AQ226,0),IF($AD226&gt;=AG$4,$AO226,0))</f>
        <v>0</v>
      </c>
      <c r="AH226" s="63">
        <f t="shared" ref="AH226:AH228" ca="1" si="788">IF($C226="あり",IF($AD226&gt;=AH$4,J226/$AQ226,0),IF($AD226&gt;=AH$4,$AO226,0))</f>
        <v>0</v>
      </c>
      <c r="AI226" s="63">
        <f t="shared" ref="AI226:AI228" ca="1" si="789">IF($C226="あり",IF($AD226&gt;=AI$4,K226/$AQ226,0),IF($AD226&gt;=AI$4,$AO226,0))</f>
        <v>0</v>
      </c>
      <c r="AJ226" s="63">
        <f t="shared" ref="AJ226:AJ228" ca="1" si="790">IF($C226="あり",IF($AD226&gt;=AJ$4,L226/$AQ226,0),IF($AD226&gt;=AJ$4,$AO226,0))</f>
        <v>0</v>
      </c>
      <c r="AK226" s="63">
        <f t="shared" ref="AK226:AK228" ca="1" si="791">IF($C226="あり",IF($AD226&gt;=AK$4,M226/$AQ226,0),IF($AD226&gt;=AK$4,$AO226,0))</f>
        <v>0</v>
      </c>
      <c r="AL226" s="63">
        <f ca="1">IF($C226="あり",IF($AD226&gt;=7,N226/$AQ226,0),IF($AD226&gt;=7,$AO226*($AD226-6),0))</f>
        <v>0</v>
      </c>
      <c r="AM226" s="64" t="s">
        <v>46</v>
      </c>
      <c r="AN226" s="63">
        <f ca="1">SUM(AE226:AM226)</f>
        <v>0</v>
      </c>
      <c r="AO226" s="68" t="e">
        <f ca="1">1/(AC226+AD226)</f>
        <v>#DIV/0!</v>
      </c>
      <c r="AP226" s="67">
        <v>0</v>
      </c>
      <c r="AQ226" s="68">
        <f ca="1">IF(AC226&gt;=1,G226,0)+SUMIF($H$4:$M$4,"&lt;="&amp;AD226,$H226:$M226)+IF(AD226&gt;=7,N226,0)</f>
        <v>0</v>
      </c>
    </row>
    <row r="227" spans="1:43" x14ac:dyDescent="0.15">
      <c r="A227" s="50"/>
      <c r="B227" s="50"/>
      <c r="C227" s="145">
        <f ca="1">OFFSET(①簡易状況入力!$C$5,MATCH(A225,①簡易状況入力!$C$5:$C$104,0)-1,19)</f>
        <v>0</v>
      </c>
      <c r="D227" s="148" t="s">
        <v>50</v>
      </c>
      <c r="E227" s="56">
        <f t="shared" ref="E227" ca="1" si="792">E226</f>
        <v>0</v>
      </c>
      <c r="F227" s="56">
        <f ca="1">F226</f>
        <v>0</v>
      </c>
      <c r="G227" s="104"/>
      <c r="H227" s="104"/>
      <c r="I227" s="104"/>
      <c r="J227" s="104"/>
      <c r="K227" s="104"/>
      <c r="L227" s="104"/>
      <c r="M227" s="104"/>
      <c r="N227" s="104"/>
      <c r="O227" s="106"/>
      <c r="Q227" s="50"/>
      <c r="R227" s="58"/>
      <c r="S227" s="165" t="s">
        <v>28</v>
      </c>
      <c r="T227" s="146" t="s">
        <v>35</v>
      </c>
      <c r="U227" s="35">
        <f ca="1">OFFSET(①簡易状況入力!$C$5,MATCH(A225,①簡易状況入力!$C$5:$C$104,0)-1,2)</f>
        <v>0</v>
      </c>
      <c r="V227" s="58"/>
      <c r="W227" s="146" t="s">
        <v>33</v>
      </c>
      <c r="X227" s="37">
        <f ca="1">OFFSET(①簡易状況入力!$C$5,MATCH(A225,①簡易状況入力!$C$5:$C$104,0)-1,6)</f>
        <v>0</v>
      </c>
      <c r="Y227" s="149">
        <f ca="1">OFFSET(①簡易状況入力!$C$5,MATCH(A225,①簡易状況入力!$C$5:$C$104,0)-1,11)</f>
        <v>0</v>
      </c>
      <c r="Z227" s="167">
        <f ca="1">OFFSET(①簡易状況入力!$C$5,MATCH(A225,①簡易状況入力!$C$5:$C$104,0)-1,12)</f>
        <v>0</v>
      </c>
      <c r="AA227" s="168"/>
      <c r="AB227" s="148" t="s">
        <v>50</v>
      </c>
      <c r="AC227" s="56">
        <f t="shared" ref="AC227:AD227" ca="1" si="793">AC226</f>
        <v>0</v>
      </c>
      <c r="AD227" s="56">
        <f t="shared" ca="1" si="793"/>
        <v>0</v>
      </c>
      <c r="AE227" s="63">
        <f ca="1">IF($C227="あり",IF(AC227&gt;=1,G227/AQ227,0),IF(AC227&gt;=1,AO227*AC227,0))</f>
        <v>0</v>
      </c>
      <c r="AF227" s="63">
        <f t="shared" ca="1" si="786"/>
        <v>0</v>
      </c>
      <c r="AG227" s="63">
        <f t="shared" ca="1" si="787"/>
        <v>0</v>
      </c>
      <c r="AH227" s="63">
        <f t="shared" ca="1" si="788"/>
        <v>0</v>
      </c>
      <c r="AI227" s="63">
        <f t="shared" ca="1" si="789"/>
        <v>0</v>
      </c>
      <c r="AJ227" s="63">
        <f t="shared" ca="1" si="790"/>
        <v>0</v>
      </c>
      <c r="AK227" s="63">
        <f t="shared" ca="1" si="791"/>
        <v>0</v>
      </c>
      <c r="AL227" s="63">
        <f ca="1">IF($C227="あり",IF($AD227&gt;=7,N227/$AQ227,0),IF($AD227&gt;=7,$AO227*($AD227-6),0))</f>
        <v>0</v>
      </c>
      <c r="AM227" s="65">
        <f ca="1">IF(C227="あり",O227/AQ227,AP227)</f>
        <v>0</v>
      </c>
      <c r="AN227" s="63">
        <f ca="1">SUM(AE227:AM227)</f>
        <v>0</v>
      </c>
      <c r="AO227" s="68" t="e">
        <f ca="1">1/(AC227+AD227)</f>
        <v>#DIV/0!</v>
      </c>
      <c r="AP227" s="67">
        <v>0</v>
      </c>
      <c r="AQ227" s="68">
        <f ca="1">IF(AC227&gt;=1,G227,0)+SUMIF($H$4:$M$4,"&lt;="&amp;AD227,$H227:$M227)+IF(AD227&gt;=7,N227,0)+O227</f>
        <v>0</v>
      </c>
    </row>
    <row r="228" spans="1:43" x14ac:dyDescent="0.15">
      <c r="A228" s="50"/>
      <c r="B228" s="50"/>
      <c r="C228" s="145">
        <f ca="1">OFFSET(①簡易状況入力!$C$5,MATCH(A225,①簡易状況入力!$C$5:$C$104,0)-1,20)</f>
        <v>0</v>
      </c>
      <c r="D228" s="148" t="s">
        <v>51</v>
      </c>
      <c r="E228" s="56">
        <f t="shared" ref="E228:F228" ca="1" si="794">E227</f>
        <v>0</v>
      </c>
      <c r="F228" s="56">
        <f t="shared" ca="1" si="794"/>
        <v>0</v>
      </c>
      <c r="G228" s="104"/>
      <c r="H228" s="104"/>
      <c r="I228" s="104"/>
      <c r="J228" s="104"/>
      <c r="K228" s="104"/>
      <c r="L228" s="104"/>
      <c r="M228" s="104"/>
      <c r="N228" s="104"/>
      <c r="O228" s="106"/>
      <c r="Q228" s="50"/>
      <c r="R228" s="58"/>
      <c r="S228" s="166"/>
      <c r="T228" s="146" t="s">
        <v>34</v>
      </c>
      <c r="U228" s="35">
        <f ca="1">OFFSET(①簡易状況入力!$C$5,MATCH(A225,①簡易状況入力!$C$5:$C$104,0)-1,3)</f>
        <v>0</v>
      </c>
      <c r="V228" s="58"/>
      <c r="W228" s="146" t="s">
        <v>118</v>
      </c>
      <c r="X228" s="37">
        <f ca="1">OFFSET(①簡易状況入力!$C$5,MATCH(A225,①簡易状況入力!$C$5:$C$104,0)-1,7)</f>
        <v>0</v>
      </c>
      <c r="Y228" s="149">
        <f ca="1">OFFSET(①簡易状況入力!$C$5,MATCH(A225,①簡易状況入力!$C$5:$C$104,0)-1,13)</f>
        <v>0</v>
      </c>
      <c r="Z228" s="167">
        <f ca="1">OFFSET(①簡易状況入力!$C$5,MATCH(A225,①簡易状況入力!$C$5:$C$104,0)-1,14)</f>
        <v>0</v>
      </c>
      <c r="AA228" s="168"/>
      <c r="AB228" s="148" t="s">
        <v>51</v>
      </c>
      <c r="AC228" s="56">
        <f t="shared" ref="AC228:AD228" ca="1" si="795">AC227</f>
        <v>0</v>
      </c>
      <c r="AD228" s="56">
        <f t="shared" ca="1" si="795"/>
        <v>0</v>
      </c>
      <c r="AE228" s="63">
        <f ca="1">IF($C228="あり",IF(AC228&gt;=1,G228/AQ228,0),IF(AC228&gt;=1,AO228*AC228,0))</f>
        <v>0</v>
      </c>
      <c r="AF228" s="63">
        <f t="shared" ca="1" si="786"/>
        <v>0</v>
      </c>
      <c r="AG228" s="63">
        <f t="shared" ca="1" si="787"/>
        <v>0</v>
      </c>
      <c r="AH228" s="63">
        <f t="shared" ca="1" si="788"/>
        <v>0</v>
      </c>
      <c r="AI228" s="63">
        <f t="shared" ca="1" si="789"/>
        <v>0</v>
      </c>
      <c r="AJ228" s="63">
        <f t="shared" ca="1" si="790"/>
        <v>0</v>
      </c>
      <c r="AK228" s="63">
        <f t="shared" ca="1" si="791"/>
        <v>0</v>
      </c>
      <c r="AL228" s="63">
        <f ca="1">IF($C228="あり",IF($AD228&gt;=7,N228/$AQ228,0),IF($AD228&gt;=7,$AO228*($AD228-6),0))</f>
        <v>0</v>
      </c>
      <c r="AM228" s="65">
        <f ca="1">IF(C228="あり",O228/AQ228,AP228)</f>
        <v>0</v>
      </c>
      <c r="AN228" s="63">
        <f ca="1">SUM(AE228:AM228)</f>
        <v>0</v>
      </c>
      <c r="AO228" s="68" t="e">
        <f ca="1">1/(AC228+AD228)</f>
        <v>#DIV/0!</v>
      </c>
      <c r="AP228" s="67">
        <v>0</v>
      </c>
      <c r="AQ228" s="68">
        <f ca="1">IF(AC228&gt;=1,G228,0)+SUMIF($H$4:$M$4,"&lt;="&amp;AD228,$H228:$M228)+IF(AD228&gt;=7,N228,0)+O228</f>
        <v>0</v>
      </c>
    </row>
    <row r="229" spans="1:43" x14ac:dyDescent="0.15">
      <c r="G229" s="107"/>
      <c r="H229" s="107"/>
      <c r="I229" s="107"/>
      <c r="J229" s="107"/>
      <c r="K229" s="107"/>
      <c r="L229" s="107"/>
      <c r="M229" s="107"/>
      <c r="N229" s="107"/>
      <c r="O229" s="107"/>
    </row>
    <row r="230" spans="1:43" x14ac:dyDescent="0.15">
      <c r="A230" s="59" t="s">
        <v>361</v>
      </c>
      <c r="B230" s="60">
        <f ca="1">OFFSET(①簡易状況入力!$C$5,MATCH(A230,①簡易状況入力!$C$5:$C$104,0)-1,1)</f>
        <v>0</v>
      </c>
      <c r="C230" s="145">
        <f ca="1">OFFSET(①簡易状況入力!$C$5,MATCH(A230,①簡易状況入力!$C$5:$C$104,0)-1,17)</f>
        <v>0</v>
      </c>
      <c r="D230" s="148" t="s">
        <v>47</v>
      </c>
      <c r="E230" s="56">
        <f ca="1">U233</f>
        <v>0</v>
      </c>
      <c r="F230" s="56">
        <f ca="1">U232</f>
        <v>0</v>
      </c>
      <c r="G230" s="102"/>
      <c r="H230" s="103"/>
      <c r="I230" s="103"/>
      <c r="J230" s="103"/>
      <c r="K230" s="103"/>
      <c r="L230" s="103"/>
      <c r="M230" s="103"/>
      <c r="N230" s="103"/>
      <c r="O230" s="103"/>
      <c r="Q230" s="57">
        <f ca="1">OFFSET(①簡易状況入力!$C$5,MATCH(A230,①簡易状況入力!$C$5:$C$104,0)-1,15)</f>
        <v>0</v>
      </c>
      <c r="R230" s="58"/>
      <c r="S230" s="58"/>
      <c r="T230" s="58"/>
      <c r="U230" s="58"/>
      <c r="V230" s="58"/>
      <c r="W230" s="58"/>
      <c r="X230" s="58"/>
      <c r="Y230" s="58"/>
      <c r="Z230" s="58"/>
      <c r="AA230" s="58"/>
      <c r="AB230" s="148" t="s">
        <v>47</v>
      </c>
      <c r="AC230" s="56">
        <f ca="1">U233</f>
        <v>0</v>
      </c>
      <c r="AD230" s="56">
        <f ca="1">U232</f>
        <v>0</v>
      </c>
      <c r="AE230" s="62" t="s">
        <v>46</v>
      </c>
      <c r="AF230" s="62" t="str">
        <f t="shared" ref="AF230" ca="1" si="796">IF($C230="あり",IF(AF$4&lt;=$AD230,H230,"-"),IF(AF$4&lt;=$AD230,$AO230,"-"))</f>
        <v>-</v>
      </c>
      <c r="AG230" s="62" t="str">
        <f t="shared" ref="AG230" ca="1" si="797">IF($C230="あり",IF(AG$4&lt;=$AD230,I230,"-"),IF(AG$4&lt;=$AD230,$AO230,"-"))</f>
        <v>-</v>
      </c>
      <c r="AH230" s="62" t="str">
        <f t="shared" ref="AH230" ca="1" si="798">IF($C230="あり",IF(AH$4&lt;=$AD230,J230,"-"),IF(AH$4&lt;=$AD230,$AO230,"-"))</f>
        <v>-</v>
      </c>
      <c r="AI230" s="62" t="str">
        <f t="shared" ref="AI230" ca="1" si="799">IF($C230="あり",IF(AI$4&lt;=$AD230,K230,"-"),IF(AI$4&lt;=$AD230,$AO230,"-"))</f>
        <v>-</v>
      </c>
      <c r="AJ230" s="62" t="str">
        <f t="shared" ref="AJ230" ca="1" si="800">IF($C230="あり",IF(AJ$4&lt;=$AD230,L230,"-"),IF(AJ$4&lt;=$AD230,$AO230,"-"))</f>
        <v>-</v>
      </c>
      <c r="AK230" s="62" t="str">
        <f t="shared" ref="AK230" ca="1" si="801">IF($C230="あり",IF(AK$4&lt;=$AD230,M230,"-"),IF(AK$4&lt;=$AD230,$AO230,"-"))</f>
        <v>-</v>
      </c>
      <c r="AL230" s="62" t="str">
        <f ca="1">IF($C230="あり",IF(7&lt;=$AD230,N230,"-"),IF(7&lt;=$AD230,$AO230*($AD230-6),"-"))</f>
        <v>-</v>
      </c>
      <c r="AM230" s="62">
        <f ca="1">IF(C230="あり",O230,AP230)</f>
        <v>0</v>
      </c>
      <c r="AN230" s="62">
        <f ca="1">SUM(U231,AF230:AM230)</f>
        <v>0</v>
      </c>
      <c r="AO230" s="42">
        <f ca="1">OFFSET(【DB】被害率係数!$A$4,MATCH(②詳細状況入力!$Y231,【DB】被害率係数!$A$4:$A$19,0)-1,16)</f>
        <v>0</v>
      </c>
      <c r="AP230" s="42">
        <f ca="1">OFFSET(【DB】被害率係数!$A$4,MATCH(②詳細状況入力!$Y231,【DB】被害率係数!$A$4:$A$19,0)-1,17)</f>
        <v>0</v>
      </c>
      <c r="AQ230" s="42"/>
    </row>
    <row r="231" spans="1:43" x14ac:dyDescent="0.15">
      <c r="A231" s="50"/>
      <c r="B231" s="50"/>
      <c r="C231" s="145">
        <f ca="1">OFFSET(①簡易状況入力!$C$5,MATCH(A230,①簡易状況入力!$C$5:$C$104,0)-1,18)</f>
        <v>0</v>
      </c>
      <c r="D231" s="148" t="s">
        <v>52</v>
      </c>
      <c r="E231" s="56">
        <f t="shared" ref="E231:F231" ca="1" si="802">E230</f>
        <v>0</v>
      </c>
      <c r="F231" s="56">
        <f t="shared" ca="1" si="802"/>
        <v>0</v>
      </c>
      <c r="G231" s="104"/>
      <c r="H231" s="104"/>
      <c r="I231" s="104"/>
      <c r="J231" s="104"/>
      <c r="K231" s="104"/>
      <c r="L231" s="104"/>
      <c r="M231" s="104"/>
      <c r="N231" s="104"/>
      <c r="O231" s="105"/>
      <c r="Q231" s="57">
        <f ca="1">OFFSET(①簡易状況入力!$C$5,MATCH(A230,①簡易状況入力!$C$5:$C$104,0)-1,16)</f>
        <v>0</v>
      </c>
      <c r="R231" s="58"/>
      <c r="S231" s="146" t="s">
        <v>115</v>
      </c>
      <c r="T231" s="146" t="s">
        <v>116</v>
      </c>
      <c r="U231" s="36">
        <f ca="1">OFFSET(①簡易状況入力!$C$5,MATCH(A230,①簡易状況入力!$C$5:$C$104,0)-1,4)</f>
        <v>0</v>
      </c>
      <c r="V231" s="58"/>
      <c r="W231" s="146" t="s">
        <v>30</v>
      </c>
      <c r="X231" s="37">
        <f ca="1">OFFSET(①簡易状況入力!$C$5,MATCH(A230,①簡易状況入力!$C$5:$C$104,0)-1,5)</f>
        <v>0</v>
      </c>
      <c r="Y231" s="149">
        <f ca="1">OFFSET(①簡易状況入力!$C$5,MATCH(A230,①簡易状況入力!$C$5:$C$104,0)-1,8)</f>
        <v>0</v>
      </c>
      <c r="Z231" s="149">
        <f ca="1">OFFSET(①簡易状況入力!$C$5,MATCH(A230,①簡易状況入力!$C$5:$C$104,0)-1,9)</f>
        <v>0</v>
      </c>
      <c r="AA231" s="149">
        <f ca="1">OFFSET(①簡易状況入力!$C$5,MATCH(A230,①簡易状況入力!$C$5:$C$104,0)-1,10)</f>
        <v>0</v>
      </c>
      <c r="AB231" s="148" t="s">
        <v>52</v>
      </c>
      <c r="AC231" s="56">
        <f t="shared" ref="AC231:AD231" ca="1" si="803">AC230</f>
        <v>0</v>
      </c>
      <c r="AD231" s="56">
        <f t="shared" ca="1" si="803"/>
        <v>0</v>
      </c>
      <c r="AE231" s="63">
        <f ca="1">IF($C231="あり",IF(AC231&gt;=1,G231/AQ231,0),IF(AC231&gt;=1,AO231*AC231,0))</f>
        <v>0</v>
      </c>
      <c r="AF231" s="63">
        <f t="shared" ref="AF231:AF233" ca="1" si="804">IF($C231="あり",IF($AD231&gt;=AF$4,H231/$AQ231,0),IF($AD231&gt;=AF$4,$AO231,0))</f>
        <v>0</v>
      </c>
      <c r="AG231" s="63">
        <f t="shared" ref="AG231:AG233" ca="1" si="805">IF($C231="あり",IF($AD231&gt;=AG$4,I231/$AQ231,0),IF($AD231&gt;=AG$4,$AO231,0))</f>
        <v>0</v>
      </c>
      <c r="AH231" s="63">
        <f t="shared" ref="AH231:AH233" ca="1" si="806">IF($C231="あり",IF($AD231&gt;=AH$4,J231/$AQ231,0),IF($AD231&gt;=AH$4,$AO231,0))</f>
        <v>0</v>
      </c>
      <c r="AI231" s="63">
        <f t="shared" ref="AI231:AI233" ca="1" si="807">IF($C231="あり",IF($AD231&gt;=AI$4,K231/$AQ231,0),IF($AD231&gt;=AI$4,$AO231,0))</f>
        <v>0</v>
      </c>
      <c r="AJ231" s="63">
        <f t="shared" ref="AJ231:AJ233" ca="1" si="808">IF($C231="あり",IF($AD231&gt;=AJ$4,L231/$AQ231,0),IF($AD231&gt;=AJ$4,$AO231,0))</f>
        <v>0</v>
      </c>
      <c r="AK231" s="63">
        <f t="shared" ref="AK231:AK233" ca="1" si="809">IF($C231="あり",IF($AD231&gt;=AK$4,M231/$AQ231,0),IF($AD231&gt;=AK$4,$AO231,0))</f>
        <v>0</v>
      </c>
      <c r="AL231" s="63">
        <f ca="1">IF($C231="あり",IF($AD231&gt;=7,N231/$AQ231,0),IF($AD231&gt;=7,$AO231*($AD231-6),0))</f>
        <v>0</v>
      </c>
      <c r="AM231" s="64" t="s">
        <v>46</v>
      </c>
      <c r="AN231" s="63">
        <f ca="1">SUM(AE231:AM231)</f>
        <v>0</v>
      </c>
      <c r="AO231" s="68" t="e">
        <f ca="1">1/(AC231+AD231)</f>
        <v>#DIV/0!</v>
      </c>
      <c r="AP231" s="67">
        <v>0</v>
      </c>
      <c r="AQ231" s="68">
        <f ca="1">IF(AC231&gt;=1,G231,0)+SUMIF($H$4:$M$4,"&lt;="&amp;AD231,$H231:$M231)+IF(AD231&gt;=7,N231,0)</f>
        <v>0</v>
      </c>
    </row>
    <row r="232" spans="1:43" x14ac:dyDescent="0.15">
      <c r="A232" s="50"/>
      <c r="B232" s="50"/>
      <c r="C232" s="145">
        <f ca="1">OFFSET(①簡易状況入力!$C$5,MATCH(A230,①簡易状況入力!$C$5:$C$104,0)-1,19)</f>
        <v>0</v>
      </c>
      <c r="D232" s="148" t="s">
        <v>50</v>
      </c>
      <c r="E232" s="56">
        <f t="shared" ref="E232" ca="1" si="810">E231</f>
        <v>0</v>
      </c>
      <c r="F232" s="56">
        <f ca="1">F231</f>
        <v>0</v>
      </c>
      <c r="G232" s="104"/>
      <c r="H232" s="104"/>
      <c r="I232" s="104"/>
      <c r="J232" s="104"/>
      <c r="K232" s="104"/>
      <c r="L232" s="104"/>
      <c r="M232" s="104"/>
      <c r="N232" s="104"/>
      <c r="O232" s="106"/>
      <c r="Q232" s="50"/>
      <c r="R232" s="58"/>
      <c r="S232" s="165" t="s">
        <v>28</v>
      </c>
      <c r="T232" s="146" t="s">
        <v>35</v>
      </c>
      <c r="U232" s="35">
        <f ca="1">OFFSET(①簡易状況入力!$C$5,MATCH(A230,①簡易状況入力!$C$5:$C$104,0)-1,2)</f>
        <v>0</v>
      </c>
      <c r="V232" s="58"/>
      <c r="W232" s="146" t="s">
        <v>33</v>
      </c>
      <c r="X232" s="37">
        <f ca="1">OFFSET(①簡易状況入力!$C$5,MATCH(A230,①簡易状況入力!$C$5:$C$104,0)-1,6)</f>
        <v>0</v>
      </c>
      <c r="Y232" s="149">
        <f ca="1">OFFSET(①簡易状況入力!$C$5,MATCH(A230,①簡易状況入力!$C$5:$C$104,0)-1,11)</f>
        <v>0</v>
      </c>
      <c r="Z232" s="167">
        <f ca="1">OFFSET(①簡易状況入力!$C$5,MATCH(A230,①簡易状況入力!$C$5:$C$104,0)-1,12)</f>
        <v>0</v>
      </c>
      <c r="AA232" s="168"/>
      <c r="AB232" s="148" t="s">
        <v>50</v>
      </c>
      <c r="AC232" s="56">
        <f t="shared" ref="AC232:AD232" ca="1" si="811">AC231</f>
        <v>0</v>
      </c>
      <c r="AD232" s="56">
        <f t="shared" ca="1" si="811"/>
        <v>0</v>
      </c>
      <c r="AE232" s="63">
        <f ca="1">IF($C232="あり",IF(AC232&gt;=1,G232/AQ232,0),IF(AC232&gt;=1,AO232*AC232,0))</f>
        <v>0</v>
      </c>
      <c r="AF232" s="63">
        <f t="shared" ca="1" si="804"/>
        <v>0</v>
      </c>
      <c r="AG232" s="63">
        <f t="shared" ca="1" si="805"/>
        <v>0</v>
      </c>
      <c r="AH232" s="63">
        <f t="shared" ca="1" si="806"/>
        <v>0</v>
      </c>
      <c r="AI232" s="63">
        <f t="shared" ca="1" si="807"/>
        <v>0</v>
      </c>
      <c r="AJ232" s="63">
        <f t="shared" ca="1" si="808"/>
        <v>0</v>
      </c>
      <c r="AK232" s="63">
        <f t="shared" ca="1" si="809"/>
        <v>0</v>
      </c>
      <c r="AL232" s="63">
        <f ca="1">IF($C232="あり",IF($AD232&gt;=7,N232/$AQ232,0),IF($AD232&gt;=7,$AO232*($AD232-6),0))</f>
        <v>0</v>
      </c>
      <c r="AM232" s="65">
        <f ca="1">IF(C232="あり",O232/AQ232,AP232)</f>
        <v>0</v>
      </c>
      <c r="AN232" s="63">
        <f ca="1">SUM(AE232:AM232)</f>
        <v>0</v>
      </c>
      <c r="AO232" s="68" t="e">
        <f ca="1">1/(AC232+AD232)</f>
        <v>#DIV/0!</v>
      </c>
      <c r="AP232" s="67">
        <v>0</v>
      </c>
      <c r="AQ232" s="68">
        <f ca="1">IF(AC232&gt;=1,G232,0)+SUMIF($H$4:$M$4,"&lt;="&amp;AD232,$H232:$M232)+IF(AD232&gt;=7,N232,0)+O232</f>
        <v>0</v>
      </c>
    </row>
    <row r="233" spans="1:43" x14ac:dyDescent="0.15">
      <c r="A233" s="50"/>
      <c r="B233" s="50"/>
      <c r="C233" s="145">
        <f ca="1">OFFSET(①簡易状況入力!$C$5,MATCH(A230,①簡易状況入力!$C$5:$C$104,0)-1,20)</f>
        <v>0</v>
      </c>
      <c r="D233" s="148" t="s">
        <v>51</v>
      </c>
      <c r="E233" s="56">
        <f t="shared" ref="E233:F233" ca="1" si="812">E232</f>
        <v>0</v>
      </c>
      <c r="F233" s="56">
        <f t="shared" ca="1" si="812"/>
        <v>0</v>
      </c>
      <c r="G233" s="104"/>
      <c r="H233" s="104"/>
      <c r="I233" s="104"/>
      <c r="J233" s="104"/>
      <c r="K233" s="104"/>
      <c r="L233" s="104"/>
      <c r="M233" s="104"/>
      <c r="N233" s="104"/>
      <c r="O233" s="106"/>
      <c r="Q233" s="50"/>
      <c r="R233" s="58"/>
      <c r="S233" s="166"/>
      <c r="T233" s="146" t="s">
        <v>34</v>
      </c>
      <c r="U233" s="35">
        <f ca="1">OFFSET(①簡易状況入力!$C$5,MATCH(A230,①簡易状況入力!$C$5:$C$104,0)-1,3)</f>
        <v>0</v>
      </c>
      <c r="V233" s="58"/>
      <c r="W233" s="146" t="s">
        <v>118</v>
      </c>
      <c r="X233" s="37">
        <f ca="1">OFFSET(①簡易状況入力!$C$5,MATCH(A230,①簡易状況入力!$C$5:$C$104,0)-1,7)</f>
        <v>0</v>
      </c>
      <c r="Y233" s="149">
        <f ca="1">OFFSET(①簡易状況入力!$C$5,MATCH(A230,①簡易状況入力!$C$5:$C$104,0)-1,13)</f>
        <v>0</v>
      </c>
      <c r="Z233" s="167">
        <f ca="1">OFFSET(①簡易状況入力!$C$5,MATCH(A230,①簡易状況入力!$C$5:$C$104,0)-1,14)</f>
        <v>0</v>
      </c>
      <c r="AA233" s="168"/>
      <c r="AB233" s="148" t="s">
        <v>51</v>
      </c>
      <c r="AC233" s="56">
        <f t="shared" ref="AC233:AD233" ca="1" si="813">AC232</f>
        <v>0</v>
      </c>
      <c r="AD233" s="56">
        <f t="shared" ca="1" si="813"/>
        <v>0</v>
      </c>
      <c r="AE233" s="63">
        <f ca="1">IF($C233="あり",IF(AC233&gt;=1,G233/AQ233,0),IF(AC233&gt;=1,AO233*AC233,0))</f>
        <v>0</v>
      </c>
      <c r="AF233" s="63">
        <f t="shared" ca="1" si="804"/>
        <v>0</v>
      </c>
      <c r="AG233" s="63">
        <f t="shared" ca="1" si="805"/>
        <v>0</v>
      </c>
      <c r="AH233" s="63">
        <f t="shared" ca="1" si="806"/>
        <v>0</v>
      </c>
      <c r="AI233" s="63">
        <f t="shared" ca="1" si="807"/>
        <v>0</v>
      </c>
      <c r="AJ233" s="63">
        <f t="shared" ca="1" si="808"/>
        <v>0</v>
      </c>
      <c r="AK233" s="63">
        <f t="shared" ca="1" si="809"/>
        <v>0</v>
      </c>
      <c r="AL233" s="63">
        <f ca="1">IF($C233="あり",IF($AD233&gt;=7,N233/$AQ233,0),IF($AD233&gt;=7,$AO233*($AD233-6),0))</f>
        <v>0</v>
      </c>
      <c r="AM233" s="65">
        <f ca="1">IF(C233="あり",O233/AQ233,AP233)</f>
        <v>0</v>
      </c>
      <c r="AN233" s="63">
        <f ca="1">SUM(AE233:AM233)</f>
        <v>0</v>
      </c>
      <c r="AO233" s="68" t="e">
        <f ca="1">1/(AC233+AD233)</f>
        <v>#DIV/0!</v>
      </c>
      <c r="AP233" s="67">
        <v>0</v>
      </c>
      <c r="AQ233" s="68">
        <f ca="1">IF(AC233&gt;=1,G233,0)+SUMIF($H$4:$M$4,"&lt;="&amp;AD233,$H233:$M233)+IF(AD233&gt;=7,N233,0)+O233</f>
        <v>0</v>
      </c>
    </row>
    <row r="234" spans="1:43" x14ac:dyDescent="0.15">
      <c r="G234" s="107"/>
      <c r="H234" s="107"/>
      <c r="I234" s="107"/>
      <c r="J234" s="107"/>
      <c r="K234" s="107"/>
      <c r="L234" s="107"/>
      <c r="M234" s="107"/>
      <c r="N234" s="107"/>
      <c r="O234" s="107"/>
    </row>
    <row r="235" spans="1:43" x14ac:dyDescent="0.15">
      <c r="A235" s="59" t="s">
        <v>362</v>
      </c>
      <c r="B235" s="60">
        <f ca="1">OFFSET(①簡易状況入力!$C$5,MATCH(A235,①簡易状況入力!$C$5:$C$104,0)-1,1)</f>
        <v>0</v>
      </c>
      <c r="C235" s="145">
        <f ca="1">OFFSET(①簡易状況入力!$C$5,MATCH(A235,①簡易状況入力!$C$5:$C$104,0)-1,17)</f>
        <v>0</v>
      </c>
      <c r="D235" s="148" t="s">
        <v>47</v>
      </c>
      <c r="E235" s="56">
        <f ca="1">U238</f>
        <v>0</v>
      </c>
      <c r="F235" s="56">
        <f ca="1">U237</f>
        <v>0</v>
      </c>
      <c r="G235" s="102"/>
      <c r="H235" s="103"/>
      <c r="I235" s="103"/>
      <c r="J235" s="103"/>
      <c r="K235" s="103"/>
      <c r="L235" s="103"/>
      <c r="M235" s="103"/>
      <c r="N235" s="103"/>
      <c r="O235" s="103"/>
      <c r="Q235" s="57">
        <f ca="1">OFFSET(①簡易状況入力!$C$5,MATCH(A235,①簡易状況入力!$C$5:$C$104,0)-1,15)</f>
        <v>0</v>
      </c>
      <c r="R235" s="58"/>
      <c r="S235" s="58"/>
      <c r="T235" s="58"/>
      <c r="U235" s="58"/>
      <c r="V235" s="58"/>
      <c r="W235" s="58"/>
      <c r="X235" s="58"/>
      <c r="Y235" s="58"/>
      <c r="Z235" s="58"/>
      <c r="AA235" s="58"/>
      <c r="AB235" s="148" t="s">
        <v>47</v>
      </c>
      <c r="AC235" s="56">
        <f ca="1">U238</f>
        <v>0</v>
      </c>
      <c r="AD235" s="56">
        <f ca="1">U237</f>
        <v>0</v>
      </c>
      <c r="AE235" s="62" t="s">
        <v>46</v>
      </c>
      <c r="AF235" s="62" t="str">
        <f t="shared" ref="AF235" ca="1" si="814">IF($C235="あり",IF(AF$4&lt;=$AD235,H235,"-"),IF(AF$4&lt;=$AD235,$AO235,"-"))</f>
        <v>-</v>
      </c>
      <c r="AG235" s="62" t="str">
        <f t="shared" ref="AG235" ca="1" si="815">IF($C235="あり",IF(AG$4&lt;=$AD235,I235,"-"),IF(AG$4&lt;=$AD235,$AO235,"-"))</f>
        <v>-</v>
      </c>
      <c r="AH235" s="62" t="str">
        <f t="shared" ref="AH235" ca="1" si="816">IF($C235="あり",IF(AH$4&lt;=$AD235,J235,"-"),IF(AH$4&lt;=$AD235,$AO235,"-"))</f>
        <v>-</v>
      </c>
      <c r="AI235" s="62" t="str">
        <f t="shared" ref="AI235" ca="1" si="817">IF($C235="あり",IF(AI$4&lt;=$AD235,K235,"-"),IF(AI$4&lt;=$AD235,$AO235,"-"))</f>
        <v>-</v>
      </c>
      <c r="AJ235" s="62" t="str">
        <f t="shared" ref="AJ235" ca="1" si="818">IF($C235="あり",IF(AJ$4&lt;=$AD235,L235,"-"),IF(AJ$4&lt;=$AD235,$AO235,"-"))</f>
        <v>-</v>
      </c>
      <c r="AK235" s="62" t="str">
        <f t="shared" ref="AK235" ca="1" si="819">IF($C235="あり",IF(AK$4&lt;=$AD235,M235,"-"),IF(AK$4&lt;=$AD235,$AO235,"-"))</f>
        <v>-</v>
      </c>
      <c r="AL235" s="62" t="str">
        <f ca="1">IF($C235="あり",IF(7&lt;=$AD235,N235,"-"),IF(7&lt;=$AD235,$AO235*($AD235-6),"-"))</f>
        <v>-</v>
      </c>
      <c r="AM235" s="62">
        <f ca="1">IF(C235="あり",O235,AP235)</f>
        <v>0</v>
      </c>
      <c r="AN235" s="62">
        <f ca="1">SUM(U236,AF235:AM235)</f>
        <v>0</v>
      </c>
      <c r="AO235" s="42">
        <f ca="1">OFFSET(【DB】被害率係数!$A$4,MATCH(②詳細状況入力!$Y236,【DB】被害率係数!$A$4:$A$19,0)-1,16)</f>
        <v>0</v>
      </c>
      <c r="AP235" s="42">
        <f ca="1">OFFSET(【DB】被害率係数!$A$4,MATCH(②詳細状況入力!$Y236,【DB】被害率係数!$A$4:$A$19,0)-1,17)</f>
        <v>0</v>
      </c>
      <c r="AQ235" s="42"/>
    </row>
    <row r="236" spans="1:43" x14ac:dyDescent="0.15">
      <c r="A236" s="50"/>
      <c r="B236" s="50"/>
      <c r="C236" s="145">
        <f ca="1">OFFSET(①簡易状況入力!$C$5,MATCH(A235,①簡易状況入力!$C$5:$C$104,0)-1,18)</f>
        <v>0</v>
      </c>
      <c r="D236" s="148" t="s">
        <v>52</v>
      </c>
      <c r="E236" s="56">
        <f t="shared" ref="E236:F236" ca="1" si="820">E235</f>
        <v>0</v>
      </c>
      <c r="F236" s="56">
        <f t="shared" ca="1" si="820"/>
        <v>0</v>
      </c>
      <c r="G236" s="104"/>
      <c r="H236" s="104"/>
      <c r="I236" s="104"/>
      <c r="J236" s="104"/>
      <c r="K236" s="104"/>
      <c r="L236" s="104"/>
      <c r="M236" s="104"/>
      <c r="N236" s="104"/>
      <c r="O236" s="105"/>
      <c r="Q236" s="57">
        <f ca="1">OFFSET(①簡易状況入力!$C$5,MATCH(A235,①簡易状況入力!$C$5:$C$104,0)-1,16)</f>
        <v>0</v>
      </c>
      <c r="R236" s="58"/>
      <c r="S236" s="146" t="s">
        <v>115</v>
      </c>
      <c r="T236" s="146" t="s">
        <v>116</v>
      </c>
      <c r="U236" s="36">
        <f ca="1">OFFSET(①簡易状況入力!$C$5,MATCH(A235,①簡易状況入力!$C$5:$C$104,0)-1,4)</f>
        <v>0</v>
      </c>
      <c r="V236" s="58"/>
      <c r="W236" s="146" t="s">
        <v>30</v>
      </c>
      <c r="X236" s="37">
        <f ca="1">OFFSET(①簡易状況入力!$C$5,MATCH(A235,①簡易状況入力!$C$5:$C$104,0)-1,5)</f>
        <v>0</v>
      </c>
      <c r="Y236" s="149">
        <f ca="1">OFFSET(①簡易状況入力!$C$5,MATCH(A235,①簡易状況入力!$C$5:$C$104,0)-1,8)</f>
        <v>0</v>
      </c>
      <c r="Z236" s="149">
        <f ca="1">OFFSET(①簡易状況入力!$C$5,MATCH(A235,①簡易状況入力!$C$5:$C$104,0)-1,9)</f>
        <v>0</v>
      </c>
      <c r="AA236" s="149">
        <f ca="1">OFFSET(①簡易状況入力!$C$5,MATCH(A235,①簡易状況入力!$C$5:$C$104,0)-1,10)</f>
        <v>0</v>
      </c>
      <c r="AB236" s="148" t="s">
        <v>52</v>
      </c>
      <c r="AC236" s="56">
        <f t="shared" ref="AC236:AD236" ca="1" si="821">AC235</f>
        <v>0</v>
      </c>
      <c r="AD236" s="56">
        <f t="shared" ca="1" si="821"/>
        <v>0</v>
      </c>
      <c r="AE236" s="63">
        <f ca="1">IF($C236="あり",IF(AC236&gt;=1,G236/AQ236,0),IF(AC236&gt;=1,AO236*AC236,0))</f>
        <v>0</v>
      </c>
      <c r="AF236" s="63">
        <f t="shared" ref="AF236:AF238" ca="1" si="822">IF($C236="あり",IF($AD236&gt;=AF$4,H236/$AQ236,0),IF($AD236&gt;=AF$4,$AO236,0))</f>
        <v>0</v>
      </c>
      <c r="AG236" s="63">
        <f t="shared" ref="AG236:AG238" ca="1" si="823">IF($C236="あり",IF($AD236&gt;=AG$4,I236/$AQ236,0),IF($AD236&gt;=AG$4,$AO236,0))</f>
        <v>0</v>
      </c>
      <c r="AH236" s="63">
        <f t="shared" ref="AH236:AH238" ca="1" si="824">IF($C236="あり",IF($AD236&gt;=AH$4,J236/$AQ236,0),IF($AD236&gt;=AH$4,$AO236,0))</f>
        <v>0</v>
      </c>
      <c r="AI236" s="63">
        <f t="shared" ref="AI236:AI238" ca="1" si="825">IF($C236="あり",IF($AD236&gt;=AI$4,K236/$AQ236,0),IF($AD236&gt;=AI$4,$AO236,0))</f>
        <v>0</v>
      </c>
      <c r="AJ236" s="63">
        <f t="shared" ref="AJ236:AJ238" ca="1" si="826">IF($C236="あり",IF($AD236&gt;=AJ$4,L236/$AQ236,0),IF($AD236&gt;=AJ$4,$AO236,0))</f>
        <v>0</v>
      </c>
      <c r="AK236" s="63">
        <f t="shared" ref="AK236:AK238" ca="1" si="827">IF($C236="あり",IF($AD236&gt;=AK$4,M236/$AQ236,0),IF($AD236&gt;=AK$4,$AO236,0))</f>
        <v>0</v>
      </c>
      <c r="AL236" s="63">
        <f ca="1">IF($C236="あり",IF($AD236&gt;=7,N236/$AQ236,0),IF($AD236&gt;=7,$AO236*($AD236-6),0))</f>
        <v>0</v>
      </c>
      <c r="AM236" s="64" t="s">
        <v>46</v>
      </c>
      <c r="AN236" s="63">
        <f ca="1">SUM(AE236:AM236)</f>
        <v>0</v>
      </c>
      <c r="AO236" s="68" t="e">
        <f ca="1">1/(AC236+AD236)</f>
        <v>#DIV/0!</v>
      </c>
      <c r="AP236" s="67">
        <v>0</v>
      </c>
      <c r="AQ236" s="68">
        <f ca="1">IF(AC236&gt;=1,G236,0)+SUMIF($H$4:$M$4,"&lt;="&amp;AD236,$H236:$M236)+IF(AD236&gt;=7,N236,0)</f>
        <v>0</v>
      </c>
    </row>
    <row r="237" spans="1:43" x14ac:dyDescent="0.15">
      <c r="A237" s="50"/>
      <c r="B237" s="50"/>
      <c r="C237" s="145">
        <f ca="1">OFFSET(①簡易状況入力!$C$5,MATCH(A235,①簡易状況入力!$C$5:$C$104,0)-1,19)</f>
        <v>0</v>
      </c>
      <c r="D237" s="148" t="s">
        <v>50</v>
      </c>
      <c r="E237" s="56">
        <f t="shared" ref="E237" ca="1" si="828">E236</f>
        <v>0</v>
      </c>
      <c r="F237" s="56">
        <f ca="1">F236</f>
        <v>0</v>
      </c>
      <c r="G237" s="104"/>
      <c r="H237" s="104"/>
      <c r="I237" s="104"/>
      <c r="J237" s="104"/>
      <c r="K237" s="104"/>
      <c r="L237" s="104"/>
      <c r="M237" s="104"/>
      <c r="N237" s="104"/>
      <c r="O237" s="106"/>
      <c r="Q237" s="50"/>
      <c r="R237" s="58"/>
      <c r="S237" s="165" t="s">
        <v>28</v>
      </c>
      <c r="T237" s="146" t="s">
        <v>35</v>
      </c>
      <c r="U237" s="35">
        <f ca="1">OFFSET(①簡易状況入力!$C$5,MATCH(A235,①簡易状況入力!$C$5:$C$104,0)-1,2)</f>
        <v>0</v>
      </c>
      <c r="V237" s="58"/>
      <c r="W237" s="146" t="s">
        <v>33</v>
      </c>
      <c r="X237" s="37">
        <f ca="1">OFFSET(①簡易状況入力!$C$5,MATCH(A235,①簡易状況入力!$C$5:$C$104,0)-1,6)</f>
        <v>0</v>
      </c>
      <c r="Y237" s="149">
        <f ca="1">OFFSET(①簡易状況入力!$C$5,MATCH(A235,①簡易状況入力!$C$5:$C$104,0)-1,11)</f>
        <v>0</v>
      </c>
      <c r="Z237" s="167">
        <f ca="1">OFFSET(①簡易状況入力!$C$5,MATCH(A235,①簡易状況入力!$C$5:$C$104,0)-1,12)</f>
        <v>0</v>
      </c>
      <c r="AA237" s="168"/>
      <c r="AB237" s="148" t="s">
        <v>50</v>
      </c>
      <c r="AC237" s="56">
        <f t="shared" ref="AC237:AD237" ca="1" si="829">AC236</f>
        <v>0</v>
      </c>
      <c r="AD237" s="56">
        <f t="shared" ca="1" si="829"/>
        <v>0</v>
      </c>
      <c r="AE237" s="63">
        <f ca="1">IF($C237="あり",IF(AC237&gt;=1,G237/AQ237,0),IF(AC237&gt;=1,AO237*AC237,0))</f>
        <v>0</v>
      </c>
      <c r="AF237" s="63">
        <f t="shared" ca="1" si="822"/>
        <v>0</v>
      </c>
      <c r="AG237" s="63">
        <f t="shared" ca="1" si="823"/>
        <v>0</v>
      </c>
      <c r="AH237" s="63">
        <f t="shared" ca="1" si="824"/>
        <v>0</v>
      </c>
      <c r="AI237" s="63">
        <f t="shared" ca="1" si="825"/>
        <v>0</v>
      </c>
      <c r="AJ237" s="63">
        <f t="shared" ca="1" si="826"/>
        <v>0</v>
      </c>
      <c r="AK237" s="63">
        <f t="shared" ca="1" si="827"/>
        <v>0</v>
      </c>
      <c r="AL237" s="63">
        <f ca="1">IF($C237="あり",IF($AD237&gt;=7,N237/$AQ237,0),IF($AD237&gt;=7,$AO237*($AD237-6),0))</f>
        <v>0</v>
      </c>
      <c r="AM237" s="65">
        <f ca="1">IF(C237="あり",O237/AQ237,AP237)</f>
        <v>0</v>
      </c>
      <c r="AN237" s="63">
        <f ca="1">SUM(AE237:AM237)</f>
        <v>0</v>
      </c>
      <c r="AO237" s="68" t="e">
        <f ca="1">1/(AC237+AD237)</f>
        <v>#DIV/0!</v>
      </c>
      <c r="AP237" s="67">
        <v>0</v>
      </c>
      <c r="AQ237" s="68">
        <f ca="1">IF(AC237&gt;=1,G237,0)+SUMIF($H$4:$M$4,"&lt;="&amp;AD237,$H237:$M237)+IF(AD237&gt;=7,N237,0)+O237</f>
        <v>0</v>
      </c>
    </row>
    <row r="238" spans="1:43" x14ac:dyDescent="0.15">
      <c r="A238" s="50"/>
      <c r="B238" s="50"/>
      <c r="C238" s="145">
        <f ca="1">OFFSET(①簡易状況入力!$C$5,MATCH(A235,①簡易状況入力!$C$5:$C$104,0)-1,20)</f>
        <v>0</v>
      </c>
      <c r="D238" s="148" t="s">
        <v>51</v>
      </c>
      <c r="E238" s="56">
        <f t="shared" ref="E238:F238" ca="1" si="830">E237</f>
        <v>0</v>
      </c>
      <c r="F238" s="56">
        <f t="shared" ca="1" si="830"/>
        <v>0</v>
      </c>
      <c r="G238" s="104"/>
      <c r="H238" s="104"/>
      <c r="I238" s="104"/>
      <c r="J238" s="104"/>
      <c r="K238" s="104"/>
      <c r="L238" s="104"/>
      <c r="M238" s="104"/>
      <c r="N238" s="104"/>
      <c r="O238" s="106"/>
      <c r="Q238" s="50"/>
      <c r="R238" s="58"/>
      <c r="S238" s="166"/>
      <c r="T238" s="146" t="s">
        <v>34</v>
      </c>
      <c r="U238" s="35">
        <f ca="1">OFFSET(①簡易状況入力!$C$5,MATCH(A235,①簡易状況入力!$C$5:$C$104,0)-1,3)</f>
        <v>0</v>
      </c>
      <c r="V238" s="58"/>
      <c r="W238" s="146" t="s">
        <v>118</v>
      </c>
      <c r="X238" s="37">
        <f ca="1">OFFSET(①簡易状況入力!$C$5,MATCH(A235,①簡易状況入力!$C$5:$C$104,0)-1,7)</f>
        <v>0</v>
      </c>
      <c r="Y238" s="149">
        <f ca="1">OFFSET(①簡易状況入力!$C$5,MATCH(A235,①簡易状況入力!$C$5:$C$104,0)-1,13)</f>
        <v>0</v>
      </c>
      <c r="Z238" s="167">
        <f ca="1">OFFSET(①簡易状況入力!$C$5,MATCH(A235,①簡易状況入力!$C$5:$C$104,0)-1,14)</f>
        <v>0</v>
      </c>
      <c r="AA238" s="168"/>
      <c r="AB238" s="148" t="s">
        <v>51</v>
      </c>
      <c r="AC238" s="56">
        <f t="shared" ref="AC238:AD238" ca="1" si="831">AC237</f>
        <v>0</v>
      </c>
      <c r="AD238" s="56">
        <f t="shared" ca="1" si="831"/>
        <v>0</v>
      </c>
      <c r="AE238" s="63">
        <f ca="1">IF($C238="あり",IF(AC238&gt;=1,G238/AQ238,0),IF(AC238&gt;=1,AO238*AC238,0))</f>
        <v>0</v>
      </c>
      <c r="AF238" s="63">
        <f t="shared" ca="1" si="822"/>
        <v>0</v>
      </c>
      <c r="AG238" s="63">
        <f t="shared" ca="1" si="823"/>
        <v>0</v>
      </c>
      <c r="AH238" s="63">
        <f t="shared" ca="1" si="824"/>
        <v>0</v>
      </c>
      <c r="AI238" s="63">
        <f t="shared" ca="1" si="825"/>
        <v>0</v>
      </c>
      <c r="AJ238" s="63">
        <f t="shared" ca="1" si="826"/>
        <v>0</v>
      </c>
      <c r="AK238" s="63">
        <f t="shared" ca="1" si="827"/>
        <v>0</v>
      </c>
      <c r="AL238" s="63">
        <f ca="1">IF($C238="あり",IF($AD238&gt;=7,N238/$AQ238,0),IF($AD238&gt;=7,$AO238*($AD238-6),0))</f>
        <v>0</v>
      </c>
      <c r="AM238" s="65">
        <f ca="1">IF(C238="あり",O238/AQ238,AP238)</f>
        <v>0</v>
      </c>
      <c r="AN238" s="63">
        <f ca="1">SUM(AE238:AM238)</f>
        <v>0</v>
      </c>
      <c r="AO238" s="68" t="e">
        <f ca="1">1/(AC238+AD238)</f>
        <v>#DIV/0!</v>
      </c>
      <c r="AP238" s="67">
        <v>0</v>
      </c>
      <c r="AQ238" s="68">
        <f ca="1">IF(AC238&gt;=1,G238,0)+SUMIF($H$4:$M$4,"&lt;="&amp;AD238,$H238:$M238)+IF(AD238&gt;=7,N238,0)+O238</f>
        <v>0</v>
      </c>
    </row>
    <row r="239" spans="1:43" x14ac:dyDescent="0.15">
      <c r="G239" s="107"/>
      <c r="H239" s="107"/>
      <c r="I239" s="107"/>
      <c r="J239" s="107"/>
      <c r="K239" s="107"/>
      <c r="L239" s="107"/>
      <c r="M239" s="107"/>
      <c r="N239" s="107"/>
      <c r="O239" s="107"/>
    </row>
    <row r="240" spans="1:43" x14ac:dyDescent="0.15">
      <c r="A240" s="59" t="s">
        <v>363</v>
      </c>
      <c r="B240" s="60">
        <f ca="1">OFFSET(①簡易状況入力!$C$5,MATCH(A240,①簡易状況入力!$C$5:$C$104,0)-1,1)</f>
        <v>0</v>
      </c>
      <c r="C240" s="145">
        <f ca="1">OFFSET(①簡易状況入力!$C$5,MATCH(A240,①簡易状況入力!$C$5:$C$104,0)-1,17)</f>
        <v>0</v>
      </c>
      <c r="D240" s="148" t="s">
        <v>47</v>
      </c>
      <c r="E240" s="56">
        <f ca="1">U243</f>
        <v>0</v>
      </c>
      <c r="F240" s="56">
        <f ca="1">U242</f>
        <v>0</v>
      </c>
      <c r="G240" s="102"/>
      <c r="H240" s="103"/>
      <c r="I240" s="103"/>
      <c r="J240" s="103"/>
      <c r="K240" s="103"/>
      <c r="L240" s="103"/>
      <c r="M240" s="103"/>
      <c r="N240" s="103"/>
      <c r="O240" s="103"/>
      <c r="Q240" s="57">
        <f ca="1">OFFSET(①簡易状況入力!$C$5,MATCH(A240,①簡易状況入力!$C$5:$C$104,0)-1,15)</f>
        <v>0</v>
      </c>
      <c r="R240" s="58"/>
      <c r="S240" s="58"/>
      <c r="T240" s="58"/>
      <c r="U240" s="58"/>
      <c r="V240" s="58"/>
      <c r="W240" s="58"/>
      <c r="X240" s="58"/>
      <c r="Y240" s="58"/>
      <c r="Z240" s="58"/>
      <c r="AA240" s="58"/>
      <c r="AB240" s="148" t="s">
        <v>47</v>
      </c>
      <c r="AC240" s="56">
        <f ca="1">U243</f>
        <v>0</v>
      </c>
      <c r="AD240" s="56">
        <f ca="1">U242</f>
        <v>0</v>
      </c>
      <c r="AE240" s="62" t="s">
        <v>46</v>
      </c>
      <c r="AF240" s="62" t="str">
        <f t="shared" ref="AF240" ca="1" si="832">IF($C240="あり",IF(AF$4&lt;=$AD240,H240,"-"),IF(AF$4&lt;=$AD240,$AO240,"-"))</f>
        <v>-</v>
      </c>
      <c r="AG240" s="62" t="str">
        <f t="shared" ref="AG240" ca="1" si="833">IF($C240="あり",IF(AG$4&lt;=$AD240,I240,"-"),IF(AG$4&lt;=$AD240,$AO240,"-"))</f>
        <v>-</v>
      </c>
      <c r="AH240" s="62" t="str">
        <f t="shared" ref="AH240" ca="1" si="834">IF($C240="あり",IF(AH$4&lt;=$AD240,J240,"-"),IF(AH$4&lt;=$AD240,$AO240,"-"))</f>
        <v>-</v>
      </c>
      <c r="AI240" s="62" t="str">
        <f t="shared" ref="AI240" ca="1" si="835">IF($C240="あり",IF(AI$4&lt;=$AD240,K240,"-"),IF(AI$4&lt;=$AD240,$AO240,"-"))</f>
        <v>-</v>
      </c>
      <c r="AJ240" s="62" t="str">
        <f t="shared" ref="AJ240" ca="1" si="836">IF($C240="あり",IF(AJ$4&lt;=$AD240,L240,"-"),IF(AJ$4&lt;=$AD240,$AO240,"-"))</f>
        <v>-</v>
      </c>
      <c r="AK240" s="62" t="str">
        <f t="shared" ref="AK240" ca="1" si="837">IF($C240="あり",IF(AK$4&lt;=$AD240,M240,"-"),IF(AK$4&lt;=$AD240,$AO240,"-"))</f>
        <v>-</v>
      </c>
      <c r="AL240" s="62" t="str">
        <f ca="1">IF($C240="あり",IF(7&lt;=$AD240,N240,"-"),IF(7&lt;=$AD240,$AO240*($AD240-6),"-"))</f>
        <v>-</v>
      </c>
      <c r="AM240" s="62">
        <f ca="1">IF(C240="あり",O240,AP240)</f>
        <v>0</v>
      </c>
      <c r="AN240" s="62">
        <f ca="1">SUM(U241,AF240:AM240)</f>
        <v>0</v>
      </c>
      <c r="AO240" s="42">
        <f ca="1">OFFSET(【DB】被害率係数!$A$4,MATCH(②詳細状況入力!$Y241,【DB】被害率係数!$A$4:$A$19,0)-1,16)</f>
        <v>0</v>
      </c>
      <c r="AP240" s="42">
        <f ca="1">OFFSET(【DB】被害率係数!$A$4,MATCH(②詳細状況入力!$Y241,【DB】被害率係数!$A$4:$A$19,0)-1,17)</f>
        <v>0</v>
      </c>
      <c r="AQ240" s="42"/>
    </row>
    <row r="241" spans="1:43" x14ac:dyDescent="0.15">
      <c r="A241" s="50"/>
      <c r="B241" s="50"/>
      <c r="C241" s="145">
        <f ca="1">OFFSET(①簡易状況入力!$C$5,MATCH(A240,①簡易状況入力!$C$5:$C$104,0)-1,18)</f>
        <v>0</v>
      </c>
      <c r="D241" s="148" t="s">
        <v>52</v>
      </c>
      <c r="E241" s="56">
        <f t="shared" ref="E241:F241" ca="1" si="838">E240</f>
        <v>0</v>
      </c>
      <c r="F241" s="56">
        <f t="shared" ca="1" si="838"/>
        <v>0</v>
      </c>
      <c r="G241" s="104"/>
      <c r="H241" s="104"/>
      <c r="I241" s="104"/>
      <c r="J241" s="104"/>
      <c r="K241" s="104"/>
      <c r="L241" s="104"/>
      <c r="M241" s="104"/>
      <c r="N241" s="104"/>
      <c r="O241" s="105"/>
      <c r="Q241" s="57">
        <f ca="1">OFFSET(①簡易状況入力!$C$5,MATCH(A240,①簡易状況入力!$C$5:$C$104,0)-1,16)</f>
        <v>0</v>
      </c>
      <c r="R241" s="58"/>
      <c r="S241" s="146" t="s">
        <v>115</v>
      </c>
      <c r="T241" s="146" t="s">
        <v>116</v>
      </c>
      <c r="U241" s="36">
        <f ca="1">OFFSET(①簡易状況入力!$C$5,MATCH(A240,①簡易状況入力!$C$5:$C$104,0)-1,4)</f>
        <v>0</v>
      </c>
      <c r="V241" s="58"/>
      <c r="W241" s="146" t="s">
        <v>30</v>
      </c>
      <c r="X241" s="37">
        <f ca="1">OFFSET(①簡易状況入力!$C$5,MATCH(A240,①簡易状況入力!$C$5:$C$104,0)-1,5)</f>
        <v>0</v>
      </c>
      <c r="Y241" s="149">
        <f ca="1">OFFSET(①簡易状況入力!$C$5,MATCH(A240,①簡易状況入力!$C$5:$C$104,0)-1,8)</f>
        <v>0</v>
      </c>
      <c r="Z241" s="149">
        <f ca="1">OFFSET(①簡易状況入力!$C$5,MATCH(A240,①簡易状況入力!$C$5:$C$104,0)-1,9)</f>
        <v>0</v>
      </c>
      <c r="AA241" s="149">
        <f ca="1">OFFSET(①簡易状況入力!$C$5,MATCH(A240,①簡易状況入力!$C$5:$C$104,0)-1,10)</f>
        <v>0</v>
      </c>
      <c r="AB241" s="148" t="s">
        <v>52</v>
      </c>
      <c r="AC241" s="56">
        <f t="shared" ref="AC241:AD241" ca="1" si="839">AC240</f>
        <v>0</v>
      </c>
      <c r="AD241" s="56">
        <f t="shared" ca="1" si="839"/>
        <v>0</v>
      </c>
      <c r="AE241" s="63">
        <f ca="1">IF($C241="あり",IF(AC241&gt;=1,G241/AQ241,0),IF(AC241&gt;=1,AO241*AC241,0))</f>
        <v>0</v>
      </c>
      <c r="AF241" s="63">
        <f t="shared" ref="AF241:AF243" ca="1" si="840">IF($C241="あり",IF($AD241&gt;=AF$4,H241/$AQ241,0),IF($AD241&gt;=AF$4,$AO241,0))</f>
        <v>0</v>
      </c>
      <c r="AG241" s="63">
        <f t="shared" ref="AG241:AG243" ca="1" si="841">IF($C241="あり",IF($AD241&gt;=AG$4,I241/$AQ241,0),IF($AD241&gt;=AG$4,$AO241,0))</f>
        <v>0</v>
      </c>
      <c r="AH241" s="63">
        <f t="shared" ref="AH241:AH243" ca="1" si="842">IF($C241="あり",IF($AD241&gt;=AH$4,J241/$AQ241,0),IF($AD241&gt;=AH$4,$AO241,0))</f>
        <v>0</v>
      </c>
      <c r="AI241" s="63">
        <f t="shared" ref="AI241:AI243" ca="1" si="843">IF($C241="あり",IF($AD241&gt;=AI$4,K241/$AQ241,0),IF($AD241&gt;=AI$4,$AO241,0))</f>
        <v>0</v>
      </c>
      <c r="AJ241" s="63">
        <f t="shared" ref="AJ241:AJ243" ca="1" si="844">IF($C241="あり",IF($AD241&gt;=AJ$4,L241/$AQ241,0),IF($AD241&gt;=AJ$4,$AO241,0))</f>
        <v>0</v>
      </c>
      <c r="AK241" s="63">
        <f t="shared" ref="AK241:AK243" ca="1" si="845">IF($C241="あり",IF($AD241&gt;=AK$4,M241/$AQ241,0),IF($AD241&gt;=AK$4,$AO241,0))</f>
        <v>0</v>
      </c>
      <c r="AL241" s="63">
        <f ca="1">IF($C241="あり",IF($AD241&gt;=7,N241/$AQ241,0),IF($AD241&gt;=7,$AO241*($AD241-6),0))</f>
        <v>0</v>
      </c>
      <c r="AM241" s="64" t="s">
        <v>46</v>
      </c>
      <c r="AN241" s="63">
        <f ca="1">SUM(AE241:AM241)</f>
        <v>0</v>
      </c>
      <c r="AO241" s="68" t="e">
        <f ca="1">1/(AC241+AD241)</f>
        <v>#DIV/0!</v>
      </c>
      <c r="AP241" s="67">
        <v>0</v>
      </c>
      <c r="AQ241" s="68">
        <f ca="1">IF(AC241&gt;=1,G241,0)+SUMIF($H$4:$M$4,"&lt;="&amp;AD241,$H241:$M241)+IF(AD241&gt;=7,N241,0)</f>
        <v>0</v>
      </c>
    </row>
    <row r="242" spans="1:43" x14ac:dyDescent="0.15">
      <c r="A242" s="50"/>
      <c r="B242" s="50"/>
      <c r="C242" s="145">
        <f ca="1">OFFSET(①簡易状況入力!$C$5,MATCH(A240,①簡易状況入力!$C$5:$C$104,0)-1,19)</f>
        <v>0</v>
      </c>
      <c r="D242" s="148" t="s">
        <v>50</v>
      </c>
      <c r="E242" s="56">
        <f t="shared" ref="E242" ca="1" si="846">E241</f>
        <v>0</v>
      </c>
      <c r="F242" s="56">
        <f ca="1">F241</f>
        <v>0</v>
      </c>
      <c r="G242" s="104"/>
      <c r="H242" s="104"/>
      <c r="I242" s="104"/>
      <c r="J242" s="104"/>
      <c r="K242" s="104"/>
      <c r="L242" s="104"/>
      <c r="M242" s="104"/>
      <c r="N242" s="104"/>
      <c r="O242" s="106"/>
      <c r="Q242" s="50"/>
      <c r="R242" s="58"/>
      <c r="S242" s="165" t="s">
        <v>28</v>
      </c>
      <c r="T242" s="146" t="s">
        <v>35</v>
      </c>
      <c r="U242" s="35">
        <f ca="1">OFFSET(①簡易状況入力!$C$5,MATCH(A240,①簡易状況入力!$C$5:$C$104,0)-1,2)</f>
        <v>0</v>
      </c>
      <c r="V242" s="58"/>
      <c r="W242" s="146" t="s">
        <v>33</v>
      </c>
      <c r="X242" s="37">
        <f ca="1">OFFSET(①簡易状況入力!$C$5,MATCH(A240,①簡易状況入力!$C$5:$C$104,0)-1,6)</f>
        <v>0</v>
      </c>
      <c r="Y242" s="149">
        <f ca="1">OFFSET(①簡易状況入力!$C$5,MATCH(A240,①簡易状況入力!$C$5:$C$104,0)-1,11)</f>
        <v>0</v>
      </c>
      <c r="Z242" s="167">
        <f ca="1">OFFSET(①簡易状況入力!$C$5,MATCH(A240,①簡易状況入力!$C$5:$C$104,0)-1,12)</f>
        <v>0</v>
      </c>
      <c r="AA242" s="168"/>
      <c r="AB242" s="148" t="s">
        <v>50</v>
      </c>
      <c r="AC242" s="56">
        <f t="shared" ref="AC242:AD242" ca="1" si="847">AC241</f>
        <v>0</v>
      </c>
      <c r="AD242" s="56">
        <f t="shared" ca="1" si="847"/>
        <v>0</v>
      </c>
      <c r="AE242" s="63">
        <f ca="1">IF($C242="あり",IF(AC242&gt;=1,G242/AQ242,0),IF(AC242&gt;=1,AO242*AC242,0))</f>
        <v>0</v>
      </c>
      <c r="AF242" s="63">
        <f t="shared" ca="1" si="840"/>
        <v>0</v>
      </c>
      <c r="AG242" s="63">
        <f t="shared" ca="1" si="841"/>
        <v>0</v>
      </c>
      <c r="AH242" s="63">
        <f t="shared" ca="1" si="842"/>
        <v>0</v>
      </c>
      <c r="AI242" s="63">
        <f t="shared" ca="1" si="843"/>
        <v>0</v>
      </c>
      <c r="AJ242" s="63">
        <f t="shared" ca="1" si="844"/>
        <v>0</v>
      </c>
      <c r="AK242" s="63">
        <f t="shared" ca="1" si="845"/>
        <v>0</v>
      </c>
      <c r="AL242" s="63">
        <f ca="1">IF($C242="あり",IF($AD242&gt;=7,N242/$AQ242,0),IF($AD242&gt;=7,$AO242*($AD242-6),0))</f>
        <v>0</v>
      </c>
      <c r="AM242" s="65">
        <f ca="1">IF(C242="あり",O242/AQ242,AP242)</f>
        <v>0</v>
      </c>
      <c r="AN242" s="63">
        <f ca="1">SUM(AE242:AM242)</f>
        <v>0</v>
      </c>
      <c r="AO242" s="68" t="e">
        <f ca="1">1/(AC242+AD242)</f>
        <v>#DIV/0!</v>
      </c>
      <c r="AP242" s="67">
        <v>0</v>
      </c>
      <c r="AQ242" s="68">
        <f ca="1">IF(AC242&gt;=1,G242,0)+SUMIF($H$4:$M$4,"&lt;="&amp;AD242,$H242:$M242)+IF(AD242&gt;=7,N242,0)+O242</f>
        <v>0</v>
      </c>
    </row>
    <row r="243" spans="1:43" x14ac:dyDescent="0.15">
      <c r="A243" s="50"/>
      <c r="B243" s="50"/>
      <c r="C243" s="145">
        <f ca="1">OFFSET(①簡易状況入力!$C$5,MATCH(A240,①簡易状況入力!$C$5:$C$104,0)-1,20)</f>
        <v>0</v>
      </c>
      <c r="D243" s="148" t="s">
        <v>51</v>
      </c>
      <c r="E243" s="56">
        <f t="shared" ref="E243:F243" ca="1" si="848">E242</f>
        <v>0</v>
      </c>
      <c r="F243" s="56">
        <f t="shared" ca="1" si="848"/>
        <v>0</v>
      </c>
      <c r="G243" s="104"/>
      <c r="H243" s="104"/>
      <c r="I243" s="104"/>
      <c r="J243" s="104"/>
      <c r="K243" s="104"/>
      <c r="L243" s="104"/>
      <c r="M243" s="104"/>
      <c r="N243" s="104"/>
      <c r="O243" s="106"/>
      <c r="Q243" s="50"/>
      <c r="R243" s="58"/>
      <c r="S243" s="166"/>
      <c r="T243" s="146" t="s">
        <v>34</v>
      </c>
      <c r="U243" s="35">
        <f ca="1">OFFSET(①簡易状況入力!$C$5,MATCH(A240,①簡易状況入力!$C$5:$C$104,0)-1,3)</f>
        <v>0</v>
      </c>
      <c r="V243" s="58"/>
      <c r="W243" s="146" t="s">
        <v>118</v>
      </c>
      <c r="X243" s="37">
        <f ca="1">OFFSET(①簡易状況入力!$C$5,MATCH(A240,①簡易状況入力!$C$5:$C$104,0)-1,7)</f>
        <v>0</v>
      </c>
      <c r="Y243" s="149">
        <f ca="1">OFFSET(①簡易状況入力!$C$5,MATCH(A240,①簡易状況入力!$C$5:$C$104,0)-1,13)</f>
        <v>0</v>
      </c>
      <c r="Z243" s="167">
        <f ca="1">OFFSET(①簡易状況入力!$C$5,MATCH(A240,①簡易状況入力!$C$5:$C$104,0)-1,14)</f>
        <v>0</v>
      </c>
      <c r="AA243" s="168"/>
      <c r="AB243" s="148" t="s">
        <v>51</v>
      </c>
      <c r="AC243" s="56">
        <f t="shared" ref="AC243:AD243" ca="1" si="849">AC242</f>
        <v>0</v>
      </c>
      <c r="AD243" s="56">
        <f t="shared" ca="1" si="849"/>
        <v>0</v>
      </c>
      <c r="AE243" s="63">
        <f ca="1">IF($C243="あり",IF(AC243&gt;=1,G243/AQ243,0),IF(AC243&gt;=1,AO243*AC243,0))</f>
        <v>0</v>
      </c>
      <c r="AF243" s="63">
        <f t="shared" ca="1" si="840"/>
        <v>0</v>
      </c>
      <c r="AG243" s="63">
        <f t="shared" ca="1" si="841"/>
        <v>0</v>
      </c>
      <c r="AH243" s="63">
        <f t="shared" ca="1" si="842"/>
        <v>0</v>
      </c>
      <c r="AI243" s="63">
        <f t="shared" ca="1" si="843"/>
        <v>0</v>
      </c>
      <c r="AJ243" s="63">
        <f t="shared" ca="1" si="844"/>
        <v>0</v>
      </c>
      <c r="AK243" s="63">
        <f t="shared" ca="1" si="845"/>
        <v>0</v>
      </c>
      <c r="AL243" s="63">
        <f ca="1">IF($C243="あり",IF($AD243&gt;=7,N243/$AQ243,0),IF($AD243&gt;=7,$AO243*($AD243-6),0))</f>
        <v>0</v>
      </c>
      <c r="AM243" s="65">
        <f ca="1">IF(C243="あり",O243/AQ243,AP243)</f>
        <v>0</v>
      </c>
      <c r="AN243" s="63">
        <f ca="1">SUM(AE243:AM243)</f>
        <v>0</v>
      </c>
      <c r="AO243" s="68" t="e">
        <f ca="1">1/(AC243+AD243)</f>
        <v>#DIV/0!</v>
      </c>
      <c r="AP243" s="67">
        <v>0</v>
      </c>
      <c r="AQ243" s="68">
        <f ca="1">IF(AC243&gt;=1,G243,0)+SUMIF($H$4:$M$4,"&lt;="&amp;AD243,$H243:$M243)+IF(AD243&gt;=7,N243,0)+O243</f>
        <v>0</v>
      </c>
    </row>
    <row r="244" spans="1:43" x14ac:dyDescent="0.15">
      <c r="G244" s="107"/>
      <c r="H244" s="107"/>
      <c r="I244" s="107"/>
      <c r="J244" s="107"/>
      <c r="K244" s="107"/>
      <c r="L244" s="107"/>
      <c r="M244" s="107"/>
      <c r="N244" s="107"/>
      <c r="O244" s="107"/>
    </row>
    <row r="245" spans="1:43" x14ac:dyDescent="0.15">
      <c r="A245" s="59" t="s">
        <v>364</v>
      </c>
      <c r="B245" s="60">
        <f ca="1">OFFSET(①簡易状況入力!$C$5,MATCH(A245,①簡易状況入力!$C$5:$C$104,0)-1,1)</f>
        <v>0</v>
      </c>
      <c r="C245" s="145">
        <f ca="1">OFFSET(①簡易状況入力!$C$5,MATCH(A245,①簡易状況入力!$C$5:$C$104,0)-1,17)</f>
        <v>0</v>
      </c>
      <c r="D245" s="148" t="s">
        <v>47</v>
      </c>
      <c r="E245" s="56">
        <f ca="1">U248</f>
        <v>0</v>
      </c>
      <c r="F245" s="56">
        <f ca="1">U247</f>
        <v>0</v>
      </c>
      <c r="G245" s="102"/>
      <c r="H245" s="103"/>
      <c r="I245" s="103"/>
      <c r="J245" s="103"/>
      <c r="K245" s="103"/>
      <c r="L245" s="103"/>
      <c r="M245" s="103"/>
      <c r="N245" s="103"/>
      <c r="O245" s="103"/>
      <c r="Q245" s="57">
        <f ca="1">OFFSET(①簡易状況入力!$C$5,MATCH(A245,①簡易状況入力!$C$5:$C$104,0)-1,15)</f>
        <v>0</v>
      </c>
      <c r="R245" s="58"/>
      <c r="S245" s="58"/>
      <c r="T245" s="58"/>
      <c r="U245" s="58"/>
      <c r="V245" s="58"/>
      <c r="W245" s="58"/>
      <c r="X245" s="58"/>
      <c r="Y245" s="58"/>
      <c r="Z245" s="58"/>
      <c r="AA245" s="58"/>
      <c r="AB245" s="148" t="s">
        <v>47</v>
      </c>
      <c r="AC245" s="56">
        <f ca="1">U248</f>
        <v>0</v>
      </c>
      <c r="AD245" s="56">
        <f ca="1">U247</f>
        <v>0</v>
      </c>
      <c r="AE245" s="62" t="s">
        <v>46</v>
      </c>
      <c r="AF245" s="62" t="str">
        <f t="shared" ref="AF245" ca="1" si="850">IF($C245="あり",IF(AF$4&lt;=$AD245,H245,"-"),IF(AF$4&lt;=$AD245,$AO245,"-"))</f>
        <v>-</v>
      </c>
      <c r="AG245" s="62" t="str">
        <f t="shared" ref="AG245" ca="1" si="851">IF($C245="あり",IF(AG$4&lt;=$AD245,I245,"-"),IF(AG$4&lt;=$AD245,$AO245,"-"))</f>
        <v>-</v>
      </c>
      <c r="AH245" s="62" t="str">
        <f t="shared" ref="AH245" ca="1" si="852">IF($C245="あり",IF(AH$4&lt;=$AD245,J245,"-"),IF(AH$4&lt;=$AD245,$AO245,"-"))</f>
        <v>-</v>
      </c>
      <c r="AI245" s="62" t="str">
        <f t="shared" ref="AI245" ca="1" si="853">IF($C245="あり",IF(AI$4&lt;=$AD245,K245,"-"),IF(AI$4&lt;=$AD245,$AO245,"-"))</f>
        <v>-</v>
      </c>
      <c r="AJ245" s="62" t="str">
        <f t="shared" ref="AJ245" ca="1" si="854">IF($C245="あり",IF(AJ$4&lt;=$AD245,L245,"-"),IF(AJ$4&lt;=$AD245,$AO245,"-"))</f>
        <v>-</v>
      </c>
      <c r="AK245" s="62" t="str">
        <f t="shared" ref="AK245" ca="1" si="855">IF($C245="あり",IF(AK$4&lt;=$AD245,M245,"-"),IF(AK$4&lt;=$AD245,$AO245,"-"))</f>
        <v>-</v>
      </c>
      <c r="AL245" s="62" t="str">
        <f ca="1">IF($C245="あり",IF(7&lt;=$AD245,N245,"-"),IF(7&lt;=$AD245,$AO245*($AD245-6),"-"))</f>
        <v>-</v>
      </c>
      <c r="AM245" s="62">
        <f ca="1">IF(C245="あり",O245,AP245)</f>
        <v>0</v>
      </c>
      <c r="AN245" s="62">
        <f ca="1">SUM(U246,AF245:AM245)</f>
        <v>0</v>
      </c>
      <c r="AO245" s="42">
        <f ca="1">OFFSET(【DB】被害率係数!$A$4,MATCH(②詳細状況入力!$Y246,【DB】被害率係数!$A$4:$A$19,0)-1,16)</f>
        <v>0</v>
      </c>
      <c r="AP245" s="42">
        <f ca="1">OFFSET(【DB】被害率係数!$A$4,MATCH(②詳細状況入力!$Y246,【DB】被害率係数!$A$4:$A$19,0)-1,17)</f>
        <v>0</v>
      </c>
      <c r="AQ245" s="42"/>
    </row>
    <row r="246" spans="1:43" x14ac:dyDescent="0.15">
      <c r="A246" s="50"/>
      <c r="B246" s="50"/>
      <c r="C246" s="145">
        <f ca="1">OFFSET(①簡易状況入力!$C$5,MATCH(A245,①簡易状況入力!$C$5:$C$104,0)-1,18)</f>
        <v>0</v>
      </c>
      <c r="D246" s="148" t="s">
        <v>52</v>
      </c>
      <c r="E246" s="56">
        <f t="shared" ref="E246:F246" ca="1" si="856">E245</f>
        <v>0</v>
      </c>
      <c r="F246" s="56">
        <f t="shared" ca="1" si="856"/>
        <v>0</v>
      </c>
      <c r="G246" s="104"/>
      <c r="H246" s="104"/>
      <c r="I246" s="104"/>
      <c r="J246" s="104"/>
      <c r="K246" s="104"/>
      <c r="L246" s="104"/>
      <c r="M246" s="104"/>
      <c r="N246" s="104"/>
      <c r="O246" s="105"/>
      <c r="Q246" s="57">
        <f ca="1">OFFSET(①簡易状況入力!$C$5,MATCH(A245,①簡易状況入力!$C$5:$C$104,0)-1,16)</f>
        <v>0</v>
      </c>
      <c r="R246" s="58"/>
      <c r="S246" s="146" t="s">
        <v>115</v>
      </c>
      <c r="T246" s="146" t="s">
        <v>116</v>
      </c>
      <c r="U246" s="36">
        <f ca="1">OFFSET(①簡易状況入力!$C$5,MATCH(A245,①簡易状況入力!$C$5:$C$104,0)-1,4)</f>
        <v>0</v>
      </c>
      <c r="V246" s="58"/>
      <c r="W246" s="146" t="s">
        <v>30</v>
      </c>
      <c r="X246" s="37">
        <f ca="1">OFFSET(①簡易状況入力!$C$5,MATCH(A245,①簡易状況入力!$C$5:$C$104,0)-1,5)</f>
        <v>0</v>
      </c>
      <c r="Y246" s="149">
        <f ca="1">OFFSET(①簡易状況入力!$C$5,MATCH(A245,①簡易状況入力!$C$5:$C$104,0)-1,8)</f>
        <v>0</v>
      </c>
      <c r="Z246" s="149">
        <f ca="1">OFFSET(①簡易状況入力!$C$5,MATCH(A245,①簡易状況入力!$C$5:$C$104,0)-1,9)</f>
        <v>0</v>
      </c>
      <c r="AA246" s="149">
        <f ca="1">OFFSET(①簡易状況入力!$C$5,MATCH(A245,①簡易状況入力!$C$5:$C$104,0)-1,10)</f>
        <v>0</v>
      </c>
      <c r="AB246" s="148" t="s">
        <v>52</v>
      </c>
      <c r="AC246" s="56">
        <f t="shared" ref="AC246:AD246" ca="1" si="857">AC245</f>
        <v>0</v>
      </c>
      <c r="AD246" s="56">
        <f t="shared" ca="1" si="857"/>
        <v>0</v>
      </c>
      <c r="AE246" s="63">
        <f ca="1">IF($C246="あり",IF(AC246&gt;=1,G246/AQ246,0),IF(AC246&gt;=1,AO246*AC246,0))</f>
        <v>0</v>
      </c>
      <c r="AF246" s="63">
        <f t="shared" ref="AF246:AF248" ca="1" si="858">IF($C246="あり",IF($AD246&gt;=AF$4,H246/$AQ246,0),IF($AD246&gt;=AF$4,$AO246,0))</f>
        <v>0</v>
      </c>
      <c r="AG246" s="63">
        <f t="shared" ref="AG246:AG248" ca="1" si="859">IF($C246="あり",IF($AD246&gt;=AG$4,I246/$AQ246,0),IF($AD246&gt;=AG$4,$AO246,0))</f>
        <v>0</v>
      </c>
      <c r="AH246" s="63">
        <f t="shared" ref="AH246:AH248" ca="1" si="860">IF($C246="あり",IF($AD246&gt;=AH$4,J246/$AQ246,0),IF($AD246&gt;=AH$4,$AO246,0))</f>
        <v>0</v>
      </c>
      <c r="AI246" s="63">
        <f t="shared" ref="AI246:AI248" ca="1" si="861">IF($C246="あり",IF($AD246&gt;=AI$4,K246/$AQ246,0),IF($AD246&gt;=AI$4,$AO246,0))</f>
        <v>0</v>
      </c>
      <c r="AJ246" s="63">
        <f t="shared" ref="AJ246:AJ248" ca="1" si="862">IF($C246="あり",IF($AD246&gt;=AJ$4,L246/$AQ246,0),IF($AD246&gt;=AJ$4,$AO246,0))</f>
        <v>0</v>
      </c>
      <c r="AK246" s="63">
        <f t="shared" ref="AK246:AK248" ca="1" si="863">IF($C246="あり",IF($AD246&gt;=AK$4,M246/$AQ246,0),IF($AD246&gt;=AK$4,$AO246,0))</f>
        <v>0</v>
      </c>
      <c r="AL246" s="63">
        <f ca="1">IF($C246="あり",IF($AD246&gt;=7,N246/$AQ246,0),IF($AD246&gt;=7,$AO246*($AD246-6),0))</f>
        <v>0</v>
      </c>
      <c r="AM246" s="64" t="s">
        <v>46</v>
      </c>
      <c r="AN246" s="63">
        <f ca="1">SUM(AE246:AM246)</f>
        <v>0</v>
      </c>
      <c r="AO246" s="68" t="e">
        <f ca="1">1/(AC246+AD246)</f>
        <v>#DIV/0!</v>
      </c>
      <c r="AP246" s="67">
        <v>0</v>
      </c>
      <c r="AQ246" s="68">
        <f ca="1">IF(AC246&gt;=1,G246,0)+SUMIF($H$4:$M$4,"&lt;="&amp;AD246,$H246:$M246)+IF(AD246&gt;=7,N246,0)</f>
        <v>0</v>
      </c>
    </row>
    <row r="247" spans="1:43" x14ac:dyDescent="0.15">
      <c r="A247" s="50"/>
      <c r="B247" s="50"/>
      <c r="C247" s="145">
        <f ca="1">OFFSET(①簡易状況入力!$C$5,MATCH(A245,①簡易状況入力!$C$5:$C$104,0)-1,19)</f>
        <v>0</v>
      </c>
      <c r="D247" s="148" t="s">
        <v>50</v>
      </c>
      <c r="E247" s="56">
        <f t="shared" ref="E247" ca="1" si="864">E246</f>
        <v>0</v>
      </c>
      <c r="F247" s="56">
        <f ca="1">F246</f>
        <v>0</v>
      </c>
      <c r="G247" s="104"/>
      <c r="H247" s="104"/>
      <c r="I247" s="104"/>
      <c r="J247" s="104"/>
      <c r="K247" s="104"/>
      <c r="L247" s="104"/>
      <c r="M247" s="104"/>
      <c r="N247" s="104"/>
      <c r="O247" s="106"/>
      <c r="Q247" s="50"/>
      <c r="R247" s="58"/>
      <c r="S247" s="165" t="s">
        <v>28</v>
      </c>
      <c r="T247" s="146" t="s">
        <v>35</v>
      </c>
      <c r="U247" s="35">
        <f ca="1">OFFSET(①簡易状況入力!$C$5,MATCH(A245,①簡易状況入力!$C$5:$C$104,0)-1,2)</f>
        <v>0</v>
      </c>
      <c r="V247" s="58"/>
      <c r="W247" s="146" t="s">
        <v>33</v>
      </c>
      <c r="X247" s="37">
        <f ca="1">OFFSET(①簡易状況入力!$C$5,MATCH(A245,①簡易状況入力!$C$5:$C$104,0)-1,6)</f>
        <v>0</v>
      </c>
      <c r="Y247" s="149">
        <f ca="1">OFFSET(①簡易状況入力!$C$5,MATCH(A245,①簡易状況入力!$C$5:$C$104,0)-1,11)</f>
        <v>0</v>
      </c>
      <c r="Z247" s="167">
        <f ca="1">OFFSET(①簡易状況入力!$C$5,MATCH(A245,①簡易状況入力!$C$5:$C$104,0)-1,12)</f>
        <v>0</v>
      </c>
      <c r="AA247" s="168"/>
      <c r="AB247" s="148" t="s">
        <v>50</v>
      </c>
      <c r="AC247" s="56">
        <f t="shared" ref="AC247:AD247" ca="1" si="865">AC246</f>
        <v>0</v>
      </c>
      <c r="AD247" s="56">
        <f t="shared" ca="1" si="865"/>
        <v>0</v>
      </c>
      <c r="AE247" s="63">
        <f ca="1">IF($C247="あり",IF(AC247&gt;=1,G247/AQ247,0),IF(AC247&gt;=1,AO247*AC247,0))</f>
        <v>0</v>
      </c>
      <c r="AF247" s="63">
        <f t="shared" ca="1" si="858"/>
        <v>0</v>
      </c>
      <c r="AG247" s="63">
        <f t="shared" ca="1" si="859"/>
        <v>0</v>
      </c>
      <c r="AH247" s="63">
        <f t="shared" ca="1" si="860"/>
        <v>0</v>
      </c>
      <c r="AI247" s="63">
        <f t="shared" ca="1" si="861"/>
        <v>0</v>
      </c>
      <c r="AJ247" s="63">
        <f t="shared" ca="1" si="862"/>
        <v>0</v>
      </c>
      <c r="AK247" s="63">
        <f t="shared" ca="1" si="863"/>
        <v>0</v>
      </c>
      <c r="AL247" s="63">
        <f ca="1">IF($C247="あり",IF($AD247&gt;=7,N247/$AQ247,0),IF($AD247&gt;=7,$AO247*($AD247-6),0))</f>
        <v>0</v>
      </c>
      <c r="AM247" s="65">
        <f ca="1">IF(C247="あり",O247/AQ247,AP247)</f>
        <v>0</v>
      </c>
      <c r="AN247" s="63">
        <f ca="1">SUM(AE247:AM247)</f>
        <v>0</v>
      </c>
      <c r="AO247" s="68" t="e">
        <f ca="1">1/(AC247+AD247)</f>
        <v>#DIV/0!</v>
      </c>
      <c r="AP247" s="67">
        <v>0</v>
      </c>
      <c r="AQ247" s="68">
        <f ca="1">IF(AC247&gt;=1,G247,0)+SUMIF($H$4:$M$4,"&lt;="&amp;AD247,$H247:$M247)+IF(AD247&gt;=7,N247,0)+O247</f>
        <v>0</v>
      </c>
    </row>
    <row r="248" spans="1:43" x14ac:dyDescent="0.15">
      <c r="A248" s="50"/>
      <c r="B248" s="50"/>
      <c r="C248" s="145">
        <f ca="1">OFFSET(①簡易状況入力!$C$5,MATCH(A245,①簡易状況入力!$C$5:$C$104,0)-1,20)</f>
        <v>0</v>
      </c>
      <c r="D248" s="148" t="s">
        <v>51</v>
      </c>
      <c r="E248" s="56">
        <f t="shared" ref="E248:F248" ca="1" si="866">E247</f>
        <v>0</v>
      </c>
      <c r="F248" s="56">
        <f t="shared" ca="1" si="866"/>
        <v>0</v>
      </c>
      <c r="G248" s="104"/>
      <c r="H248" s="104"/>
      <c r="I248" s="104"/>
      <c r="J248" s="104"/>
      <c r="K248" s="104"/>
      <c r="L248" s="104"/>
      <c r="M248" s="104"/>
      <c r="N248" s="104"/>
      <c r="O248" s="106"/>
      <c r="Q248" s="50"/>
      <c r="R248" s="58"/>
      <c r="S248" s="166"/>
      <c r="T248" s="146" t="s">
        <v>34</v>
      </c>
      <c r="U248" s="35">
        <f ca="1">OFFSET(①簡易状況入力!$C$5,MATCH(A245,①簡易状況入力!$C$5:$C$104,0)-1,3)</f>
        <v>0</v>
      </c>
      <c r="V248" s="58"/>
      <c r="W248" s="146" t="s">
        <v>118</v>
      </c>
      <c r="X248" s="37">
        <f ca="1">OFFSET(①簡易状況入力!$C$5,MATCH(A245,①簡易状況入力!$C$5:$C$104,0)-1,7)</f>
        <v>0</v>
      </c>
      <c r="Y248" s="149">
        <f ca="1">OFFSET(①簡易状況入力!$C$5,MATCH(A245,①簡易状況入力!$C$5:$C$104,0)-1,13)</f>
        <v>0</v>
      </c>
      <c r="Z248" s="167">
        <f ca="1">OFFSET(①簡易状況入力!$C$5,MATCH(A245,①簡易状況入力!$C$5:$C$104,0)-1,14)</f>
        <v>0</v>
      </c>
      <c r="AA248" s="168"/>
      <c r="AB248" s="148" t="s">
        <v>51</v>
      </c>
      <c r="AC248" s="56">
        <f t="shared" ref="AC248:AD248" ca="1" si="867">AC247</f>
        <v>0</v>
      </c>
      <c r="AD248" s="56">
        <f t="shared" ca="1" si="867"/>
        <v>0</v>
      </c>
      <c r="AE248" s="63">
        <f ca="1">IF($C248="あり",IF(AC248&gt;=1,G248/AQ248,0),IF(AC248&gt;=1,AO248*AC248,0))</f>
        <v>0</v>
      </c>
      <c r="AF248" s="63">
        <f t="shared" ca="1" si="858"/>
        <v>0</v>
      </c>
      <c r="AG248" s="63">
        <f t="shared" ca="1" si="859"/>
        <v>0</v>
      </c>
      <c r="AH248" s="63">
        <f t="shared" ca="1" si="860"/>
        <v>0</v>
      </c>
      <c r="AI248" s="63">
        <f t="shared" ca="1" si="861"/>
        <v>0</v>
      </c>
      <c r="AJ248" s="63">
        <f t="shared" ca="1" si="862"/>
        <v>0</v>
      </c>
      <c r="AK248" s="63">
        <f t="shared" ca="1" si="863"/>
        <v>0</v>
      </c>
      <c r="AL248" s="63">
        <f ca="1">IF($C248="あり",IF($AD248&gt;=7,N248/$AQ248,0),IF($AD248&gt;=7,$AO248*($AD248-6),0))</f>
        <v>0</v>
      </c>
      <c r="AM248" s="65">
        <f ca="1">IF(C248="あり",O248/AQ248,AP248)</f>
        <v>0</v>
      </c>
      <c r="AN248" s="63">
        <f ca="1">SUM(AE248:AM248)</f>
        <v>0</v>
      </c>
      <c r="AO248" s="68" t="e">
        <f ca="1">1/(AC248+AD248)</f>
        <v>#DIV/0!</v>
      </c>
      <c r="AP248" s="67">
        <v>0</v>
      </c>
      <c r="AQ248" s="68">
        <f ca="1">IF(AC248&gt;=1,G248,0)+SUMIF($H$4:$M$4,"&lt;="&amp;AD248,$H248:$M248)+IF(AD248&gt;=7,N248,0)+O248</f>
        <v>0</v>
      </c>
    </row>
    <row r="249" spans="1:43" x14ac:dyDescent="0.15">
      <c r="G249" s="107"/>
      <c r="H249" s="107"/>
      <c r="I249" s="107"/>
      <c r="J249" s="107"/>
      <c r="K249" s="107"/>
      <c r="L249" s="107"/>
      <c r="M249" s="107"/>
      <c r="N249" s="107"/>
      <c r="O249" s="107"/>
    </row>
    <row r="250" spans="1:43" x14ac:dyDescent="0.15">
      <c r="A250" s="59" t="s">
        <v>365</v>
      </c>
      <c r="B250" s="60">
        <f ca="1">OFFSET(①簡易状況入力!$C$5,MATCH(A250,①簡易状況入力!$C$5:$C$104,0)-1,1)</f>
        <v>0</v>
      </c>
      <c r="C250" s="145">
        <f ca="1">OFFSET(①簡易状況入力!$C$5,MATCH(A250,①簡易状況入力!$C$5:$C$104,0)-1,17)</f>
        <v>0</v>
      </c>
      <c r="D250" s="148" t="s">
        <v>47</v>
      </c>
      <c r="E250" s="56">
        <f ca="1">U253</f>
        <v>0</v>
      </c>
      <c r="F250" s="56">
        <f ca="1">U252</f>
        <v>0</v>
      </c>
      <c r="G250" s="102"/>
      <c r="H250" s="103"/>
      <c r="I250" s="103"/>
      <c r="J250" s="103"/>
      <c r="K250" s="103"/>
      <c r="L250" s="103"/>
      <c r="M250" s="103"/>
      <c r="N250" s="103"/>
      <c r="O250" s="103"/>
      <c r="Q250" s="57">
        <f ca="1">OFFSET(①簡易状況入力!$C$5,MATCH(A250,①簡易状況入力!$C$5:$C$104,0)-1,15)</f>
        <v>0</v>
      </c>
      <c r="R250" s="58"/>
      <c r="S250" s="58"/>
      <c r="T250" s="58"/>
      <c r="U250" s="58"/>
      <c r="V250" s="58"/>
      <c r="W250" s="58"/>
      <c r="X250" s="58"/>
      <c r="Y250" s="58"/>
      <c r="Z250" s="58"/>
      <c r="AA250" s="58"/>
      <c r="AB250" s="148" t="s">
        <v>47</v>
      </c>
      <c r="AC250" s="56">
        <f ca="1">U253</f>
        <v>0</v>
      </c>
      <c r="AD250" s="56">
        <f ca="1">U252</f>
        <v>0</v>
      </c>
      <c r="AE250" s="62" t="s">
        <v>46</v>
      </c>
      <c r="AF250" s="62" t="str">
        <f t="shared" ref="AF250" ca="1" si="868">IF($C250="あり",IF(AF$4&lt;=$AD250,H250,"-"),IF(AF$4&lt;=$AD250,$AO250,"-"))</f>
        <v>-</v>
      </c>
      <c r="AG250" s="62" t="str">
        <f t="shared" ref="AG250" ca="1" si="869">IF($C250="あり",IF(AG$4&lt;=$AD250,I250,"-"),IF(AG$4&lt;=$AD250,$AO250,"-"))</f>
        <v>-</v>
      </c>
      <c r="AH250" s="62" t="str">
        <f t="shared" ref="AH250" ca="1" si="870">IF($C250="あり",IF(AH$4&lt;=$AD250,J250,"-"),IF(AH$4&lt;=$AD250,$AO250,"-"))</f>
        <v>-</v>
      </c>
      <c r="AI250" s="62" t="str">
        <f t="shared" ref="AI250" ca="1" si="871">IF($C250="あり",IF(AI$4&lt;=$AD250,K250,"-"),IF(AI$4&lt;=$AD250,$AO250,"-"))</f>
        <v>-</v>
      </c>
      <c r="AJ250" s="62" t="str">
        <f t="shared" ref="AJ250" ca="1" si="872">IF($C250="あり",IF(AJ$4&lt;=$AD250,L250,"-"),IF(AJ$4&lt;=$AD250,$AO250,"-"))</f>
        <v>-</v>
      </c>
      <c r="AK250" s="62" t="str">
        <f t="shared" ref="AK250" ca="1" si="873">IF($C250="あり",IF(AK$4&lt;=$AD250,M250,"-"),IF(AK$4&lt;=$AD250,$AO250,"-"))</f>
        <v>-</v>
      </c>
      <c r="AL250" s="62" t="str">
        <f ca="1">IF($C250="あり",IF(7&lt;=$AD250,N250,"-"),IF(7&lt;=$AD250,$AO250*($AD250-6),"-"))</f>
        <v>-</v>
      </c>
      <c r="AM250" s="62">
        <f ca="1">IF(C250="あり",O250,AP250)</f>
        <v>0</v>
      </c>
      <c r="AN250" s="62">
        <f ca="1">SUM(U251,AF250:AM250)</f>
        <v>0</v>
      </c>
      <c r="AO250" s="42">
        <f ca="1">OFFSET(【DB】被害率係数!$A$4,MATCH(②詳細状況入力!$Y251,【DB】被害率係数!$A$4:$A$19,0)-1,16)</f>
        <v>0</v>
      </c>
      <c r="AP250" s="42">
        <f ca="1">OFFSET(【DB】被害率係数!$A$4,MATCH(②詳細状況入力!$Y251,【DB】被害率係数!$A$4:$A$19,0)-1,17)</f>
        <v>0</v>
      </c>
      <c r="AQ250" s="42"/>
    </row>
    <row r="251" spans="1:43" x14ac:dyDescent="0.15">
      <c r="A251" s="50"/>
      <c r="B251" s="50"/>
      <c r="C251" s="145">
        <f ca="1">OFFSET(①簡易状況入力!$C$5,MATCH(A250,①簡易状況入力!$C$5:$C$104,0)-1,18)</f>
        <v>0</v>
      </c>
      <c r="D251" s="148" t="s">
        <v>52</v>
      </c>
      <c r="E251" s="56">
        <f t="shared" ref="E251:F251" ca="1" si="874">E250</f>
        <v>0</v>
      </c>
      <c r="F251" s="56">
        <f t="shared" ca="1" si="874"/>
        <v>0</v>
      </c>
      <c r="G251" s="104"/>
      <c r="H251" s="104"/>
      <c r="I251" s="104"/>
      <c r="J251" s="104"/>
      <c r="K251" s="104"/>
      <c r="L251" s="104"/>
      <c r="M251" s="104"/>
      <c r="N251" s="104"/>
      <c r="O251" s="105"/>
      <c r="Q251" s="57">
        <f ca="1">OFFSET(①簡易状況入力!$C$5,MATCH(A250,①簡易状況入力!$C$5:$C$104,0)-1,16)</f>
        <v>0</v>
      </c>
      <c r="R251" s="58"/>
      <c r="S251" s="146" t="s">
        <v>115</v>
      </c>
      <c r="T251" s="146" t="s">
        <v>116</v>
      </c>
      <c r="U251" s="36">
        <f ca="1">OFFSET(①簡易状況入力!$C$5,MATCH(A250,①簡易状況入力!$C$5:$C$104,0)-1,4)</f>
        <v>0</v>
      </c>
      <c r="V251" s="58"/>
      <c r="W251" s="146" t="s">
        <v>30</v>
      </c>
      <c r="X251" s="37">
        <f ca="1">OFFSET(①簡易状況入力!$C$5,MATCH(A250,①簡易状況入力!$C$5:$C$104,0)-1,5)</f>
        <v>0</v>
      </c>
      <c r="Y251" s="149">
        <f ca="1">OFFSET(①簡易状況入力!$C$5,MATCH(A250,①簡易状況入力!$C$5:$C$104,0)-1,8)</f>
        <v>0</v>
      </c>
      <c r="Z251" s="149">
        <f ca="1">OFFSET(①簡易状況入力!$C$5,MATCH(A250,①簡易状況入力!$C$5:$C$104,0)-1,9)</f>
        <v>0</v>
      </c>
      <c r="AA251" s="149">
        <f ca="1">OFFSET(①簡易状況入力!$C$5,MATCH(A250,①簡易状況入力!$C$5:$C$104,0)-1,10)</f>
        <v>0</v>
      </c>
      <c r="AB251" s="148" t="s">
        <v>52</v>
      </c>
      <c r="AC251" s="56">
        <f t="shared" ref="AC251:AD251" ca="1" si="875">AC250</f>
        <v>0</v>
      </c>
      <c r="AD251" s="56">
        <f t="shared" ca="1" si="875"/>
        <v>0</v>
      </c>
      <c r="AE251" s="63">
        <f ca="1">IF($C251="あり",IF(AC251&gt;=1,G251/AQ251,0),IF(AC251&gt;=1,AO251*AC251,0))</f>
        <v>0</v>
      </c>
      <c r="AF251" s="63">
        <f t="shared" ref="AF251:AF253" ca="1" si="876">IF($C251="あり",IF($AD251&gt;=AF$4,H251/$AQ251,0),IF($AD251&gt;=AF$4,$AO251,0))</f>
        <v>0</v>
      </c>
      <c r="AG251" s="63">
        <f t="shared" ref="AG251:AG253" ca="1" si="877">IF($C251="あり",IF($AD251&gt;=AG$4,I251/$AQ251,0),IF($AD251&gt;=AG$4,$AO251,0))</f>
        <v>0</v>
      </c>
      <c r="AH251" s="63">
        <f t="shared" ref="AH251:AH253" ca="1" si="878">IF($C251="あり",IF($AD251&gt;=AH$4,J251/$AQ251,0),IF($AD251&gt;=AH$4,$AO251,0))</f>
        <v>0</v>
      </c>
      <c r="AI251" s="63">
        <f t="shared" ref="AI251:AI253" ca="1" si="879">IF($C251="あり",IF($AD251&gt;=AI$4,K251/$AQ251,0),IF($AD251&gt;=AI$4,$AO251,0))</f>
        <v>0</v>
      </c>
      <c r="AJ251" s="63">
        <f t="shared" ref="AJ251:AJ253" ca="1" si="880">IF($C251="あり",IF($AD251&gt;=AJ$4,L251/$AQ251,0),IF($AD251&gt;=AJ$4,$AO251,0))</f>
        <v>0</v>
      </c>
      <c r="AK251" s="63">
        <f t="shared" ref="AK251:AK253" ca="1" si="881">IF($C251="あり",IF($AD251&gt;=AK$4,M251/$AQ251,0),IF($AD251&gt;=AK$4,$AO251,0))</f>
        <v>0</v>
      </c>
      <c r="AL251" s="63">
        <f ca="1">IF($C251="あり",IF($AD251&gt;=7,N251/$AQ251,0),IF($AD251&gt;=7,$AO251*($AD251-6),0))</f>
        <v>0</v>
      </c>
      <c r="AM251" s="64" t="s">
        <v>46</v>
      </c>
      <c r="AN251" s="63">
        <f ca="1">SUM(AE251:AM251)</f>
        <v>0</v>
      </c>
      <c r="AO251" s="68" t="e">
        <f ca="1">1/(AC251+AD251)</f>
        <v>#DIV/0!</v>
      </c>
      <c r="AP251" s="67">
        <v>0</v>
      </c>
      <c r="AQ251" s="68">
        <f ca="1">IF(AC251&gt;=1,G251,0)+SUMIF($H$4:$M$4,"&lt;="&amp;AD251,$H251:$M251)+IF(AD251&gt;=7,N251,0)</f>
        <v>0</v>
      </c>
    </row>
    <row r="252" spans="1:43" x14ac:dyDescent="0.15">
      <c r="A252" s="50"/>
      <c r="B252" s="50"/>
      <c r="C252" s="145">
        <f ca="1">OFFSET(①簡易状況入力!$C$5,MATCH(A250,①簡易状況入力!$C$5:$C$104,0)-1,19)</f>
        <v>0</v>
      </c>
      <c r="D252" s="148" t="s">
        <v>50</v>
      </c>
      <c r="E252" s="56">
        <f t="shared" ref="E252" ca="1" si="882">E251</f>
        <v>0</v>
      </c>
      <c r="F252" s="56">
        <f ca="1">F251</f>
        <v>0</v>
      </c>
      <c r="G252" s="104"/>
      <c r="H252" s="104"/>
      <c r="I252" s="104"/>
      <c r="J252" s="104"/>
      <c r="K252" s="104"/>
      <c r="L252" s="104"/>
      <c r="M252" s="104"/>
      <c r="N252" s="104"/>
      <c r="O252" s="106"/>
      <c r="Q252" s="50"/>
      <c r="R252" s="58"/>
      <c r="S252" s="165" t="s">
        <v>28</v>
      </c>
      <c r="T252" s="146" t="s">
        <v>35</v>
      </c>
      <c r="U252" s="35">
        <f ca="1">OFFSET(①簡易状況入力!$C$5,MATCH(A250,①簡易状況入力!$C$5:$C$104,0)-1,2)</f>
        <v>0</v>
      </c>
      <c r="V252" s="58"/>
      <c r="W252" s="146" t="s">
        <v>33</v>
      </c>
      <c r="X252" s="37">
        <f ca="1">OFFSET(①簡易状況入力!$C$5,MATCH(A250,①簡易状況入力!$C$5:$C$104,0)-1,6)</f>
        <v>0</v>
      </c>
      <c r="Y252" s="149">
        <f ca="1">OFFSET(①簡易状況入力!$C$5,MATCH(A250,①簡易状況入力!$C$5:$C$104,0)-1,11)</f>
        <v>0</v>
      </c>
      <c r="Z252" s="167">
        <f ca="1">OFFSET(①簡易状況入力!$C$5,MATCH(A250,①簡易状況入力!$C$5:$C$104,0)-1,12)</f>
        <v>0</v>
      </c>
      <c r="AA252" s="168"/>
      <c r="AB252" s="148" t="s">
        <v>50</v>
      </c>
      <c r="AC252" s="56">
        <f t="shared" ref="AC252:AD252" ca="1" si="883">AC251</f>
        <v>0</v>
      </c>
      <c r="AD252" s="56">
        <f t="shared" ca="1" si="883"/>
        <v>0</v>
      </c>
      <c r="AE252" s="63">
        <f ca="1">IF($C252="あり",IF(AC252&gt;=1,G252/AQ252,0),IF(AC252&gt;=1,AO252*AC252,0))</f>
        <v>0</v>
      </c>
      <c r="AF252" s="63">
        <f t="shared" ca="1" si="876"/>
        <v>0</v>
      </c>
      <c r="AG252" s="63">
        <f t="shared" ca="1" si="877"/>
        <v>0</v>
      </c>
      <c r="AH252" s="63">
        <f t="shared" ca="1" si="878"/>
        <v>0</v>
      </c>
      <c r="AI252" s="63">
        <f t="shared" ca="1" si="879"/>
        <v>0</v>
      </c>
      <c r="AJ252" s="63">
        <f t="shared" ca="1" si="880"/>
        <v>0</v>
      </c>
      <c r="AK252" s="63">
        <f t="shared" ca="1" si="881"/>
        <v>0</v>
      </c>
      <c r="AL252" s="63">
        <f ca="1">IF($C252="あり",IF($AD252&gt;=7,N252/$AQ252,0),IF($AD252&gt;=7,$AO252*($AD252-6),0))</f>
        <v>0</v>
      </c>
      <c r="AM252" s="65">
        <f ca="1">IF(C252="あり",O252/AQ252,AP252)</f>
        <v>0</v>
      </c>
      <c r="AN252" s="63">
        <f ca="1">SUM(AE252:AM252)</f>
        <v>0</v>
      </c>
      <c r="AO252" s="68" t="e">
        <f ca="1">1/(AC252+AD252)</f>
        <v>#DIV/0!</v>
      </c>
      <c r="AP252" s="67">
        <v>0</v>
      </c>
      <c r="AQ252" s="68">
        <f ca="1">IF(AC252&gt;=1,G252,0)+SUMIF($H$4:$M$4,"&lt;="&amp;AD252,$H252:$M252)+IF(AD252&gt;=7,N252,0)+O252</f>
        <v>0</v>
      </c>
    </row>
    <row r="253" spans="1:43" x14ac:dyDescent="0.15">
      <c r="A253" s="50"/>
      <c r="B253" s="50"/>
      <c r="C253" s="145">
        <f ca="1">OFFSET(①簡易状況入力!$C$5,MATCH(A250,①簡易状況入力!$C$5:$C$104,0)-1,20)</f>
        <v>0</v>
      </c>
      <c r="D253" s="148" t="s">
        <v>51</v>
      </c>
      <c r="E253" s="56">
        <f t="shared" ref="E253:F253" ca="1" si="884">E252</f>
        <v>0</v>
      </c>
      <c r="F253" s="56">
        <f t="shared" ca="1" si="884"/>
        <v>0</v>
      </c>
      <c r="G253" s="104"/>
      <c r="H253" s="104"/>
      <c r="I253" s="104"/>
      <c r="J253" s="104"/>
      <c r="K253" s="104"/>
      <c r="L253" s="104"/>
      <c r="M253" s="104"/>
      <c r="N253" s="104"/>
      <c r="O253" s="106"/>
      <c r="Q253" s="50"/>
      <c r="R253" s="58"/>
      <c r="S253" s="166"/>
      <c r="T253" s="146" t="s">
        <v>34</v>
      </c>
      <c r="U253" s="35">
        <f ca="1">OFFSET(①簡易状況入力!$C$5,MATCH(A250,①簡易状況入力!$C$5:$C$104,0)-1,3)</f>
        <v>0</v>
      </c>
      <c r="V253" s="58"/>
      <c r="W253" s="146" t="s">
        <v>118</v>
      </c>
      <c r="X253" s="37">
        <f ca="1">OFFSET(①簡易状況入力!$C$5,MATCH(A250,①簡易状況入力!$C$5:$C$104,0)-1,7)</f>
        <v>0</v>
      </c>
      <c r="Y253" s="149">
        <f ca="1">OFFSET(①簡易状況入力!$C$5,MATCH(A250,①簡易状況入力!$C$5:$C$104,0)-1,13)</f>
        <v>0</v>
      </c>
      <c r="Z253" s="167">
        <f ca="1">OFFSET(①簡易状況入力!$C$5,MATCH(A250,①簡易状況入力!$C$5:$C$104,0)-1,14)</f>
        <v>0</v>
      </c>
      <c r="AA253" s="168"/>
      <c r="AB253" s="148" t="s">
        <v>51</v>
      </c>
      <c r="AC253" s="56">
        <f t="shared" ref="AC253:AD253" ca="1" si="885">AC252</f>
        <v>0</v>
      </c>
      <c r="AD253" s="56">
        <f t="shared" ca="1" si="885"/>
        <v>0</v>
      </c>
      <c r="AE253" s="63">
        <f ca="1">IF($C253="あり",IF(AC253&gt;=1,G253/AQ253,0),IF(AC253&gt;=1,AO253*AC253,0))</f>
        <v>0</v>
      </c>
      <c r="AF253" s="63">
        <f t="shared" ca="1" si="876"/>
        <v>0</v>
      </c>
      <c r="AG253" s="63">
        <f t="shared" ca="1" si="877"/>
        <v>0</v>
      </c>
      <c r="AH253" s="63">
        <f t="shared" ca="1" si="878"/>
        <v>0</v>
      </c>
      <c r="AI253" s="63">
        <f t="shared" ca="1" si="879"/>
        <v>0</v>
      </c>
      <c r="AJ253" s="63">
        <f t="shared" ca="1" si="880"/>
        <v>0</v>
      </c>
      <c r="AK253" s="63">
        <f t="shared" ca="1" si="881"/>
        <v>0</v>
      </c>
      <c r="AL253" s="63">
        <f ca="1">IF($C253="あり",IF($AD253&gt;=7,N253/$AQ253,0),IF($AD253&gt;=7,$AO253*($AD253-6),0))</f>
        <v>0</v>
      </c>
      <c r="AM253" s="65">
        <f ca="1">IF(C253="あり",O253/AQ253,AP253)</f>
        <v>0</v>
      </c>
      <c r="AN253" s="63">
        <f ca="1">SUM(AE253:AM253)</f>
        <v>0</v>
      </c>
      <c r="AO253" s="68" t="e">
        <f ca="1">1/(AC253+AD253)</f>
        <v>#DIV/0!</v>
      </c>
      <c r="AP253" s="67">
        <v>0</v>
      </c>
      <c r="AQ253" s="68">
        <f ca="1">IF(AC253&gt;=1,G253,0)+SUMIF($H$4:$M$4,"&lt;="&amp;AD253,$H253:$M253)+IF(AD253&gt;=7,N253,0)+O253</f>
        <v>0</v>
      </c>
    </row>
    <row r="254" spans="1:43" x14ac:dyDescent="0.15">
      <c r="G254" s="107"/>
      <c r="H254" s="107"/>
      <c r="I254" s="107"/>
      <c r="J254" s="107"/>
      <c r="K254" s="107"/>
      <c r="L254" s="107"/>
      <c r="M254" s="107"/>
      <c r="N254" s="107"/>
      <c r="O254" s="107"/>
    </row>
    <row r="255" spans="1:43" x14ac:dyDescent="0.15">
      <c r="A255" s="59" t="s">
        <v>366</v>
      </c>
      <c r="B255" s="60">
        <f ca="1">OFFSET(①簡易状況入力!$C$5,MATCH(A255,①簡易状況入力!$C$5:$C$104,0)-1,1)</f>
        <v>0</v>
      </c>
      <c r="C255" s="145">
        <f ca="1">OFFSET(①簡易状況入力!$C$5,MATCH(A255,①簡易状況入力!$C$5:$C$104,0)-1,17)</f>
        <v>0</v>
      </c>
      <c r="D255" s="148" t="s">
        <v>47</v>
      </c>
      <c r="E255" s="56">
        <f ca="1">U258</f>
        <v>0</v>
      </c>
      <c r="F255" s="56">
        <f ca="1">U257</f>
        <v>0</v>
      </c>
      <c r="G255" s="102"/>
      <c r="H255" s="103"/>
      <c r="I255" s="103"/>
      <c r="J255" s="103"/>
      <c r="K255" s="103"/>
      <c r="L255" s="103"/>
      <c r="M255" s="103"/>
      <c r="N255" s="103"/>
      <c r="O255" s="103"/>
      <c r="Q255" s="57">
        <f ca="1">OFFSET(①簡易状況入力!$C$5,MATCH(A255,①簡易状況入力!$C$5:$C$104,0)-1,15)</f>
        <v>0</v>
      </c>
      <c r="R255" s="58"/>
      <c r="S255" s="58"/>
      <c r="T255" s="58"/>
      <c r="U255" s="58"/>
      <c r="V255" s="58"/>
      <c r="W255" s="58"/>
      <c r="X255" s="58"/>
      <c r="Y255" s="58"/>
      <c r="Z255" s="58"/>
      <c r="AA255" s="58"/>
      <c r="AB255" s="148" t="s">
        <v>47</v>
      </c>
      <c r="AC255" s="56">
        <f ca="1">U258</f>
        <v>0</v>
      </c>
      <c r="AD255" s="56">
        <f ca="1">U257</f>
        <v>0</v>
      </c>
      <c r="AE255" s="62" t="s">
        <v>46</v>
      </c>
      <c r="AF255" s="62" t="str">
        <f t="shared" ref="AF255" ca="1" si="886">IF($C255="あり",IF(AF$4&lt;=$AD255,H255,"-"),IF(AF$4&lt;=$AD255,$AO255,"-"))</f>
        <v>-</v>
      </c>
      <c r="AG255" s="62" t="str">
        <f t="shared" ref="AG255" ca="1" si="887">IF($C255="あり",IF(AG$4&lt;=$AD255,I255,"-"),IF(AG$4&lt;=$AD255,$AO255,"-"))</f>
        <v>-</v>
      </c>
      <c r="AH255" s="62" t="str">
        <f t="shared" ref="AH255" ca="1" si="888">IF($C255="あり",IF(AH$4&lt;=$AD255,J255,"-"),IF(AH$4&lt;=$AD255,$AO255,"-"))</f>
        <v>-</v>
      </c>
      <c r="AI255" s="62" t="str">
        <f t="shared" ref="AI255" ca="1" si="889">IF($C255="あり",IF(AI$4&lt;=$AD255,K255,"-"),IF(AI$4&lt;=$AD255,$AO255,"-"))</f>
        <v>-</v>
      </c>
      <c r="AJ255" s="62" t="str">
        <f t="shared" ref="AJ255" ca="1" si="890">IF($C255="あり",IF(AJ$4&lt;=$AD255,L255,"-"),IF(AJ$4&lt;=$AD255,$AO255,"-"))</f>
        <v>-</v>
      </c>
      <c r="AK255" s="62" t="str">
        <f t="shared" ref="AK255" ca="1" si="891">IF($C255="あり",IF(AK$4&lt;=$AD255,M255,"-"),IF(AK$4&lt;=$AD255,$AO255,"-"))</f>
        <v>-</v>
      </c>
      <c r="AL255" s="62" t="str">
        <f ca="1">IF($C255="あり",IF(7&lt;=$AD255,N255,"-"),IF(7&lt;=$AD255,$AO255*($AD255-6),"-"))</f>
        <v>-</v>
      </c>
      <c r="AM255" s="62">
        <f ca="1">IF(C255="あり",O255,AP255)</f>
        <v>0</v>
      </c>
      <c r="AN255" s="62">
        <f ca="1">SUM(U256,AF255:AM255)</f>
        <v>0</v>
      </c>
      <c r="AO255" s="42">
        <f ca="1">OFFSET(【DB】被害率係数!$A$4,MATCH(②詳細状況入力!$Y256,【DB】被害率係数!$A$4:$A$19,0)-1,16)</f>
        <v>0</v>
      </c>
      <c r="AP255" s="42">
        <f ca="1">OFFSET(【DB】被害率係数!$A$4,MATCH(②詳細状況入力!$Y256,【DB】被害率係数!$A$4:$A$19,0)-1,17)</f>
        <v>0</v>
      </c>
      <c r="AQ255" s="42"/>
    </row>
    <row r="256" spans="1:43" x14ac:dyDescent="0.15">
      <c r="A256" s="50"/>
      <c r="B256" s="50"/>
      <c r="C256" s="145">
        <f ca="1">OFFSET(①簡易状況入力!$C$5,MATCH(A255,①簡易状況入力!$C$5:$C$104,0)-1,18)</f>
        <v>0</v>
      </c>
      <c r="D256" s="148" t="s">
        <v>52</v>
      </c>
      <c r="E256" s="56">
        <f t="shared" ref="E256:F256" ca="1" si="892">E255</f>
        <v>0</v>
      </c>
      <c r="F256" s="56">
        <f t="shared" ca="1" si="892"/>
        <v>0</v>
      </c>
      <c r="G256" s="104"/>
      <c r="H256" s="104"/>
      <c r="I256" s="104"/>
      <c r="J256" s="104"/>
      <c r="K256" s="104"/>
      <c r="L256" s="104"/>
      <c r="M256" s="104"/>
      <c r="N256" s="104"/>
      <c r="O256" s="105"/>
      <c r="Q256" s="57">
        <f ca="1">OFFSET(①簡易状況入力!$C$5,MATCH(A255,①簡易状況入力!$C$5:$C$104,0)-1,16)</f>
        <v>0</v>
      </c>
      <c r="R256" s="58"/>
      <c r="S256" s="146" t="s">
        <v>115</v>
      </c>
      <c r="T256" s="146" t="s">
        <v>116</v>
      </c>
      <c r="U256" s="36">
        <f ca="1">OFFSET(①簡易状況入力!$C$5,MATCH(A255,①簡易状況入力!$C$5:$C$104,0)-1,4)</f>
        <v>0</v>
      </c>
      <c r="V256" s="58"/>
      <c r="W256" s="146" t="s">
        <v>30</v>
      </c>
      <c r="X256" s="37">
        <f ca="1">OFFSET(①簡易状況入力!$C$5,MATCH(A255,①簡易状況入力!$C$5:$C$104,0)-1,5)</f>
        <v>0</v>
      </c>
      <c r="Y256" s="149">
        <f ca="1">OFFSET(①簡易状況入力!$C$5,MATCH(A255,①簡易状況入力!$C$5:$C$104,0)-1,8)</f>
        <v>0</v>
      </c>
      <c r="Z256" s="149">
        <f ca="1">OFFSET(①簡易状況入力!$C$5,MATCH(A255,①簡易状況入力!$C$5:$C$104,0)-1,9)</f>
        <v>0</v>
      </c>
      <c r="AA256" s="149">
        <f ca="1">OFFSET(①簡易状況入力!$C$5,MATCH(A255,①簡易状況入力!$C$5:$C$104,0)-1,10)</f>
        <v>0</v>
      </c>
      <c r="AB256" s="148" t="s">
        <v>52</v>
      </c>
      <c r="AC256" s="56">
        <f t="shared" ref="AC256:AD256" ca="1" si="893">AC255</f>
        <v>0</v>
      </c>
      <c r="AD256" s="56">
        <f t="shared" ca="1" si="893"/>
        <v>0</v>
      </c>
      <c r="AE256" s="63">
        <f ca="1">IF($C256="あり",IF(AC256&gt;=1,G256/AQ256,0),IF(AC256&gt;=1,AO256*AC256,0))</f>
        <v>0</v>
      </c>
      <c r="AF256" s="63">
        <f t="shared" ref="AF256:AF258" ca="1" si="894">IF($C256="あり",IF($AD256&gt;=AF$4,H256/$AQ256,0),IF($AD256&gt;=AF$4,$AO256,0))</f>
        <v>0</v>
      </c>
      <c r="AG256" s="63">
        <f t="shared" ref="AG256:AG258" ca="1" si="895">IF($C256="あり",IF($AD256&gt;=AG$4,I256/$AQ256,0),IF($AD256&gt;=AG$4,$AO256,0))</f>
        <v>0</v>
      </c>
      <c r="AH256" s="63">
        <f t="shared" ref="AH256:AH258" ca="1" si="896">IF($C256="あり",IF($AD256&gt;=AH$4,J256/$AQ256,0),IF($AD256&gt;=AH$4,$AO256,0))</f>
        <v>0</v>
      </c>
      <c r="AI256" s="63">
        <f t="shared" ref="AI256:AI258" ca="1" si="897">IF($C256="あり",IF($AD256&gt;=AI$4,K256/$AQ256,0),IF($AD256&gt;=AI$4,$AO256,0))</f>
        <v>0</v>
      </c>
      <c r="AJ256" s="63">
        <f t="shared" ref="AJ256:AJ258" ca="1" si="898">IF($C256="あり",IF($AD256&gt;=AJ$4,L256/$AQ256,0),IF($AD256&gt;=AJ$4,$AO256,0))</f>
        <v>0</v>
      </c>
      <c r="AK256" s="63">
        <f t="shared" ref="AK256:AK258" ca="1" si="899">IF($C256="あり",IF($AD256&gt;=AK$4,M256/$AQ256,0),IF($AD256&gt;=AK$4,$AO256,0))</f>
        <v>0</v>
      </c>
      <c r="AL256" s="63">
        <f ca="1">IF($C256="あり",IF($AD256&gt;=7,N256/$AQ256,0),IF($AD256&gt;=7,$AO256*($AD256-6),0))</f>
        <v>0</v>
      </c>
      <c r="AM256" s="64" t="s">
        <v>46</v>
      </c>
      <c r="AN256" s="63">
        <f ca="1">SUM(AE256:AM256)</f>
        <v>0</v>
      </c>
      <c r="AO256" s="68" t="e">
        <f ca="1">1/(AC256+AD256)</f>
        <v>#DIV/0!</v>
      </c>
      <c r="AP256" s="67">
        <v>0</v>
      </c>
      <c r="AQ256" s="68">
        <f ca="1">IF(AC256&gt;=1,G256,0)+SUMIF($H$4:$M$4,"&lt;="&amp;AD256,$H256:$M256)+IF(AD256&gt;=7,N256,0)</f>
        <v>0</v>
      </c>
    </row>
    <row r="257" spans="1:43" x14ac:dyDescent="0.15">
      <c r="A257" s="50"/>
      <c r="B257" s="50"/>
      <c r="C257" s="145">
        <f ca="1">OFFSET(①簡易状況入力!$C$5,MATCH(A255,①簡易状況入力!$C$5:$C$104,0)-1,19)</f>
        <v>0</v>
      </c>
      <c r="D257" s="148" t="s">
        <v>50</v>
      </c>
      <c r="E257" s="56">
        <f t="shared" ref="E257" ca="1" si="900">E256</f>
        <v>0</v>
      </c>
      <c r="F257" s="56">
        <f ca="1">F256</f>
        <v>0</v>
      </c>
      <c r="G257" s="104"/>
      <c r="H257" s="104"/>
      <c r="I257" s="104"/>
      <c r="J257" s="104"/>
      <c r="K257" s="104"/>
      <c r="L257" s="104"/>
      <c r="M257" s="104"/>
      <c r="N257" s="104"/>
      <c r="O257" s="106"/>
      <c r="Q257" s="50"/>
      <c r="R257" s="58"/>
      <c r="S257" s="165" t="s">
        <v>28</v>
      </c>
      <c r="T257" s="146" t="s">
        <v>35</v>
      </c>
      <c r="U257" s="35">
        <f ca="1">OFFSET(①簡易状況入力!$C$5,MATCH(A255,①簡易状況入力!$C$5:$C$104,0)-1,2)</f>
        <v>0</v>
      </c>
      <c r="V257" s="58"/>
      <c r="W257" s="146" t="s">
        <v>33</v>
      </c>
      <c r="X257" s="37">
        <f ca="1">OFFSET(①簡易状況入力!$C$5,MATCH(A255,①簡易状況入力!$C$5:$C$104,0)-1,6)</f>
        <v>0</v>
      </c>
      <c r="Y257" s="149">
        <f ca="1">OFFSET(①簡易状況入力!$C$5,MATCH(A255,①簡易状況入力!$C$5:$C$104,0)-1,11)</f>
        <v>0</v>
      </c>
      <c r="Z257" s="167">
        <f ca="1">OFFSET(①簡易状況入力!$C$5,MATCH(A255,①簡易状況入力!$C$5:$C$104,0)-1,12)</f>
        <v>0</v>
      </c>
      <c r="AA257" s="168"/>
      <c r="AB257" s="148" t="s">
        <v>50</v>
      </c>
      <c r="AC257" s="56">
        <f t="shared" ref="AC257:AD257" ca="1" si="901">AC256</f>
        <v>0</v>
      </c>
      <c r="AD257" s="56">
        <f t="shared" ca="1" si="901"/>
        <v>0</v>
      </c>
      <c r="AE257" s="63">
        <f ca="1">IF($C257="あり",IF(AC257&gt;=1,G257/AQ257,0),IF(AC257&gt;=1,AO257*AC257,0))</f>
        <v>0</v>
      </c>
      <c r="AF257" s="63">
        <f t="shared" ca="1" si="894"/>
        <v>0</v>
      </c>
      <c r="AG257" s="63">
        <f t="shared" ca="1" si="895"/>
        <v>0</v>
      </c>
      <c r="AH257" s="63">
        <f t="shared" ca="1" si="896"/>
        <v>0</v>
      </c>
      <c r="AI257" s="63">
        <f t="shared" ca="1" si="897"/>
        <v>0</v>
      </c>
      <c r="AJ257" s="63">
        <f t="shared" ca="1" si="898"/>
        <v>0</v>
      </c>
      <c r="AK257" s="63">
        <f t="shared" ca="1" si="899"/>
        <v>0</v>
      </c>
      <c r="AL257" s="63">
        <f ca="1">IF($C257="あり",IF($AD257&gt;=7,N257/$AQ257,0),IF($AD257&gt;=7,$AO257*($AD257-6),0))</f>
        <v>0</v>
      </c>
      <c r="AM257" s="65">
        <f ca="1">IF(C257="あり",O257/AQ257,AP257)</f>
        <v>0</v>
      </c>
      <c r="AN257" s="63">
        <f ca="1">SUM(AE257:AM257)</f>
        <v>0</v>
      </c>
      <c r="AO257" s="68" t="e">
        <f ca="1">1/(AC257+AD257)</f>
        <v>#DIV/0!</v>
      </c>
      <c r="AP257" s="67">
        <v>0</v>
      </c>
      <c r="AQ257" s="68">
        <f ca="1">IF(AC257&gt;=1,G257,0)+SUMIF($H$4:$M$4,"&lt;="&amp;AD257,$H257:$M257)+IF(AD257&gt;=7,N257,0)+O257</f>
        <v>0</v>
      </c>
    </row>
    <row r="258" spans="1:43" x14ac:dyDescent="0.15">
      <c r="A258" s="50"/>
      <c r="B258" s="50"/>
      <c r="C258" s="145">
        <f ca="1">OFFSET(①簡易状況入力!$C$5,MATCH(A255,①簡易状況入力!$C$5:$C$104,0)-1,20)</f>
        <v>0</v>
      </c>
      <c r="D258" s="148" t="s">
        <v>51</v>
      </c>
      <c r="E258" s="56">
        <f t="shared" ref="E258:F258" ca="1" si="902">E257</f>
        <v>0</v>
      </c>
      <c r="F258" s="56">
        <f t="shared" ca="1" si="902"/>
        <v>0</v>
      </c>
      <c r="G258" s="104"/>
      <c r="H258" s="104"/>
      <c r="I258" s="104"/>
      <c r="J258" s="104"/>
      <c r="K258" s="104"/>
      <c r="L258" s="104"/>
      <c r="M258" s="104"/>
      <c r="N258" s="104"/>
      <c r="O258" s="106"/>
      <c r="Q258" s="50"/>
      <c r="R258" s="58"/>
      <c r="S258" s="166"/>
      <c r="T258" s="146" t="s">
        <v>34</v>
      </c>
      <c r="U258" s="35">
        <f ca="1">OFFSET(①簡易状況入力!$C$5,MATCH(A255,①簡易状況入力!$C$5:$C$104,0)-1,3)</f>
        <v>0</v>
      </c>
      <c r="V258" s="58"/>
      <c r="W258" s="146" t="s">
        <v>118</v>
      </c>
      <c r="X258" s="37">
        <f ca="1">OFFSET(①簡易状況入力!$C$5,MATCH(A255,①簡易状況入力!$C$5:$C$104,0)-1,7)</f>
        <v>0</v>
      </c>
      <c r="Y258" s="149">
        <f ca="1">OFFSET(①簡易状況入力!$C$5,MATCH(A255,①簡易状況入力!$C$5:$C$104,0)-1,13)</f>
        <v>0</v>
      </c>
      <c r="Z258" s="167">
        <f ca="1">OFFSET(①簡易状況入力!$C$5,MATCH(A255,①簡易状況入力!$C$5:$C$104,0)-1,14)</f>
        <v>0</v>
      </c>
      <c r="AA258" s="168"/>
      <c r="AB258" s="148" t="s">
        <v>51</v>
      </c>
      <c r="AC258" s="56">
        <f t="shared" ref="AC258:AD258" ca="1" si="903">AC257</f>
        <v>0</v>
      </c>
      <c r="AD258" s="56">
        <f t="shared" ca="1" si="903"/>
        <v>0</v>
      </c>
      <c r="AE258" s="63">
        <f ca="1">IF($C258="あり",IF(AC258&gt;=1,G258/AQ258,0),IF(AC258&gt;=1,AO258*AC258,0))</f>
        <v>0</v>
      </c>
      <c r="AF258" s="63">
        <f t="shared" ca="1" si="894"/>
        <v>0</v>
      </c>
      <c r="AG258" s="63">
        <f t="shared" ca="1" si="895"/>
        <v>0</v>
      </c>
      <c r="AH258" s="63">
        <f t="shared" ca="1" si="896"/>
        <v>0</v>
      </c>
      <c r="AI258" s="63">
        <f t="shared" ca="1" si="897"/>
        <v>0</v>
      </c>
      <c r="AJ258" s="63">
        <f t="shared" ca="1" si="898"/>
        <v>0</v>
      </c>
      <c r="AK258" s="63">
        <f t="shared" ca="1" si="899"/>
        <v>0</v>
      </c>
      <c r="AL258" s="63">
        <f ca="1">IF($C258="あり",IF($AD258&gt;=7,N258/$AQ258,0),IF($AD258&gt;=7,$AO258*($AD258-6),0))</f>
        <v>0</v>
      </c>
      <c r="AM258" s="65">
        <f ca="1">IF(C258="あり",O258/AQ258,AP258)</f>
        <v>0</v>
      </c>
      <c r="AN258" s="63">
        <f ca="1">SUM(AE258:AM258)</f>
        <v>0</v>
      </c>
      <c r="AO258" s="68" t="e">
        <f ca="1">1/(AC258+AD258)</f>
        <v>#DIV/0!</v>
      </c>
      <c r="AP258" s="67">
        <v>0</v>
      </c>
      <c r="AQ258" s="68">
        <f ca="1">IF(AC258&gt;=1,G258,0)+SUMIF($H$4:$M$4,"&lt;="&amp;AD258,$H258:$M258)+IF(AD258&gt;=7,N258,0)+O258</f>
        <v>0</v>
      </c>
    </row>
    <row r="259" spans="1:43" x14ac:dyDescent="0.15">
      <c r="G259" s="107"/>
      <c r="H259" s="107"/>
      <c r="I259" s="107"/>
      <c r="J259" s="107"/>
      <c r="K259" s="107"/>
      <c r="L259" s="107"/>
      <c r="M259" s="107"/>
      <c r="N259" s="107"/>
      <c r="O259" s="107"/>
    </row>
    <row r="260" spans="1:43" x14ac:dyDescent="0.15">
      <c r="A260" s="59" t="s">
        <v>367</v>
      </c>
      <c r="B260" s="60">
        <f ca="1">OFFSET(①簡易状況入力!$C$5,MATCH(A260,①簡易状況入力!$C$5:$C$104,0)-1,1)</f>
        <v>0</v>
      </c>
      <c r="C260" s="145">
        <f ca="1">OFFSET(①簡易状況入力!$C$5,MATCH(A260,①簡易状況入力!$C$5:$C$104,0)-1,17)</f>
        <v>0</v>
      </c>
      <c r="D260" s="148" t="s">
        <v>47</v>
      </c>
      <c r="E260" s="56">
        <f ca="1">U263</f>
        <v>0</v>
      </c>
      <c r="F260" s="56">
        <f ca="1">U262</f>
        <v>0</v>
      </c>
      <c r="G260" s="102"/>
      <c r="H260" s="103"/>
      <c r="I260" s="103"/>
      <c r="J260" s="103"/>
      <c r="K260" s="103"/>
      <c r="L260" s="103"/>
      <c r="M260" s="103"/>
      <c r="N260" s="103"/>
      <c r="O260" s="103"/>
      <c r="Q260" s="57">
        <f ca="1">OFFSET(①簡易状況入力!$C$5,MATCH(A260,①簡易状況入力!$C$5:$C$104,0)-1,15)</f>
        <v>0</v>
      </c>
      <c r="R260" s="58"/>
      <c r="S260" s="58"/>
      <c r="T260" s="58"/>
      <c r="U260" s="58"/>
      <c r="V260" s="58"/>
      <c r="W260" s="58"/>
      <c r="X260" s="58"/>
      <c r="Y260" s="58"/>
      <c r="Z260" s="58"/>
      <c r="AA260" s="58"/>
      <c r="AB260" s="148" t="s">
        <v>47</v>
      </c>
      <c r="AC260" s="56">
        <f ca="1">U263</f>
        <v>0</v>
      </c>
      <c r="AD260" s="56">
        <f ca="1">U262</f>
        <v>0</v>
      </c>
      <c r="AE260" s="62" t="s">
        <v>46</v>
      </c>
      <c r="AF260" s="62" t="str">
        <f t="shared" ref="AF260" ca="1" si="904">IF($C260="あり",IF(AF$4&lt;=$AD260,H260,"-"),IF(AF$4&lt;=$AD260,$AO260,"-"))</f>
        <v>-</v>
      </c>
      <c r="AG260" s="62" t="str">
        <f t="shared" ref="AG260" ca="1" si="905">IF($C260="あり",IF(AG$4&lt;=$AD260,I260,"-"),IF(AG$4&lt;=$AD260,$AO260,"-"))</f>
        <v>-</v>
      </c>
      <c r="AH260" s="62" t="str">
        <f t="shared" ref="AH260" ca="1" si="906">IF($C260="あり",IF(AH$4&lt;=$AD260,J260,"-"),IF(AH$4&lt;=$AD260,$AO260,"-"))</f>
        <v>-</v>
      </c>
      <c r="AI260" s="62" t="str">
        <f t="shared" ref="AI260" ca="1" si="907">IF($C260="あり",IF(AI$4&lt;=$AD260,K260,"-"),IF(AI$4&lt;=$AD260,$AO260,"-"))</f>
        <v>-</v>
      </c>
      <c r="AJ260" s="62" t="str">
        <f t="shared" ref="AJ260" ca="1" si="908">IF($C260="あり",IF(AJ$4&lt;=$AD260,L260,"-"),IF(AJ$4&lt;=$AD260,$AO260,"-"))</f>
        <v>-</v>
      </c>
      <c r="AK260" s="62" t="str">
        <f t="shared" ref="AK260" ca="1" si="909">IF($C260="あり",IF(AK$4&lt;=$AD260,M260,"-"),IF(AK$4&lt;=$AD260,$AO260,"-"))</f>
        <v>-</v>
      </c>
      <c r="AL260" s="62" t="str">
        <f ca="1">IF($C260="あり",IF(7&lt;=$AD260,N260,"-"),IF(7&lt;=$AD260,$AO260*($AD260-6),"-"))</f>
        <v>-</v>
      </c>
      <c r="AM260" s="62">
        <f ca="1">IF(C260="あり",O260,AP260)</f>
        <v>0</v>
      </c>
      <c r="AN260" s="62">
        <f ca="1">SUM(U261,AF260:AM260)</f>
        <v>0</v>
      </c>
      <c r="AO260" s="42">
        <f ca="1">OFFSET(【DB】被害率係数!$A$4,MATCH(②詳細状況入力!$Y261,【DB】被害率係数!$A$4:$A$19,0)-1,16)</f>
        <v>0</v>
      </c>
      <c r="AP260" s="42">
        <f ca="1">OFFSET(【DB】被害率係数!$A$4,MATCH(②詳細状況入力!$Y261,【DB】被害率係数!$A$4:$A$19,0)-1,17)</f>
        <v>0</v>
      </c>
      <c r="AQ260" s="42"/>
    </row>
    <row r="261" spans="1:43" x14ac:dyDescent="0.15">
      <c r="A261" s="50"/>
      <c r="B261" s="50"/>
      <c r="C261" s="145">
        <f ca="1">OFFSET(①簡易状況入力!$C$5,MATCH(A260,①簡易状況入力!$C$5:$C$104,0)-1,18)</f>
        <v>0</v>
      </c>
      <c r="D261" s="148" t="s">
        <v>52</v>
      </c>
      <c r="E261" s="56">
        <f t="shared" ref="E261:F261" ca="1" si="910">E260</f>
        <v>0</v>
      </c>
      <c r="F261" s="56">
        <f t="shared" ca="1" si="910"/>
        <v>0</v>
      </c>
      <c r="G261" s="104"/>
      <c r="H261" s="104"/>
      <c r="I261" s="104"/>
      <c r="J261" s="104"/>
      <c r="K261" s="104"/>
      <c r="L261" s="104"/>
      <c r="M261" s="104"/>
      <c r="N261" s="104"/>
      <c r="O261" s="105"/>
      <c r="Q261" s="57">
        <f ca="1">OFFSET(①簡易状況入力!$C$5,MATCH(A260,①簡易状況入力!$C$5:$C$104,0)-1,16)</f>
        <v>0</v>
      </c>
      <c r="R261" s="58"/>
      <c r="S261" s="146" t="s">
        <v>115</v>
      </c>
      <c r="T261" s="146" t="s">
        <v>116</v>
      </c>
      <c r="U261" s="36">
        <f ca="1">OFFSET(①簡易状況入力!$C$5,MATCH(A260,①簡易状況入力!$C$5:$C$104,0)-1,4)</f>
        <v>0</v>
      </c>
      <c r="V261" s="58"/>
      <c r="W261" s="146" t="s">
        <v>30</v>
      </c>
      <c r="X261" s="37">
        <f ca="1">OFFSET(①簡易状況入力!$C$5,MATCH(A260,①簡易状況入力!$C$5:$C$104,0)-1,5)</f>
        <v>0</v>
      </c>
      <c r="Y261" s="149">
        <f ca="1">OFFSET(①簡易状況入力!$C$5,MATCH(A260,①簡易状況入力!$C$5:$C$104,0)-1,8)</f>
        <v>0</v>
      </c>
      <c r="Z261" s="149">
        <f ca="1">OFFSET(①簡易状況入力!$C$5,MATCH(A260,①簡易状況入力!$C$5:$C$104,0)-1,9)</f>
        <v>0</v>
      </c>
      <c r="AA261" s="149">
        <f ca="1">OFFSET(①簡易状況入力!$C$5,MATCH(A260,①簡易状況入力!$C$5:$C$104,0)-1,10)</f>
        <v>0</v>
      </c>
      <c r="AB261" s="148" t="s">
        <v>52</v>
      </c>
      <c r="AC261" s="56">
        <f t="shared" ref="AC261:AD261" ca="1" si="911">AC260</f>
        <v>0</v>
      </c>
      <c r="AD261" s="56">
        <f t="shared" ca="1" si="911"/>
        <v>0</v>
      </c>
      <c r="AE261" s="63">
        <f ca="1">IF($C261="あり",IF(AC261&gt;=1,G261/AQ261,0),IF(AC261&gt;=1,AO261*AC261,0))</f>
        <v>0</v>
      </c>
      <c r="AF261" s="63">
        <f t="shared" ref="AF261:AF263" ca="1" si="912">IF($C261="あり",IF($AD261&gt;=AF$4,H261/$AQ261,0),IF($AD261&gt;=AF$4,$AO261,0))</f>
        <v>0</v>
      </c>
      <c r="AG261" s="63">
        <f t="shared" ref="AG261:AG263" ca="1" si="913">IF($C261="あり",IF($AD261&gt;=AG$4,I261/$AQ261,0),IF($AD261&gt;=AG$4,$AO261,0))</f>
        <v>0</v>
      </c>
      <c r="AH261" s="63">
        <f t="shared" ref="AH261:AH263" ca="1" si="914">IF($C261="あり",IF($AD261&gt;=AH$4,J261/$AQ261,0),IF($AD261&gt;=AH$4,$AO261,0))</f>
        <v>0</v>
      </c>
      <c r="AI261" s="63">
        <f t="shared" ref="AI261:AI263" ca="1" si="915">IF($C261="あり",IF($AD261&gt;=AI$4,K261/$AQ261,0),IF($AD261&gt;=AI$4,$AO261,0))</f>
        <v>0</v>
      </c>
      <c r="AJ261" s="63">
        <f t="shared" ref="AJ261:AJ263" ca="1" si="916">IF($C261="あり",IF($AD261&gt;=AJ$4,L261/$AQ261,0),IF($AD261&gt;=AJ$4,$AO261,0))</f>
        <v>0</v>
      </c>
      <c r="AK261" s="63">
        <f t="shared" ref="AK261:AK263" ca="1" si="917">IF($C261="あり",IF($AD261&gt;=AK$4,M261/$AQ261,0),IF($AD261&gt;=AK$4,$AO261,0))</f>
        <v>0</v>
      </c>
      <c r="AL261" s="63">
        <f ca="1">IF($C261="あり",IF($AD261&gt;=7,N261/$AQ261,0),IF($AD261&gt;=7,$AO261*($AD261-6),0))</f>
        <v>0</v>
      </c>
      <c r="AM261" s="64" t="s">
        <v>46</v>
      </c>
      <c r="AN261" s="63">
        <f ca="1">SUM(AE261:AM261)</f>
        <v>0</v>
      </c>
      <c r="AO261" s="68" t="e">
        <f ca="1">1/(AC261+AD261)</f>
        <v>#DIV/0!</v>
      </c>
      <c r="AP261" s="67">
        <v>0</v>
      </c>
      <c r="AQ261" s="68">
        <f ca="1">IF(AC261&gt;=1,G261,0)+SUMIF($H$4:$M$4,"&lt;="&amp;AD261,$H261:$M261)+IF(AD261&gt;=7,N261,0)</f>
        <v>0</v>
      </c>
    </row>
    <row r="262" spans="1:43" x14ac:dyDescent="0.15">
      <c r="A262" s="50"/>
      <c r="B262" s="50"/>
      <c r="C262" s="145">
        <f ca="1">OFFSET(①簡易状況入力!$C$5,MATCH(A260,①簡易状況入力!$C$5:$C$104,0)-1,19)</f>
        <v>0</v>
      </c>
      <c r="D262" s="148" t="s">
        <v>50</v>
      </c>
      <c r="E262" s="56">
        <f t="shared" ref="E262" ca="1" si="918">E261</f>
        <v>0</v>
      </c>
      <c r="F262" s="56">
        <f ca="1">F261</f>
        <v>0</v>
      </c>
      <c r="G262" s="104"/>
      <c r="H262" s="104"/>
      <c r="I262" s="104"/>
      <c r="J262" s="104"/>
      <c r="K262" s="104"/>
      <c r="L262" s="104"/>
      <c r="M262" s="104"/>
      <c r="N262" s="104"/>
      <c r="O262" s="106"/>
      <c r="Q262" s="50"/>
      <c r="R262" s="58"/>
      <c r="S262" s="165" t="s">
        <v>28</v>
      </c>
      <c r="T262" s="146" t="s">
        <v>35</v>
      </c>
      <c r="U262" s="35">
        <f ca="1">OFFSET(①簡易状況入力!$C$5,MATCH(A260,①簡易状況入力!$C$5:$C$104,0)-1,2)</f>
        <v>0</v>
      </c>
      <c r="V262" s="58"/>
      <c r="W262" s="146" t="s">
        <v>33</v>
      </c>
      <c r="X262" s="37">
        <f ca="1">OFFSET(①簡易状況入力!$C$5,MATCH(A260,①簡易状況入力!$C$5:$C$104,0)-1,6)</f>
        <v>0</v>
      </c>
      <c r="Y262" s="149">
        <f ca="1">OFFSET(①簡易状況入力!$C$5,MATCH(A260,①簡易状況入力!$C$5:$C$104,0)-1,11)</f>
        <v>0</v>
      </c>
      <c r="Z262" s="167">
        <f ca="1">OFFSET(①簡易状況入力!$C$5,MATCH(A260,①簡易状況入力!$C$5:$C$104,0)-1,12)</f>
        <v>0</v>
      </c>
      <c r="AA262" s="168"/>
      <c r="AB262" s="148" t="s">
        <v>50</v>
      </c>
      <c r="AC262" s="56">
        <f t="shared" ref="AC262:AD262" ca="1" si="919">AC261</f>
        <v>0</v>
      </c>
      <c r="AD262" s="56">
        <f t="shared" ca="1" si="919"/>
        <v>0</v>
      </c>
      <c r="AE262" s="63">
        <f ca="1">IF($C262="あり",IF(AC262&gt;=1,G262/AQ262,0),IF(AC262&gt;=1,AO262*AC262,0))</f>
        <v>0</v>
      </c>
      <c r="AF262" s="63">
        <f t="shared" ca="1" si="912"/>
        <v>0</v>
      </c>
      <c r="AG262" s="63">
        <f t="shared" ca="1" si="913"/>
        <v>0</v>
      </c>
      <c r="AH262" s="63">
        <f t="shared" ca="1" si="914"/>
        <v>0</v>
      </c>
      <c r="AI262" s="63">
        <f t="shared" ca="1" si="915"/>
        <v>0</v>
      </c>
      <c r="AJ262" s="63">
        <f t="shared" ca="1" si="916"/>
        <v>0</v>
      </c>
      <c r="AK262" s="63">
        <f t="shared" ca="1" si="917"/>
        <v>0</v>
      </c>
      <c r="AL262" s="63">
        <f ca="1">IF($C262="あり",IF($AD262&gt;=7,N262/$AQ262,0),IF($AD262&gt;=7,$AO262*($AD262-6),0))</f>
        <v>0</v>
      </c>
      <c r="AM262" s="65">
        <f ca="1">IF(C262="あり",O262/AQ262,AP262)</f>
        <v>0</v>
      </c>
      <c r="AN262" s="63">
        <f ca="1">SUM(AE262:AM262)</f>
        <v>0</v>
      </c>
      <c r="AO262" s="68" t="e">
        <f ca="1">1/(AC262+AD262)</f>
        <v>#DIV/0!</v>
      </c>
      <c r="AP262" s="67">
        <v>0</v>
      </c>
      <c r="AQ262" s="68">
        <f ca="1">IF(AC262&gt;=1,G262,0)+SUMIF($H$4:$M$4,"&lt;="&amp;AD262,$H262:$M262)+IF(AD262&gt;=7,N262,0)+O262</f>
        <v>0</v>
      </c>
    </row>
    <row r="263" spans="1:43" x14ac:dyDescent="0.15">
      <c r="A263" s="50"/>
      <c r="B263" s="50"/>
      <c r="C263" s="145">
        <f ca="1">OFFSET(①簡易状況入力!$C$5,MATCH(A260,①簡易状況入力!$C$5:$C$104,0)-1,20)</f>
        <v>0</v>
      </c>
      <c r="D263" s="148" t="s">
        <v>51</v>
      </c>
      <c r="E263" s="56">
        <f t="shared" ref="E263:F263" ca="1" si="920">E262</f>
        <v>0</v>
      </c>
      <c r="F263" s="56">
        <f t="shared" ca="1" si="920"/>
        <v>0</v>
      </c>
      <c r="G263" s="104"/>
      <c r="H263" s="104"/>
      <c r="I263" s="104"/>
      <c r="J263" s="104"/>
      <c r="K263" s="104"/>
      <c r="L263" s="104"/>
      <c r="M263" s="104"/>
      <c r="N263" s="104"/>
      <c r="O263" s="106"/>
      <c r="Q263" s="50"/>
      <c r="R263" s="58"/>
      <c r="S263" s="166"/>
      <c r="T263" s="146" t="s">
        <v>34</v>
      </c>
      <c r="U263" s="35">
        <f ca="1">OFFSET(①簡易状況入力!$C$5,MATCH(A260,①簡易状況入力!$C$5:$C$104,0)-1,3)</f>
        <v>0</v>
      </c>
      <c r="V263" s="58"/>
      <c r="W263" s="146" t="s">
        <v>118</v>
      </c>
      <c r="X263" s="37">
        <f ca="1">OFFSET(①簡易状況入力!$C$5,MATCH(A260,①簡易状況入力!$C$5:$C$104,0)-1,7)</f>
        <v>0</v>
      </c>
      <c r="Y263" s="149">
        <f ca="1">OFFSET(①簡易状況入力!$C$5,MATCH(A260,①簡易状況入力!$C$5:$C$104,0)-1,13)</f>
        <v>0</v>
      </c>
      <c r="Z263" s="167">
        <f ca="1">OFFSET(①簡易状況入力!$C$5,MATCH(A260,①簡易状況入力!$C$5:$C$104,0)-1,14)</f>
        <v>0</v>
      </c>
      <c r="AA263" s="168"/>
      <c r="AB263" s="148" t="s">
        <v>51</v>
      </c>
      <c r="AC263" s="56">
        <f t="shared" ref="AC263:AD263" ca="1" si="921">AC262</f>
        <v>0</v>
      </c>
      <c r="AD263" s="56">
        <f t="shared" ca="1" si="921"/>
        <v>0</v>
      </c>
      <c r="AE263" s="63">
        <f ca="1">IF($C263="あり",IF(AC263&gt;=1,G263/AQ263,0),IF(AC263&gt;=1,AO263*AC263,0))</f>
        <v>0</v>
      </c>
      <c r="AF263" s="63">
        <f t="shared" ca="1" si="912"/>
        <v>0</v>
      </c>
      <c r="AG263" s="63">
        <f t="shared" ca="1" si="913"/>
        <v>0</v>
      </c>
      <c r="AH263" s="63">
        <f t="shared" ca="1" si="914"/>
        <v>0</v>
      </c>
      <c r="AI263" s="63">
        <f t="shared" ca="1" si="915"/>
        <v>0</v>
      </c>
      <c r="AJ263" s="63">
        <f t="shared" ca="1" si="916"/>
        <v>0</v>
      </c>
      <c r="AK263" s="63">
        <f t="shared" ca="1" si="917"/>
        <v>0</v>
      </c>
      <c r="AL263" s="63">
        <f ca="1">IF($C263="あり",IF($AD263&gt;=7,N263/$AQ263,0),IF($AD263&gt;=7,$AO263*($AD263-6),0))</f>
        <v>0</v>
      </c>
      <c r="AM263" s="65">
        <f ca="1">IF(C263="あり",O263/AQ263,AP263)</f>
        <v>0</v>
      </c>
      <c r="AN263" s="63">
        <f ca="1">SUM(AE263:AM263)</f>
        <v>0</v>
      </c>
      <c r="AO263" s="68" t="e">
        <f ca="1">1/(AC263+AD263)</f>
        <v>#DIV/0!</v>
      </c>
      <c r="AP263" s="67">
        <v>0</v>
      </c>
      <c r="AQ263" s="68">
        <f ca="1">IF(AC263&gt;=1,G263,0)+SUMIF($H$4:$M$4,"&lt;="&amp;AD263,$H263:$M263)+IF(AD263&gt;=7,N263,0)+O263</f>
        <v>0</v>
      </c>
    </row>
    <row r="264" spans="1:43" x14ac:dyDescent="0.15">
      <c r="G264" s="107"/>
      <c r="H264" s="107"/>
      <c r="I264" s="107"/>
      <c r="J264" s="107"/>
      <c r="K264" s="107"/>
      <c r="L264" s="107"/>
      <c r="M264" s="107"/>
      <c r="N264" s="107"/>
      <c r="O264" s="107"/>
    </row>
    <row r="265" spans="1:43" x14ac:dyDescent="0.15">
      <c r="A265" s="59" t="s">
        <v>368</v>
      </c>
      <c r="B265" s="60">
        <f ca="1">OFFSET(①簡易状況入力!$C$5,MATCH(A265,①簡易状況入力!$C$5:$C$104,0)-1,1)</f>
        <v>0</v>
      </c>
      <c r="C265" s="145">
        <f ca="1">OFFSET(①簡易状況入力!$C$5,MATCH(A265,①簡易状況入力!$C$5:$C$104,0)-1,17)</f>
        <v>0</v>
      </c>
      <c r="D265" s="148" t="s">
        <v>47</v>
      </c>
      <c r="E265" s="56">
        <f ca="1">U268</f>
        <v>0</v>
      </c>
      <c r="F265" s="56">
        <f ca="1">U267</f>
        <v>0</v>
      </c>
      <c r="G265" s="102"/>
      <c r="H265" s="103"/>
      <c r="I265" s="103"/>
      <c r="J265" s="103"/>
      <c r="K265" s="103"/>
      <c r="L265" s="103"/>
      <c r="M265" s="103"/>
      <c r="N265" s="103"/>
      <c r="O265" s="103"/>
      <c r="Q265" s="57">
        <f ca="1">OFFSET(①簡易状況入力!$C$5,MATCH(A265,①簡易状況入力!$C$5:$C$104,0)-1,15)</f>
        <v>0</v>
      </c>
      <c r="R265" s="58"/>
      <c r="S265" s="58"/>
      <c r="T265" s="58"/>
      <c r="U265" s="58"/>
      <c r="V265" s="58"/>
      <c r="W265" s="58"/>
      <c r="X265" s="58"/>
      <c r="Y265" s="58"/>
      <c r="Z265" s="58"/>
      <c r="AA265" s="58"/>
      <c r="AB265" s="148" t="s">
        <v>47</v>
      </c>
      <c r="AC265" s="56">
        <f ca="1">U268</f>
        <v>0</v>
      </c>
      <c r="AD265" s="56">
        <f ca="1">U267</f>
        <v>0</v>
      </c>
      <c r="AE265" s="62" t="s">
        <v>46</v>
      </c>
      <c r="AF265" s="62" t="str">
        <f t="shared" ref="AF265" ca="1" si="922">IF($C265="あり",IF(AF$4&lt;=$AD265,H265,"-"),IF(AF$4&lt;=$AD265,$AO265,"-"))</f>
        <v>-</v>
      </c>
      <c r="AG265" s="62" t="str">
        <f t="shared" ref="AG265" ca="1" si="923">IF($C265="あり",IF(AG$4&lt;=$AD265,I265,"-"),IF(AG$4&lt;=$AD265,$AO265,"-"))</f>
        <v>-</v>
      </c>
      <c r="AH265" s="62" t="str">
        <f t="shared" ref="AH265" ca="1" si="924">IF($C265="あり",IF(AH$4&lt;=$AD265,J265,"-"),IF(AH$4&lt;=$AD265,$AO265,"-"))</f>
        <v>-</v>
      </c>
      <c r="AI265" s="62" t="str">
        <f t="shared" ref="AI265" ca="1" si="925">IF($C265="あり",IF(AI$4&lt;=$AD265,K265,"-"),IF(AI$4&lt;=$AD265,$AO265,"-"))</f>
        <v>-</v>
      </c>
      <c r="AJ265" s="62" t="str">
        <f t="shared" ref="AJ265" ca="1" si="926">IF($C265="あり",IF(AJ$4&lt;=$AD265,L265,"-"),IF(AJ$4&lt;=$AD265,$AO265,"-"))</f>
        <v>-</v>
      </c>
      <c r="AK265" s="62" t="str">
        <f t="shared" ref="AK265" ca="1" si="927">IF($C265="あり",IF(AK$4&lt;=$AD265,M265,"-"),IF(AK$4&lt;=$AD265,$AO265,"-"))</f>
        <v>-</v>
      </c>
      <c r="AL265" s="62" t="str">
        <f ca="1">IF($C265="あり",IF(7&lt;=$AD265,N265,"-"),IF(7&lt;=$AD265,$AO265*($AD265-6),"-"))</f>
        <v>-</v>
      </c>
      <c r="AM265" s="62">
        <f ca="1">IF(C265="あり",O265,AP265)</f>
        <v>0</v>
      </c>
      <c r="AN265" s="62">
        <f ca="1">SUM(U266,AF265:AM265)</f>
        <v>0</v>
      </c>
      <c r="AO265" s="42">
        <f ca="1">OFFSET(【DB】被害率係数!$A$4,MATCH(②詳細状況入力!$Y266,【DB】被害率係数!$A$4:$A$19,0)-1,16)</f>
        <v>0</v>
      </c>
      <c r="AP265" s="42">
        <f ca="1">OFFSET(【DB】被害率係数!$A$4,MATCH(②詳細状況入力!$Y266,【DB】被害率係数!$A$4:$A$19,0)-1,17)</f>
        <v>0</v>
      </c>
      <c r="AQ265" s="42"/>
    </row>
    <row r="266" spans="1:43" x14ac:dyDescent="0.15">
      <c r="A266" s="50"/>
      <c r="B266" s="50"/>
      <c r="C266" s="145">
        <f ca="1">OFFSET(①簡易状況入力!$C$5,MATCH(A265,①簡易状況入力!$C$5:$C$104,0)-1,18)</f>
        <v>0</v>
      </c>
      <c r="D266" s="148" t="s">
        <v>52</v>
      </c>
      <c r="E266" s="56">
        <f t="shared" ref="E266:F266" ca="1" si="928">E265</f>
        <v>0</v>
      </c>
      <c r="F266" s="56">
        <f t="shared" ca="1" si="928"/>
        <v>0</v>
      </c>
      <c r="G266" s="104"/>
      <c r="H266" s="104"/>
      <c r="I266" s="104"/>
      <c r="J266" s="104"/>
      <c r="K266" s="104"/>
      <c r="L266" s="104"/>
      <c r="M266" s="104"/>
      <c r="N266" s="104"/>
      <c r="O266" s="105"/>
      <c r="Q266" s="57">
        <f ca="1">OFFSET(①簡易状況入力!$C$5,MATCH(A265,①簡易状況入力!$C$5:$C$104,0)-1,16)</f>
        <v>0</v>
      </c>
      <c r="R266" s="58"/>
      <c r="S266" s="146" t="s">
        <v>115</v>
      </c>
      <c r="T266" s="146" t="s">
        <v>116</v>
      </c>
      <c r="U266" s="36">
        <f ca="1">OFFSET(①簡易状況入力!$C$5,MATCH(A265,①簡易状況入力!$C$5:$C$104,0)-1,4)</f>
        <v>0</v>
      </c>
      <c r="V266" s="58"/>
      <c r="W266" s="146" t="s">
        <v>30</v>
      </c>
      <c r="X266" s="37">
        <f ca="1">OFFSET(①簡易状況入力!$C$5,MATCH(A265,①簡易状況入力!$C$5:$C$104,0)-1,5)</f>
        <v>0</v>
      </c>
      <c r="Y266" s="149">
        <f ca="1">OFFSET(①簡易状況入力!$C$5,MATCH(A265,①簡易状況入力!$C$5:$C$104,0)-1,8)</f>
        <v>0</v>
      </c>
      <c r="Z266" s="149">
        <f ca="1">OFFSET(①簡易状況入力!$C$5,MATCH(A265,①簡易状況入力!$C$5:$C$104,0)-1,9)</f>
        <v>0</v>
      </c>
      <c r="AA266" s="149">
        <f ca="1">OFFSET(①簡易状況入力!$C$5,MATCH(A265,①簡易状況入力!$C$5:$C$104,0)-1,10)</f>
        <v>0</v>
      </c>
      <c r="AB266" s="148" t="s">
        <v>52</v>
      </c>
      <c r="AC266" s="56">
        <f t="shared" ref="AC266:AD266" ca="1" si="929">AC265</f>
        <v>0</v>
      </c>
      <c r="AD266" s="56">
        <f t="shared" ca="1" si="929"/>
        <v>0</v>
      </c>
      <c r="AE266" s="63">
        <f ca="1">IF($C266="あり",IF(AC266&gt;=1,G266/AQ266,0),IF(AC266&gt;=1,AO266*AC266,0))</f>
        <v>0</v>
      </c>
      <c r="AF266" s="63">
        <f t="shared" ref="AF266:AF268" ca="1" si="930">IF($C266="あり",IF($AD266&gt;=AF$4,H266/$AQ266,0),IF($AD266&gt;=AF$4,$AO266,0))</f>
        <v>0</v>
      </c>
      <c r="AG266" s="63">
        <f t="shared" ref="AG266:AG268" ca="1" si="931">IF($C266="あり",IF($AD266&gt;=AG$4,I266/$AQ266,0),IF($AD266&gt;=AG$4,$AO266,0))</f>
        <v>0</v>
      </c>
      <c r="AH266" s="63">
        <f t="shared" ref="AH266:AH268" ca="1" si="932">IF($C266="あり",IF($AD266&gt;=AH$4,J266/$AQ266,0),IF($AD266&gt;=AH$4,$AO266,0))</f>
        <v>0</v>
      </c>
      <c r="AI266" s="63">
        <f t="shared" ref="AI266:AI268" ca="1" si="933">IF($C266="あり",IF($AD266&gt;=AI$4,K266/$AQ266,0),IF($AD266&gt;=AI$4,$AO266,0))</f>
        <v>0</v>
      </c>
      <c r="AJ266" s="63">
        <f t="shared" ref="AJ266:AJ268" ca="1" si="934">IF($C266="あり",IF($AD266&gt;=AJ$4,L266/$AQ266,0),IF($AD266&gt;=AJ$4,$AO266,0))</f>
        <v>0</v>
      </c>
      <c r="AK266" s="63">
        <f t="shared" ref="AK266:AK268" ca="1" si="935">IF($C266="あり",IF($AD266&gt;=AK$4,M266/$AQ266,0),IF($AD266&gt;=AK$4,$AO266,0))</f>
        <v>0</v>
      </c>
      <c r="AL266" s="63">
        <f ca="1">IF($C266="あり",IF($AD266&gt;=7,N266/$AQ266,0),IF($AD266&gt;=7,$AO266*($AD266-6),0))</f>
        <v>0</v>
      </c>
      <c r="AM266" s="64" t="s">
        <v>46</v>
      </c>
      <c r="AN266" s="63">
        <f ca="1">SUM(AE266:AM266)</f>
        <v>0</v>
      </c>
      <c r="AO266" s="68" t="e">
        <f ca="1">1/(AC266+AD266)</f>
        <v>#DIV/0!</v>
      </c>
      <c r="AP266" s="67">
        <v>0</v>
      </c>
      <c r="AQ266" s="68">
        <f ca="1">IF(AC266&gt;=1,G266,0)+SUMIF($H$4:$M$4,"&lt;="&amp;AD266,$H266:$M266)+IF(AD266&gt;=7,N266,0)</f>
        <v>0</v>
      </c>
    </row>
    <row r="267" spans="1:43" x14ac:dyDescent="0.15">
      <c r="A267" s="50"/>
      <c r="B267" s="50"/>
      <c r="C267" s="145">
        <f ca="1">OFFSET(①簡易状況入力!$C$5,MATCH(A265,①簡易状況入力!$C$5:$C$104,0)-1,19)</f>
        <v>0</v>
      </c>
      <c r="D267" s="148" t="s">
        <v>50</v>
      </c>
      <c r="E267" s="56">
        <f t="shared" ref="E267" ca="1" si="936">E266</f>
        <v>0</v>
      </c>
      <c r="F267" s="56">
        <f ca="1">F266</f>
        <v>0</v>
      </c>
      <c r="G267" s="104"/>
      <c r="H267" s="104"/>
      <c r="I267" s="104"/>
      <c r="J267" s="104"/>
      <c r="K267" s="104"/>
      <c r="L267" s="104"/>
      <c r="M267" s="104"/>
      <c r="N267" s="104"/>
      <c r="O267" s="106"/>
      <c r="Q267" s="50"/>
      <c r="R267" s="58"/>
      <c r="S267" s="165" t="s">
        <v>28</v>
      </c>
      <c r="T267" s="146" t="s">
        <v>35</v>
      </c>
      <c r="U267" s="35">
        <f ca="1">OFFSET(①簡易状況入力!$C$5,MATCH(A265,①簡易状況入力!$C$5:$C$104,0)-1,2)</f>
        <v>0</v>
      </c>
      <c r="V267" s="58"/>
      <c r="W267" s="146" t="s">
        <v>33</v>
      </c>
      <c r="X267" s="37">
        <f ca="1">OFFSET(①簡易状況入力!$C$5,MATCH(A265,①簡易状況入力!$C$5:$C$104,0)-1,6)</f>
        <v>0</v>
      </c>
      <c r="Y267" s="149">
        <f ca="1">OFFSET(①簡易状況入力!$C$5,MATCH(A265,①簡易状況入力!$C$5:$C$104,0)-1,11)</f>
        <v>0</v>
      </c>
      <c r="Z267" s="167">
        <f ca="1">OFFSET(①簡易状況入力!$C$5,MATCH(A265,①簡易状況入力!$C$5:$C$104,0)-1,12)</f>
        <v>0</v>
      </c>
      <c r="AA267" s="168"/>
      <c r="AB267" s="148" t="s">
        <v>50</v>
      </c>
      <c r="AC267" s="56">
        <f t="shared" ref="AC267:AD267" ca="1" si="937">AC266</f>
        <v>0</v>
      </c>
      <c r="AD267" s="56">
        <f t="shared" ca="1" si="937"/>
        <v>0</v>
      </c>
      <c r="AE267" s="63">
        <f ca="1">IF($C267="あり",IF(AC267&gt;=1,G267/AQ267,0),IF(AC267&gt;=1,AO267*AC267,0))</f>
        <v>0</v>
      </c>
      <c r="AF267" s="63">
        <f t="shared" ca="1" si="930"/>
        <v>0</v>
      </c>
      <c r="AG267" s="63">
        <f t="shared" ca="1" si="931"/>
        <v>0</v>
      </c>
      <c r="AH267" s="63">
        <f t="shared" ca="1" si="932"/>
        <v>0</v>
      </c>
      <c r="AI267" s="63">
        <f t="shared" ca="1" si="933"/>
        <v>0</v>
      </c>
      <c r="AJ267" s="63">
        <f t="shared" ca="1" si="934"/>
        <v>0</v>
      </c>
      <c r="AK267" s="63">
        <f t="shared" ca="1" si="935"/>
        <v>0</v>
      </c>
      <c r="AL267" s="63">
        <f ca="1">IF($C267="あり",IF($AD267&gt;=7,N267/$AQ267,0),IF($AD267&gt;=7,$AO267*($AD267-6),0))</f>
        <v>0</v>
      </c>
      <c r="AM267" s="65">
        <f ca="1">IF(C267="あり",O267/AQ267,AP267)</f>
        <v>0</v>
      </c>
      <c r="AN267" s="63">
        <f ca="1">SUM(AE267:AM267)</f>
        <v>0</v>
      </c>
      <c r="AO267" s="68" t="e">
        <f ca="1">1/(AC267+AD267)</f>
        <v>#DIV/0!</v>
      </c>
      <c r="AP267" s="67">
        <v>0</v>
      </c>
      <c r="AQ267" s="68">
        <f ca="1">IF(AC267&gt;=1,G267,0)+SUMIF($H$4:$M$4,"&lt;="&amp;AD267,$H267:$M267)+IF(AD267&gt;=7,N267,0)+O267</f>
        <v>0</v>
      </c>
    </row>
    <row r="268" spans="1:43" x14ac:dyDescent="0.15">
      <c r="A268" s="50"/>
      <c r="B268" s="50"/>
      <c r="C268" s="145">
        <f ca="1">OFFSET(①簡易状況入力!$C$5,MATCH(A265,①簡易状況入力!$C$5:$C$104,0)-1,20)</f>
        <v>0</v>
      </c>
      <c r="D268" s="148" t="s">
        <v>51</v>
      </c>
      <c r="E268" s="56">
        <f t="shared" ref="E268:F268" ca="1" si="938">E267</f>
        <v>0</v>
      </c>
      <c r="F268" s="56">
        <f t="shared" ca="1" si="938"/>
        <v>0</v>
      </c>
      <c r="G268" s="104"/>
      <c r="H268" s="104"/>
      <c r="I268" s="104"/>
      <c r="J268" s="104"/>
      <c r="K268" s="104"/>
      <c r="L268" s="104"/>
      <c r="M268" s="104"/>
      <c r="N268" s="104"/>
      <c r="O268" s="106"/>
      <c r="Q268" s="50"/>
      <c r="R268" s="58"/>
      <c r="S268" s="166"/>
      <c r="T268" s="146" t="s">
        <v>34</v>
      </c>
      <c r="U268" s="35">
        <f ca="1">OFFSET(①簡易状況入力!$C$5,MATCH(A265,①簡易状況入力!$C$5:$C$104,0)-1,3)</f>
        <v>0</v>
      </c>
      <c r="V268" s="58"/>
      <c r="W268" s="146" t="s">
        <v>118</v>
      </c>
      <c r="X268" s="37">
        <f ca="1">OFFSET(①簡易状況入力!$C$5,MATCH(A265,①簡易状況入力!$C$5:$C$104,0)-1,7)</f>
        <v>0</v>
      </c>
      <c r="Y268" s="149">
        <f ca="1">OFFSET(①簡易状況入力!$C$5,MATCH(A265,①簡易状況入力!$C$5:$C$104,0)-1,13)</f>
        <v>0</v>
      </c>
      <c r="Z268" s="167">
        <f ca="1">OFFSET(①簡易状況入力!$C$5,MATCH(A265,①簡易状況入力!$C$5:$C$104,0)-1,14)</f>
        <v>0</v>
      </c>
      <c r="AA268" s="168"/>
      <c r="AB268" s="148" t="s">
        <v>51</v>
      </c>
      <c r="AC268" s="56">
        <f t="shared" ref="AC268:AD268" ca="1" si="939">AC267</f>
        <v>0</v>
      </c>
      <c r="AD268" s="56">
        <f t="shared" ca="1" si="939"/>
        <v>0</v>
      </c>
      <c r="AE268" s="63">
        <f ca="1">IF($C268="あり",IF(AC268&gt;=1,G268/AQ268,0),IF(AC268&gt;=1,AO268*AC268,0))</f>
        <v>0</v>
      </c>
      <c r="AF268" s="63">
        <f t="shared" ca="1" si="930"/>
        <v>0</v>
      </c>
      <c r="AG268" s="63">
        <f t="shared" ca="1" si="931"/>
        <v>0</v>
      </c>
      <c r="AH268" s="63">
        <f t="shared" ca="1" si="932"/>
        <v>0</v>
      </c>
      <c r="AI268" s="63">
        <f t="shared" ca="1" si="933"/>
        <v>0</v>
      </c>
      <c r="AJ268" s="63">
        <f t="shared" ca="1" si="934"/>
        <v>0</v>
      </c>
      <c r="AK268" s="63">
        <f t="shared" ca="1" si="935"/>
        <v>0</v>
      </c>
      <c r="AL268" s="63">
        <f ca="1">IF($C268="あり",IF($AD268&gt;=7,N268/$AQ268,0),IF($AD268&gt;=7,$AO268*($AD268-6),0))</f>
        <v>0</v>
      </c>
      <c r="AM268" s="65">
        <f ca="1">IF(C268="あり",O268/AQ268,AP268)</f>
        <v>0</v>
      </c>
      <c r="AN268" s="63">
        <f ca="1">SUM(AE268:AM268)</f>
        <v>0</v>
      </c>
      <c r="AO268" s="68" t="e">
        <f ca="1">1/(AC268+AD268)</f>
        <v>#DIV/0!</v>
      </c>
      <c r="AP268" s="67">
        <v>0</v>
      </c>
      <c r="AQ268" s="68">
        <f ca="1">IF(AC268&gt;=1,G268,0)+SUMIF($H$4:$M$4,"&lt;="&amp;AD268,$H268:$M268)+IF(AD268&gt;=7,N268,0)+O268</f>
        <v>0</v>
      </c>
    </row>
    <row r="269" spans="1:43" x14ac:dyDescent="0.15">
      <c r="G269" s="107"/>
      <c r="H269" s="107"/>
      <c r="I269" s="107"/>
      <c r="J269" s="107"/>
      <c r="K269" s="107"/>
      <c r="L269" s="107"/>
      <c r="M269" s="107"/>
      <c r="N269" s="107"/>
      <c r="O269" s="107"/>
    </row>
    <row r="270" spans="1:43" x14ac:dyDescent="0.15">
      <c r="A270" s="59" t="s">
        <v>369</v>
      </c>
      <c r="B270" s="60">
        <f ca="1">OFFSET(①簡易状況入力!$C$5,MATCH(A270,①簡易状況入力!$C$5:$C$104,0)-1,1)</f>
        <v>0</v>
      </c>
      <c r="C270" s="145">
        <f ca="1">OFFSET(①簡易状況入力!$C$5,MATCH(A270,①簡易状況入力!$C$5:$C$104,0)-1,17)</f>
        <v>0</v>
      </c>
      <c r="D270" s="148" t="s">
        <v>47</v>
      </c>
      <c r="E270" s="56">
        <f ca="1">U273</f>
        <v>0</v>
      </c>
      <c r="F270" s="56">
        <f ca="1">U272</f>
        <v>0</v>
      </c>
      <c r="G270" s="102"/>
      <c r="H270" s="103"/>
      <c r="I270" s="103"/>
      <c r="J270" s="103"/>
      <c r="K270" s="103"/>
      <c r="L270" s="103"/>
      <c r="M270" s="103"/>
      <c r="N270" s="103"/>
      <c r="O270" s="103"/>
      <c r="Q270" s="57">
        <f ca="1">OFFSET(①簡易状況入力!$C$5,MATCH(A270,①簡易状況入力!$C$5:$C$104,0)-1,15)</f>
        <v>0</v>
      </c>
      <c r="R270" s="58"/>
      <c r="S270" s="58"/>
      <c r="T270" s="58"/>
      <c r="U270" s="58"/>
      <c r="V270" s="58"/>
      <c r="W270" s="58"/>
      <c r="X270" s="58"/>
      <c r="Y270" s="58"/>
      <c r="Z270" s="58"/>
      <c r="AA270" s="58"/>
      <c r="AB270" s="148" t="s">
        <v>47</v>
      </c>
      <c r="AC270" s="56">
        <f ca="1">U273</f>
        <v>0</v>
      </c>
      <c r="AD270" s="56">
        <f ca="1">U272</f>
        <v>0</v>
      </c>
      <c r="AE270" s="62" t="s">
        <v>46</v>
      </c>
      <c r="AF270" s="62" t="str">
        <f t="shared" ref="AF270" ca="1" si="940">IF($C270="あり",IF(AF$4&lt;=$AD270,H270,"-"),IF(AF$4&lt;=$AD270,$AO270,"-"))</f>
        <v>-</v>
      </c>
      <c r="AG270" s="62" t="str">
        <f t="shared" ref="AG270" ca="1" si="941">IF($C270="あり",IF(AG$4&lt;=$AD270,I270,"-"),IF(AG$4&lt;=$AD270,$AO270,"-"))</f>
        <v>-</v>
      </c>
      <c r="AH270" s="62" t="str">
        <f t="shared" ref="AH270" ca="1" si="942">IF($C270="あり",IF(AH$4&lt;=$AD270,J270,"-"),IF(AH$4&lt;=$AD270,$AO270,"-"))</f>
        <v>-</v>
      </c>
      <c r="AI270" s="62" t="str">
        <f t="shared" ref="AI270" ca="1" si="943">IF($C270="あり",IF(AI$4&lt;=$AD270,K270,"-"),IF(AI$4&lt;=$AD270,$AO270,"-"))</f>
        <v>-</v>
      </c>
      <c r="AJ270" s="62" t="str">
        <f t="shared" ref="AJ270" ca="1" si="944">IF($C270="あり",IF(AJ$4&lt;=$AD270,L270,"-"),IF(AJ$4&lt;=$AD270,$AO270,"-"))</f>
        <v>-</v>
      </c>
      <c r="AK270" s="62" t="str">
        <f t="shared" ref="AK270" ca="1" si="945">IF($C270="あり",IF(AK$4&lt;=$AD270,M270,"-"),IF(AK$4&lt;=$AD270,$AO270,"-"))</f>
        <v>-</v>
      </c>
      <c r="AL270" s="62" t="str">
        <f ca="1">IF($C270="あり",IF(7&lt;=$AD270,N270,"-"),IF(7&lt;=$AD270,$AO270*($AD270-6),"-"))</f>
        <v>-</v>
      </c>
      <c r="AM270" s="62">
        <f ca="1">IF(C270="あり",O270,AP270)</f>
        <v>0</v>
      </c>
      <c r="AN270" s="62">
        <f ca="1">SUM(U271,AF270:AM270)</f>
        <v>0</v>
      </c>
      <c r="AO270" s="42">
        <f ca="1">OFFSET(【DB】被害率係数!$A$4,MATCH(②詳細状況入力!$Y271,【DB】被害率係数!$A$4:$A$19,0)-1,16)</f>
        <v>0</v>
      </c>
      <c r="AP270" s="42">
        <f ca="1">OFFSET(【DB】被害率係数!$A$4,MATCH(②詳細状況入力!$Y271,【DB】被害率係数!$A$4:$A$19,0)-1,17)</f>
        <v>0</v>
      </c>
      <c r="AQ270" s="42"/>
    </row>
    <row r="271" spans="1:43" x14ac:dyDescent="0.15">
      <c r="A271" s="50"/>
      <c r="B271" s="50"/>
      <c r="C271" s="145">
        <f ca="1">OFFSET(①簡易状況入力!$C$5,MATCH(A270,①簡易状況入力!$C$5:$C$104,0)-1,18)</f>
        <v>0</v>
      </c>
      <c r="D271" s="148" t="s">
        <v>52</v>
      </c>
      <c r="E271" s="56">
        <f t="shared" ref="E271:F271" ca="1" si="946">E270</f>
        <v>0</v>
      </c>
      <c r="F271" s="56">
        <f t="shared" ca="1" si="946"/>
        <v>0</v>
      </c>
      <c r="G271" s="104"/>
      <c r="H271" s="104"/>
      <c r="I271" s="104"/>
      <c r="J271" s="104"/>
      <c r="K271" s="104"/>
      <c r="L271" s="104"/>
      <c r="M271" s="104"/>
      <c r="N271" s="104"/>
      <c r="O271" s="105"/>
      <c r="Q271" s="57">
        <f ca="1">OFFSET(①簡易状況入力!$C$5,MATCH(A270,①簡易状況入力!$C$5:$C$104,0)-1,16)</f>
        <v>0</v>
      </c>
      <c r="R271" s="58"/>
      <c r="S271" s="146" t="s">
        <v>115</v>
      </c>
      <c r="T271" s="146" t="s">
        <v>116</v>
      </c>
      <c r="U271" s="36">
        <f ca="1">OFFSET(①簡易状況入力!$C$5,MATCH(A270,①簡易状況入力!$C$5:$C$104,0)-1,4)</f>
        <v>0</v>
      </c>
      <c r="V271" s="58"/>
      <c r="W271" s="146" t="s">
        <v>30</v>
      </c>
      <c r="X271" s="37">
        <f ca="1">OFFSET(①簡易状況入力!$C$5,MATCH(A270,①簡易状況入力!$C$5:$C$104,0)-1,5)</f>
        <v>0</v>
      </c>
      <c r="Y271" s="149">
        <f ca="1">OFFSET(①簡易状況入力!$C$5,MATCH(A270,①簡易状況入力!$C$5:$C$104,0)-1,8)</f>
        <v>0</v>
      </c>
      <c r="Z271" s="149">
        <f ca="1">OFFSET(①簡易状況入力!$C$5,MATCH(A270,①簡易状況入力!$C$5:$C$104,0)-1,9)</f>
        <v>0</v>
      </c>
      <c r="AA271" s="149">
        <f ca="1">OFFSET(①簡易状況入力!$C$5,MATCH(A270,①簡易状況入力!$C$5:$C$104,0)-1,10)</f>
        <v>0</v>
      </c>
      <c r="AB271" s="148" t="s">
        <v>52</v>
      </c>
      <c r="AC271" s="56">
        <f t="shared" ref="AC271:AD271" ca="1" si="947">AC270</f>
        <v>0</v>
      </c>
      <c r="AD271" s="56">
        <f t="shared" ca="1" si="947"/>
        <v>0</v>
      </c>
      <c r="AE271" s="63">
        <f ca="1">IF($C271="あり",IF(AC271&gt;=1,G271/AQ271,0),IF(AC271&gt;=1,AO271*AC271,0))</f>
        <v>0</v>
      </c>
      <c r="AF271" s="63">
        <f t="shared" ref="AF271:AF273" ca="1" si="948">IF($C271="あり",IF($AD271&gt;=AF$4,H271/$AQ271,0),IF($AD271&gt;=AF$4,$AO271,0))</f>
        <v>0</v>
      </c>
      <c r="AG271" s="63">
        <f t="shared" ref="AG271:AG273" ca="1" si="949">IF($C271="あり",IF($AD271&gt;=AG$4,I271/$AQ271,0),IF($AD271&gt;=AG$4,$AO271,0))</f>
        <v>0</v>
      </c>
      <c r="AH271" s="63">
        <f t="shared" ref="AH271:AH273" ca="1" si="950">IF($C271="あり",IF($AD271&gt;=AH$4,J271/$AQ271,0),IF($AD271&gt;=AH$4,$AO271,0))</f>
        <v>0</v>
      </c>
      <c r="AI271" s="63">
        <f t="shared" ref="AI271:AI273" ca="1" si="951">IF($C271="あり",IF($AD271&gt;=AI$4,K271/$AQ271,0),IF($AD271&gt;=AI$4,$AO271,0))</f>
        <v>0</v>
      </c>
      <c r="AJ271" s="63">
        <f t="shared" ref="AJ271:AJ273" ca="1" si="952">IF($C271="あり",IF($AD271&gt;=AJ$4,L271/$AQ271,0),IF($AD271&gt;=AJ$4,$AO271,0))</f>
        <v>0</v>
      </c>
      <c r="AK271" s="63">
        <f t="shared" ref="AK271:AK273" ca="1" si="953">IF($C271="あり",IF($AD271&gt;=AK$4,M271/$AQ271,0),IF($AD271&gt;=AK$4,$AO271,0))</f>
        <v>0</v>
      </c>
      <c r="AL271" s="63">
        <f ca="1">IF($C271="あり",IF($AD271&gt;=7,N271/$AQ271,0),IF($AD271&gt;=7,$AO271*($AD271-6),0))</f>
        <v>0</v>
      </c>
      <c r="AM271" s="64" t="s">
        <v>46</v>
      </c>
      <c r="AN271" s="63">
        <f ca="1">SUM(AE271:AM271)</f>
        <v>0</v>
      </c>
      <c r="AO271" s="68" t="e">
        <f ca="1">1/(AC271+AD271)</f>
        <v>#DIV/0!</v>
      </c>
      <c r="AP271" s="67">
        <v>0</v>
      </c>
      <c r="AQ271" s="68">
        <f ca="1">IF(AC271&gt;=1,G271,0)+SUMIF($H$4:$M$4,"&lt;="&amp;AD271,$H271:$M271)+IF(AD271&gt;=7,N271,0)</f>
        <v>0</v>
      </c>
    </row>
    <row r="272" spans="1:43" x14ac:dyDescent="0.15">
      <c r="A272" s="50"/>
      <c r="B272" s="50"/>
      <c r="C272" s="145">
        <f ca="1">OFFSET(①簡易状況入力!$C$5,MATCH(A270,①簡易状況入力!$C$5:$C$104,0)-1,19)</f>
        <v>0</v>
      </c>
      <c r="D272" s="148" t="s">
        <v>50</v>
      </c>
      <c r="E272" s="56">
        <f t="shared" ref="E272" ca="1" si="954">E271</f>
        <v>0</v>
      </c>
      <c r="F272" s="56">
        <f ca="1">F271</f>
        <v>0</v>
      </c>
      <c r="G272" s="104"/>
      <c r="H272" s="104"/>
      <c r="I272" s="104"/>
      <c r="J272" s="104"/>
      <c r="K272" s="104"/>
      <c r="L272" s="104"/>
      <c r="M272" s="104"/>
      <c r="N272" s="104"/>
      <c r="O272" s="106"/>
      <c r="Q272" s="50"/>
      <c r="R272" s="58"/>
      <c r="S272" s="165" t="s">
        <v>28</v>
      </c>
      <c r="T272" s="146" t="s">
        <v>35</v>
      </c>
      <c r="U272" s="35">
        <f ca="1">OFFSET(①簡易状況入力!$C$5,MATCH(A270,①簡易状況入力!$C$5:$C$104,0)-1,2)</f>
        <v>0</v>
      </c>
      <c r="V272" s="58"/>
      <c r="W272" s="146" t="s">
        <v>33</v>
      </c>
      <c r="X272" s="37">
        <f ca="1">OFFSET(①簡易状況入力!$C$5,MATCH(A270,①簡易状況入力!$C$5:$C$104,0)-1,6)</f>
        <v>0</v>
      </c>
      <c r="Y272" s="149">
        <f ca="1">OFFSET(①簡易状況入力!$C$5,MATCH(A270,①簡易状況入力!$C$5:$C$104,0)-1,11)</f>
        <v>0</v>
      </c>
      <c r="Z272" s="167">
        <f ca="1">OFFSET(①簡易状況入力!$C$5,MATCH(A270,①簡易状況入力!$C$5:$C$104,0)-1,12)</f>
        <v>0</v>
      </c>
      <c r="AA272" s="168"/>
      <c r="AB272" s="148" t="s">
        <v>50</v>
      </c>
      <c r="AC272" s="56">
        <f t="shared" ref="AC272:AD272" ca="1" si="955">AC271</f>
        <v>0</v>
      </c>
      <c r="AD272" s="56">
        <f t="shared" ca="1" si="955"/>
        <v>0</v>
      </c>
      <c r="AE272" s="63">
        <f ca="1">IF($C272="あり",IF(AC272&gt;=1,G272/AQ272,0),IF(AC272&gt;=1,AO272*AC272,0))</f>
        <v>0</v>
      </c>
      <c r="AF272" s="63">
        <f t="shared" ca="1" si="948"/>
        <v>0</v>
      </c>
      <c r="AG272" s="63">
        <f t="shared" ca="1" si="949"/>
        <v>0</v>
      </c>
      <c r="AH272" s="63">
        <f t="shared" ca="1" si="950"/>
        <v>0</v>
      </c>
      <c r="AI272" s="63">
        <f t="shared" ca="1" si="951"/>
        <v>0</v>
      </c>
      <c r="AJ272" s="63">
        <f t="shared" ca="1" si="952"/>
        <v>0</v>
      </c>
      <c r="AK272" s="63">
        <f t="shared" ca="1" si="953"/>
        <v>0</v>
      </c>
      <c r="AL272" s="63">
        <f ca="1">IF($C272="あり",IF($AD272&gt;=7,N272/$AQ272,0),IF($AD272&gt;=7,$AO272*($AD272-6),0))</f>
        <v>0</v>
      </c>
      <c r="AM272" s="65">
        <f ca="1">IF(C272="あり",O272/AQ272,AP272)</f>
        <v>0</v>
      </c>
      <c r="AN272" s="63">
        <f ca="1">SUM(AE272:AM272)</f>
        <v>0</v>
      </c>
      <c r="AO272" s="68" t="e">
        <f ca="1">1/(AC272+AD272)</f>
        <v>#DIV/0!</v>
      </c>
      <c r="AP272" s="67">
        <v>0</v>
      </c>
      <c r="AQ272" s="68">
        <f ca="1">IF(AC272&gt;=1,G272,0)+SUMIF($H$4:$M$4,"&lt;="&amp;AD272,$H272:$M272)+IF(AD272&gt;=7,N272,0)+O272</f>
        <v>0</v>
      </c>
    </row>
    <row r="273" spans="1:43" x14ac:dyDescent="0.15">
      <c r="A273" s="50"/>
      <c r="B273" s="50"/>
      <c r="C273" s="145">
        <f ca="1">OFFSET(①簡易状況入力!$C$5,MATCH(A270,①簡易状況入力!$C$5:$C$104,0)-1,20)</f>
        <v>0</v>
      </c>
      <c r="D273" s="148" t="s">
        <v>51</v>
      </c>
      <c r="E273" s="56">
        <f t="shared" ref="E273:F273" ca="1" si="956">E272</f>
        <v>0</v>
      </c>
      <c r="F273" s="56">
        <f t="shared" ca="1" si="956"/>
        <v>0</v>
      </c>
      <c r="G273" s="104"/>
      <c r="H273" s="104"/>
      <c r="I273" s="104"/>
      <c r="J273" s="104"/>
      <c r="K273" s="104"/>
      <c r="L273" s="104"/>
      <c r="M273" s="104"/>
      <c r="N273" s="104"/>
      <c r="O273" s="106"/>
      <c r="Q273" s="50"/>
      <c r="R273" s="58"/>
      <c r="S273" s="166"/>
      <c r="T273" s="146" t="s">
        <v>34</v>
      </c>
      <c r="U273" s="35">
        <f ca="1">OFFSET(①簡易状況入力!$C$5,MATCH(A270,①簡易状況入力!$C$5:$C$104,0)-1,3)</f>
        <v>0</v>
      </c>
      <c r="V273" s="58"/>
      <c r="W273" s="146" t="s">
        <v>118</v>
      </c>
      <c r="X273" s="37">
        <f ca="1">OFFSET(①簡易状況入力!$C$5,MATCH(A270,①簡易状況入力!$C$5:$C$104,0)-1,7)</f>
        <v>0</v>
      </c>
      <c r="Y273" s="149">
        <f ca="1">OFFSET(①簡易状況入力!$C$5,MATCH(A270,①簡易状況入力!$C$5:$C$104,0)-1,13)</f>
        <v>0</v>
      </c>
      <c r="Z273" s="167">
        <f ca="1">OFFSET(①簡易状況入力!$C$5,MATCH(A270,①簡易状況入力!$C$5:$C$104,0)-1,14)</f>
        <v>0</v>
      </c>
      <c r="AA273" s="168"/>
      <c r="AB273" s="148" t="s">
        <v>51</v>
      </c>
      <c r="AC273" s="56">
        <f t="shared" ref="AC273:AD273" ca="1" si="957">AC272</f>
        <v>0</v>
      </c>
      <c r="AD273" s="56">
        <f t="shared" ca="1" si="957"/>
        <v>0</v>
      </c>
      <c r="AE273" s="63">
        <f ca="1">IF($C273="あり",IF(AC273&gt;=1,G273/AQ273,0),IF(AC273&gt;=1,AO273*AC273,0))</f>
        <v>0</v>
      </c>
      <c r="AF273" s="63">
        <f t="shared" ca="1" si="948"/>
        <v>0</v>
      </c>
      <c r="AG273" s="63">
        <f t="shared" ca="1" si="949"/>
        <v>0</v>
      </c>
      <c r="AH273" s="63">
        <f t="shared" ca="1" si="950"/>
        <v>0</v>
      </c>
      <c r="AI273" s="63">
        <f t="shared" ca="1" si="951"/>
        <v>0</v>
      </c>
      <c r="AJ273" s="63">
        <f t="shared" ca="1" si="952"/>
        <v>0</v>
      </c>
      <c r="AK273" s="63">
        <f t="shared" ca="1" si="953"/>
        <v>0</v>
      </c>
      <c r="AL273" s="63">
        <f ca="1">IF($C273="あり",IF($AD273&gt;=7,N273/$AQ273,0),IF($AD273&gt;=7,$AO273*($AD273-6),0))</f>
        <v>0</v>
      </c>
      <c r="AM273" s="65">
        <f ca="1">IF(C273="あり",O273/AQ273,AP273)</f>
        <v>0</v>
      </c>
      <c r="AN273" s="63">
        <f ca="1">SUM(AE273:AM273)</f>
        <v>0</v>
      </c>
      <c r="AO273" s="68" t="e">
        <f ca="1">1/(AC273+AD273)</f>
        <v>#DIV/0!</v>
      </c>
      <c r="AP273" s="67">
        <v>0</v>
      </c>
      <c r="AQ273" s="68">
        <f ca="1">IF(AC273&gt;=1,G273,0)+SUMIF($H$4:$M$4,"&lt;="&amp;AD273,$H273:$M273)+IF(AD273&gt;=7,N273,0)+O273</f>
        <v>0</v>
      </c>
    </row>
    <row r="274" spans="1:43" x14ac:dyDescent="0.15">
      <c r="G274" s="107"/>
      <c r="H274" s="107"/>
      <c r="I274" s="107"/>
      <c r="J274" s="107"/>
      <c r="K274" s="107"/>
      <c r="L274" s="107"/>
      <c r="M274" s="107"/>
      <c r="N274" s="107"/>
      <c r="O274" s="107"/>
    </row>
    <row r="275" spans="1:43" x14ac:dyDescent="0.15">
      <c r="A275" s="59" t="s">
        <v>370</v>
      </c>
      <c r="B275" s="60">
        <f ca="1">OFFSET(①簡易状況入力!$C$5,MATCH(A275,①簡易状況入力!$C$5:$C$104,0)-1,1)</f>
        <v>0</v>
      </c>
      <c r="C275" s="145">
        <f ca="1">OFFSET(①簡易状況入力!$C$5,MATCH(A275,①簡易状況入力!$C$5:$C$104,0)-1,17)</f>
        <v>0</v>
      </c>
      <c r="D275" s="148" t="s">
        <v>47</v>
      </c>
      <c r="E275" s="56">
        <f ca="1">U278</f>
        <v>0</v>
      </c>
      <c r="F275" s="56">
        <f ca="1">U277</f>
        <v>0</v>
      </c>
      <c r="G275" s="102"/>
      <c r="H275" s="103"/>
      <c r="I275" s="103"/>
      <c r="J275" s="103"/>
      <c r="K275" s="103"/>
      <c r="L275" s="103"/>
      <c r="M275" s="103"/>
      <c r="N275" s="103"/>
      <c r="O275" s="103"/>
      <c r="Q275" s="57">
        <f ca="1">OFFSET(①簡易状況入力!$C$5,MATCH(A275,①簡易状況入力!$C$5:$C$104,0)-1,15)</f>
        <v>0</v>
      </c>
      <c r="R275" s="58"/>
      <c r="S275" s="58"/>
      <c r="T275" s="58"/>
      <c r="U275" s="58"/>
      <c r="V275" s="58"/>
      <c r="W275" s="58"/>
      <c r="X275" s="58"/>
      <c r="Y275" s="58"/>
      <c r="Z275" s="58"/>
      <c r="AA275" s="58"/>
      <c r="AB275" s="148" t="s">
        <v>47</v>
      </c>
      <c r="AC275" s="56">
        <f ca="1">U278</f>
        <v>0</v>
      </c>
      <c r="AD275" s="56">
        <f ca="1">U277</f>
        <v>0</v>
      </c>
      <c r="AE275" s="62" t="s">
        <v>46</v>
      </c>
      <c r="AF275" s="62" t="str">
        <f t="shared" ref="AF275" ca="1" si="958">IF($C275="あり",IF(AF$4&lt;=$AD275,H275,"-"),IF(AF$4&lt;=$AD275,$AO275,"-"))</f>
        <v>-</v>
      </c>
      <c r="AG275" s="62" t="str">
        <f t="shared" ref="AG275" ca="1" si="959">IF($C275="あり",IF(AG$4&lt;=$AD275,I275,"-"),IF(AG$4&lt;=$AD275,$AO275,"-"))</f>
        <v>-</v>
      </c>
      <c r="AH275" s="62" t="str">
        <f t="shared" ref="AH275" ca="1" si="960">IF($C275="あり",IF(AH$4&lt;=$AD275,J275,"-"),IF(AH$4&lt;=$AD275,$AO275,"-"))</f>
        <v>-</v>
      </c>
      <c r="AI275" s="62" t="str">
        <f t="shared" ref="AI275" ca="1" si="961">IF($C275="あり",IF(AI$4&lt;=$AD275,K275,"-"),IF(AI$4&lt;=$AD275,$AO275,"-"))</f>
        <v>-</v>
      </c>
      <c r="AJ275" s="62" t="str">
        <f t="shared" ref="AJ275" ca="1" si="962">IF($C275="あり",IF(AJ$4&lt;=$AD275,L275,"-"),IF(AJ$4&lt;=$AD275,$AO275,"-"))</f>
        <v>-</v>
      </c>
      <c r="AK275" s="62" t="str">
        <f t="shared" ref="AK275" ca="1" si="963">IF($C275="あり",IF(AK$4&lt;=$AD275,M275,"-"),IF(AK$4&lt;=$AD275,$AO275,"-"))</f>
        <v>-</v>
      </c>
      <c r="AL275" s="62" t="str">
        <f ca="1">IF($C275="あり",IF(7&lt;=$AD275,N275,"-"),IF(7&lt;=$AD275,$AO275*($AD275-6),"-"))</f>
        <v>-</v>
      </c>
      <c r="AM275" s="62">
        <f ca="1">IF(C275="あり",O275,AP275)</f>
        <v>0</v>
      </c>
      <c r="AN275" s="62">
        <f ca="1">SUM(U276,AF275:AM275)</f>
        <v>0</v>
      </c>
      <c r="AO275" s="42">
        <f ca="1">OFFSET(【DB】被害率係数!$A$4,MATCH(②詳細状況入力!$Y276,【DB】被害率係数!$A$4:$A$19,0)-1,16)</f>
        <v>0</v>
      </c>
      <c r="AP275" s="42">
        <f ca="1">OFFSET(【DB】被害率係数!$A$4,MATCH(②詳細状況入力!$Y276,【DB】被害率係数!$A$4:$A$19,0)-1,17)</f>
        <v>0</v>
      </c>
      <c r="AQ275" s="42"/>
    </row>
    <row r="276" spans="1:43" x14ac:dyDescent="0.15">
      <c r="A276" s="50"/>
      <c r="B276" s="50"/>
      <c r="C276" s="145">
        <f ca="1">OFFSET(①簡易状況入力!$C$5,MATCH(A275,①簡易状況入力!$C$5:$C$104,0)-1,18)</f>
        <v>0</v>
      </c>
      <c r="D276" s="148" t="s">
        <v>52</v>
      </c>
      <c r="E276" s="56">
        <f t="shared" ref="E276:F276" ca="1" si="964">E275</f>
        <v>0</v>
      </c>
      <c r="F276" s="56">
        <f t="shared" ca="1" si="964"/>
        <v>0</v>
      </c>
      <c r="G276" s="104"/>
      <c r="H276" s="104"/>
      <c r="I276" s="104"/>
      <c r="J276" s="104"/>
      <c r="K276" s="104"/>
      <c r="L276" s="104"/>
      <c r="M276" s="104"/>
      <c r="N276" s="104"/>
      <c r="O276" s="105"/>
      <c r="Q276" s="57">
        <f ca="1">OFFSET(①簡易状況入力!$C$5,MATCH(A275,①簡易状況入力!$C$5:$C$104,0)-1,16)</f>
        <v>0</v>
      </c>
      <c r="R276" s="58"/>
      <c r="S276" s="146" t="s">
        <v>115</v>
      </c>
      <c r="T276" s="146" t="s">
        <v>116</v>
      </c>
      <c r="U276" s="36">
        <f ca="1">OFFSET(①簡易状況入力!$C$5,MATCH(A275,①簡易状況入力!$C$5:$C$104,0)-1,4)</f>
        <v>0</v>
      </c>
      <c r="V276" s="58"/>
      <c r="W276" s="146" t="s">
        <v>30</v>
      </c>
      <c r="X276" s="37">
        <f ca="1">OFFSET(①簡易状況入力!$C$5,MATCH(A275,①簡易状況入力!$C$5:$C$104,0)-1,5)</f>
        <v>0</v>
      </c>
      <c r="Y276" s="149">
        <f ca="1">OFFSET(①簡易状況入力!$C$5,MATCH(A275,①簡易状況入力!$C$5:$C$104,0)-1,8)</f>
        <v>0</v>
      </c>
      <c r="Z276" s="149">
        <f ca="1">OFFSET(①簡易状況入力!$C$5,MATCH(A275,①簡易状況入力!$C$5:$C$104,0)-1,9)</f>
        <v>0</v>
      </c>
      <c r="AA276" s="149">
        <f ca="1">OFFSET(①簡易状況入力!$C$5,MATCH(A275,①簡易状況入力!$C$5:$C$104,0)-1,10)</f>
        <v>0</v>
      </c>
      <c r="AB276" s="148" t="s">
        <v>52</v>
      </c>
      <c r="AC276" s="56">
        <f t="shared" ref="AC276:AD276" ca="1" si="965">AC275</f>
        <v>0</v>
      </c>
      <c r="AD276" s="56">
        <f t="shared" ca="1" si="965"/>
        <v>0</v>
      </c>
      <c r="AE276" s="63">
        <f ca="1">IF($C276="あり",IF(AC276&gt;=1,G276/AQ276,0),IF(AC276&gt;=1,AO276*AC276,0))</f>
        <v>0</v>
      </c>
      <c r="AF276" s="63">
        <f t="shared" ref="AF276:AF278" ca="1" si="966">IF($C276="あり",IF($AD276&gt;=AF$4,H276/$AQ276,0),IF($AD276&gt;=AF$4,$AO276,0))</f>
        <v>0</v>
      </c>
      <c r="AG276" s="63">
        <f t="shared" ref="AG276:AG278" ca="1" si="967">IF($C276="あり",IF($AD276&gt;=AG$4,I276/$AQ276,0),IF($AD276&gt;=AG$4,$AO276,0))</f>
        <v>0</v>
      </c>
      <c r="AH276" s="63">
        <f t="shared" ref="AH276:AH278" ca="1" si="968">IF($C276="あり",IF($AD276&gt;=AH$4,J276/$AQ276,0),IF($AD276&gt;=AH$4,$AO276,0))</f>
        <v>0</v>
      </c>
      <c r="AI276" s="63">
        <f t="shared" ref="AI276:AI278" ca="1" si="969">IF($C276="あり",IF($AD276&gt;=AI$4,K276/$AQ276,0),IF($AD276&gt;=AI$4,$AO276,0))</f>
        <v>0</v>
      </c>
      <c r="AJ276" s="63">
        <f t="shared" ref="AJ276:AJ278" ca="1" si="970">IF($C276="あり",IF($AD276&gt;=AJ$4,L276/$AQ276,0),IF($AD276&gt;=AJ$4,$AO276,0))</f>
        <v>0</v>
      </c>
      <c r="AK276" s="63">
        <f t="shared" ref="AK276:AK278" ca="1" si="971">IF($C276="あり",IF($AD276&gt;=AK$4,M276/$AQ276,0),IF($AD276&gt;=AK$4,$AO276,0))</f>
        <v>0</v>
      </c>
      <c r="AL276" s="63">
        <f ca="1">IF($C276="あり",IF($AD276&gt;=7,N276/$AQ276,0),IF($AD276&gt;=7,$AO276*($AD276-6),0))</f>
        <v>0</v>
      </c>
      <c r="AM276" s="64" t="s">
        <v>46</v>
      </c>
      <c r="AN276" s="63">
        <f ca="1">SUM(AE276:AM276)</f>
        <v>0</v>
      </c>
      <c r="AO276" s="68" t="e">
        <f ca="1">1/(AC276+AD276)</f>
        <v>#DIV/0!</v>
      </c>
      <c r="AP276" s="67">
        <v>0</v>
      </c>
      <c r="AQ276" s="68">
        <f ca="1">IF(AC276&gt;=1,G276,0)+SUMIF($H$4:$M$4,"&lt;="&amp;AD276,$H276:$M276)+IF(AD276&gt;=7,N276,0)</f>
        <v>0</v>
      </c>
    </row>
    <row r="277" spans="1:43" x14ac:dyDescent="0.15">
      <c r="A277" s="50"/>
      <c r="B277" s="50"/>
      <c r="C277" s="145">
        <f ca="1">OFFSET(①簡易状況入力!$C$5,MATCH(A275,①簡易状況入力!$C$5:$C$104,0)-1,19)</f>
        <v>0</v>
      </c>
      <c r="D277" s="148" t="s">
        <v>50</v>
      </c>
      <c r="E277" s="56">
        <f t="shared" ref="E277" ca="1" si="972">E276</f>
        <v>0</v>
      </c>
      <c r="F277" s="56">
        <f ca="1">F276</f>
        <v>0</v>
      </c>
      <c r="G277" s="104"/>
      <c r="H277" s="104"/>
      <c r="I277" s="104"/>
      <c r="J277" s="104"/>
      <c r="K277" s="104"/>
      <c r="L277" s="104"/>
      <c r="M277" s="104"/>
      <c r="N277" s="104"/>
      <c r="O277" s="106"/>
      <c r="Q277" s="50"/>
      <c r="R277" s="58"/>
      <c r="S277" s="165" t="s">
        <v>28</v>
      </c>
      <c r="T277" s="146" t="s">
        <v>35</v>
      </c>
      <c r="U277" s="35">
        <f ca="1">OFFSET(①簡易状況入力!$C$5,MATCH(A275,①簡易状況入力!$C$5:$C$104,0)-1,2)</f>
        <v>0</v>
      </c>
      <c r="V277" s="58"/>
      <c r="W277" s="146" t="s">
        <v>33</v>
      </c>
      <c r="X277" s="37">
        <f ca="1">OFFSET(①簡易状況入力!$C$5,MATCH(A275,①簡易状況入力!$C$5:$C$104,0)-1,6)</f>
        <v>0</v>
      </c>
      <c r="Y277" s="149">
        <f ca="1">OFFSET(①簡易状況入力!$C$5,MATCH(A275,①簡易状況入力!$C$5:$C$104,0)-1,11)</f>
        <v>0</v>
      </c>
      <c r="Z277" s="167">
        <f ca="1">OFFSET(①簡易状況入力!$C$5,MATCH(A275,①簡易状況入力!$C$5:$C$104,0)-1,12)</f>
        <v>0</v>
      </c>
      <c r="AA277" s="168"/>
      <c r="AB277" s="148" t="s">
        <v>50</v>
      </c>
      <c r="AC277" s="56">
        <f t="shared" ref="AC277:AD277" ca="1" si="973">AC276</f>
        <v>0</v>
      </c>
      <c r="AD277" s="56">
        <f t="shared" ca="1" si="973"/>
        <v>0</v>
      </c>
      <c r="AE277" s="63">
        <f ca="1">IF($C277="あり",IF(AC277&gt;=1,G277/AQ277,0),IF(AC277&gt;=1,AO277*AC277,0))</f>
        <v>0</v>
      </c>
      <c r="AF277" s="63">
        <f t="shared" ca="1" si="966"/>
        <v>0</v>
      </c>
      <c r="AG277" s="63">
        <f t="shared" ca="1" si="967"/>
        <v>0</v>
      </c>
      <c r="AH277" s="63">
        <f t="shared" ca="1" si="968"/>
        <v>0</v>
      </c>
      <c r="AI277" s="63">
        <f t="shared" ca="1" si="969"/>
        <v>0</v>
      </c>
      <c r="AJ277" s="63">
        <f t="shared" ca="1" si="970"/>
        <v>0</v>
      </c>
      <c r="AK277" s="63">
        <f t="shared" ca="1" si="971"/>
        <v>0</v>
      </c>
      <c r="AL277" s="63">
        <f ca="1">IF($C277="あり",IF($AD277&gt;=7,N277/$AQ277,0),IF($AD277&gt;=7,$AO277*($AD277-6),0))</f>
        <v>0</v>
      </c>
      <c r="AM277" s="65">
        <f ca="1">IF(C277="あり",O277/AQ277,AP277)</f>
        <v>0</v>
      </c>
      <c r="AN277" s="63">
        <f ca="1">SUM(AE277:AM277)</f>
        <v>0</v>
      </c>
      <c r="AO277" s="68" t="e">
        <f ca="1">1/(AC277+AD277)</f>
        <v>#DIV/0!</v>
      </c>
      <c r="AP277" s="67">
        <v>0</v>
      </c>
      <c r="AQ277" s="68">
        <f ca="1">IF(AC277&gt;=1,G277,0)+SUMIF($H$4:$M$4,"&lt;="&amp;AD277,$H277:$M277)+IF(AD277&gt;=7,N277,0)+O277</f>
        <v>0</v>
      </c>
    </row>
    <row r="278" spans="1:43" x14ac:dyDescent="0.15">
      <c r="A278" s="50"/>
      <c r="B278" s="50"/>
      <c r="C278" s="145">
        <f ca="1">OFFSET(①簡易状況入力!$C$5,MATCH(A275,①簡易状況入力!$C$5:$C$104,0)-1,20)</f>
        <v>0</v>
      </c>
      <c r="D278" s="148" t="s">
        <v>51</v>
      </c>
      <c r="E278" s="56">
        <f t="shared" ref="E278:F278" ca="1" si="974">E277</f>
        <v>0</v>
      </c>
      <c r="F278" s="56">
        <f t="shared" ca="1" si="974"/>
        <v>0</v>
      </c>
      <c r="G278" s="104"/>
      <c r="H278" s="104"/>
      <c r="I278" s="104"/>
      <c r="J278" s="104"/>
      <c r="K278" s="104"/>
      <c r="L278" s="104"/>
      <c r="M278" s="104"/>
      <c r="N278" s="104"/>
      <c r="O278" s="106"/>
      <c r="Q278" s="50"/>
      <c r="R278" s="58"/>
      <c r="S278" s="166"/>
      <c r="T278" s="146" t="s">
        <v>34</v>
      </c>
      <c r="U278" s="35">
        <f ca="1">OFFSET(①簡易状況入力!$C$5,MATCH(A275,①簡易状況入力!$C$5:$C$104,0)-1,3)</f>
        <v>0</v>
      </c>
      <c r="V278" s="58"/>
      <c r="W278" s="146" t="s">
        <v>118</v>
      </c>
      <c r="X278" s="37">
        <f ca="1">OFFSET(①簡易状況入力!$C$5,MATCH(A275,①簡易状況入力!$C$5:$C$104,0)-1,7)</f>
        <v>0</v>
      </c>
      <c r="Y278" s="149">
        <f ca="1">OFFSET(①簡易状況入力!$C$5,MATCH(A275,①簡易状況入力!$C$5:$C$104,0)-1,13)</f>
        <v>0</v>
      </c>
      <c r="Z278" s="167">
        <f ca="1">OFFSET(①簡易状況入力!$C$5,MATCH(A275,①簡易状況入力!$C$5:$C$104,0)-1,14)</f>
        <v>0</v>
      </c>
      <c r="AA278" s="168"/>
      <c r="AB278" s="148" t="s">
        <v>51</v>
      </c>
      <c r="AC278" s="56">
        <f t="shared" ref="AC278:AD278" ca="1" si="975">AC277</f>
        <v>0</v>
      </c>
      <c r="AD278" s="56">
        <f t="shared" ca="1" si="975"/>
        <v>0</v>
      </c>
      <c r="AE278" s="63">
        <f ca="1">IF($C278="あり",IF(AC278&gt;=1,G278/AQ278,0),IF(AC278&gt;=1,AO278*AC278,0))</f>
        <v>0</v>
      </c>
      <c r="AF278" s="63">
        <f t="shared" ca="1" si="966"/>
        <v>0</v>
      </c>
      <c r="AG278" s="63">
        <f t="shared" ca="1" si="967"/>
        <v>0</v>
      </c>
      <c r="AH278" s="63">
        <f t="shared" ca="1" si="968"/>
        <v>0</v>
      </c>
      <c r="AI278" s="63">
        <f t="shared" ca="1" si="969"/>
        <v>0</v>
      </c>
      <c r="AJ278" s="63">
        <f t="shared" ca="1" si="970"/>
        <v>0</v>
      </c>
      <c r="AK278" s="63">
        <f t="shared" ca="1" si="971"/>
        <v>0</v>
      </c>
      <c r="AL278" s="63">
        <f ca="1">IF($C278="あり",IF($AD278&gt;=7,N278/$AQ278,0),IF($AD278&gt;=7,$AO278*($AD278-6),0))</f>
        <v>0</v>
      </c>
      <c r="AM278" s="65">
        <f ca="1">IF(C278="あり",O278/AQ278,AP278)</f>
        <v>0</v>
      </c>
      <c r="AN278" s="63">
        <f ca="1">SUM(AE278:AM278)</f>
        <v>0</v>
      </c>
      <c r="AO278" s="68" t="e">
        <f ca="1">1/(AC278+AD278)</f>
        <v>#DIV/0!</v>
      </c>
      <c r="AP278" s="67">
        <v>0</v>
      </c>
      <c r="AQ278" s="68">
        <f ca="1">IF(AC278&gt;=1,G278,0)+SUMIF($H$4:$M$4,"&lt;="&amp;AD278,$H278:$M278)+IF(AD278&gt;=7,N278,0)+O278</f>
        <v>0</v>
      </c>
    </row>
    <row r="279" spans="1:43" x14ac:dyDescent="0.15">
      <c r="G279" s="107"/>
      <c r="H279" s="107"/>
      <c r="I279" s="107"/>
      <c r="J279" s="107"/>
      <c r="K279" s="107"/>
      <c r="L279" s="107"/>
      <c r="M279" s="107"/>
      <c r="N279" s="107"/>
      <c r="O279" s="107"/>
    </row>
    <row r="280" spans="1:43" x14ac:dyDescent="0.15">
      <c r="A280" s="59" t="s">
        <v>371</v>
      </c>
      <c r="B280" s="60">
        <f ca="1">OFFSET(①簡易状況入力!$C$5,MATCH(A280,①簡易状況入力!$C$5:$C$104,0)-1,1)</f>
        <v>0</v>
      </c>
      <c r="C280" s="145">
        <f ca="1">OFFSET(①簡易状況入力!$C$5,MATCH(A280,①簡易状況入力!$C$5:$C$104,0)-1,17)</f>
        <v>0</v>
      </c>
      <c r="D280" s="148" t="s">
        <v>47</v>
      </c>
      <c r="E280" s="56">
        <f ca="1">U283</f>
        <v>0</v>
      </c>
      <c r="F280" s="56">
        <f ca="1">U282</f>
        <v>0</v>
      </c>
      <c r="G280" s="102"/>
      <c r="H280" s="103"/>
      <c r="I280" s="103"/>
      <c r="J280" s="103"/>
      <c r="K280" s="103"/>
      <c r="L280" s="103"/>
      <c r="M280" s="103"/>
      <c r="N280" s="103"/>
      <c r="O280" s="103"/>
      <c r="Q280" s="57">
        <f ca="1">OFFSET(①簡易状況入力!$C$5,MATCH(A280,①簡易状況入力!$C$5:$C$104,0)-1,15)</f>
        <v>0</v>
      </c>
      <c r="R280" s="58"/>
      <c r="S280" s="58"/>
      <c r="T280" s="58"/>
      <c r="U280" s="58"/>
      <c r="V280" s="58"/>
      <c r="W280" s="58"/>
      <c r="X280" s="58"/>
      <c r="Y280" s="58"/>
      <c r="Z280" s="58"/>
      <c r="AA280" s="58"/>
      <c r="AB280" s="148" t="s">
        <v>47</v>
      </c>
      <c r="AC280" s="56">
        <f ca="1">U283</f>
        <v>0</v>
      </c>
      <c r="AD280" s="56">
        <f ca="1">U282</f>
        <v>0</v>
      </c>
      <c r="AE280" s="62" t="s">
        <v>46</v>
      </c>
      <c r="AF280" s="62" t="str">
        <f t="shared" ref="AF280" ca="1" si="976">IF($C280="あり",IF(AF$4&lt;=$AD280,H280,"-"),IF(AF$4&lt;=$AD280,$AO280,"-"))</f>
        <v>-</v>
      </c>
      <c r="AG280" s="62" t="str">
        <f t="shared" ref="AG280" ca="1" si="977">IF($C280="あり",IF(AG$4&lt;=$AD280,I280,"-"),IF(AG$4&lt;=$AD280,$AO280,"-"))</f>
        <v>-</v>
      </c>
      <c r="AH280" s="62" t="str">
        <f t="shared" ref="AH280" ca="1" si="978">IF($C280="あり",IF(AH$4&lt;=$AD280,J280,"-"),IF(AH$4&lt;=$AD280,$AO280,"-"))</f>
        <v>-</v>
      </c>
      <c r="AI280" s="62" t="str">
        <f t="shared" ref="AI280" ca="1" si="979">IF($C280="あり",IF(AI$4&lt;=$AD280,K280,"-"),IF(AI$4&lt;=$AD280,$AO280,"-"))</f>
        <v>-</v>
      </c>
      <c r="AJ280" s="62" t="str">
        <f t="shared" ref="AJ280" ca="1" si="980">IF($C280="あり",IF(AJ$4&lt;=$AD280,L280,"-"),IF(AJ$4&lt;=$AD280,$AO280,"-"))</f>
        <v>-</v>
      </c>
      <c r="AK280" s="62" t="str">
        <f t="shared" ref="AK280" ca="1" si="981">IF($C280="あり",IF(AK$4&lt;=$AD280,M280,"-"),IF(AK$4&lt;=$AD280,$AO280,"-"))</f>
        <v>-</v>
      </c>
      <c r="AL280" s="62" t="str">
        <f ca="1">IF($C280="あり",IF(7&lt;=$AD280,N280,"-"),IF(7&lt;=$AD280,$AO280*($AD280-6),"-"))</f>
        <v>-</v>
      </c>
      <c r="AM280" s="62">
        <f ca="1">IF(C280="あり",O280,AP280)</f>
        <v>0</v>
      </c>
      <c r="AN280" s="62">
        <f ca="1">SUM(U281,AF280:AM280)</f>
        <v>0</v>
      </c>
      <c r="AO280" s="42">
        <f ca="1">OFFSET(【DB】被害率係数!$A$4,MATCH(②詳細状況入力!$Y281,【DB】被害率係数!$A$4:$A$19,0)-1,16)</f>
        <v>0</v>
      </c>
      <c r="AP280" s="42">
        <f ca="1">OFFSET(【DB】被害率係数!$A$4,MATCH(②詳細状況入力!$Y281,【DB】被害率係数!$A$4:$A$19,0)-1,17)</f>
        <v>0</v>
      </c>
      <c r="AQ280" s="42"/>
    </row>
    <row r="281" spans="1:43" x14ac:dyDescent="0.15">
      <c r="A281" s="50"/>
      <c r="B281" s="50"/>
      <c r="C281" s="145">
        <f ca="1">OFFSET(①簡易状況入力!$C$5,MATCH(A280,①簡易状況入力!$C$5:$C$104,0)-1,18)</f>
        <v>0</v>
      </c>
      <c r="D281" s="148" t="s">
        <v>52</v>
      </c>
      <c r="E281" s="56">
        <f t="shared" ref="E281:F281" ca="1" si="982">E280</f>
        <v>0</v>
      </c>
      <c r="F281" s="56">
        <f t="shared" ca="1" si="982"/>
        <v>0</v>
      </c>
      <c r="G281" s="104"/>
      <c r="H281" s="104"/>
      <c r="I281" s="104"/>
      <c r="J281" s="104"/>
      <c r="K281" s="104"/>
      <c r="L281" s="104"/>
      <c r="M281" s="104"/>
      <c r="N281" s="104"/>
      <c r="O281" s="105"/>
      <c r="Q281" s="57">
        <f ca="1">OFFSET(①簡易状況入力!$C$5,MATCH(A280,①簡易状況入力!$C$5:$C$104,0)-1,16)</f>
        <v>0</v>
      </c>
      <c r="R281" s="58"/>
      <c r="S281" s="146" t="s">
        <v>115</v>
      </c>
      <c r="T281" s="146" t="s">
        <v>116</v>
      </c>
      <c r="U281" s="36">
        <f ca="1">OFFSET(①簡易状況入力!$C$5,MATCH(A280,①簡易状況入力!$C$5:$C$104,0)-1,4)</f>
        <v>0</v>
      </c>
      <c r="V281" s="58"/>
      <c r="W281" s="146" t="s">
        <v>30</v>
      </c>
      <c r="X281" s="37">
        <f ca="1">OFFSET(①簡易状況入力!$C$5,MATCH(A280,①簡易状況入力!$C$5:$C$104,0)-1,5)</f>
        <v>0</v>
      </c>
      <c r="Y281" s="149">
        <f ca="1">OFFSET(①簡易状況入力!$C$5,MATCH(A280,①簡易状況入力!$C$5:$C$104,0)-1,8)</f>
        <v>0</v>
      </c>
      <c r="Z281" s="149">
        <f ca="1">OFFSET(①簡易状況入力!$C$5,MATCH(A280,①簡易状況入力!$C$5:$C$104,0)-1,9)</f>
        <v>0</v>
      </c>
      <c r="AA281" s="149">
        <f ca="1">OFFSET(①簡易状況入力!$C$5,MATCH(A280,①簡易状況入力!$C$5:$C$104,0)-1,10)</f>
        <v>0</v>
      </c>
      <c r="AB281" s="148" t="s">
        <v>52</v>
      </c>
      <c r="AC281" s="56">
        <f t="shared" ref="AC281:AD281" ca="1" si="983">AC280</f>
        <v>0</v>
      </c>
      <c r="AD281" s="56">
        <f t="shared" ca="1" si="983"/>
        <v>0</v>
      </c>
      <c r="AE281" s="63">
        <f ca="1">IF($C281="あり",IF(AC281&gt;=1,G281/AQ281,0),IF(AC281&gt;=1,AO281*AC281,0))</f>
        <v>0</v>
      </c>
      <c r="AF281" s="63">
        <f t="shared" ref="AF281:AF283" ca="1" si="984">IF($C281="あり",IF($AD281&gt;=AF$4,H281/$AQ281,0),IF($AD281&gt;=AF$4,$AO281,0))</f>
        <v>0</v>
      </c>
      <c r="AG281" s="63">
        <f t="shared" ref="AG281:AG283" ca="1" si="985">IF($C281="あり",IF($AD281&gt;=AG$4,I281/$AQ281,0),IF($AD281&gt;=AG$4,$AO281,0))</f>
        <v>0</v>
      </c>
      <c r="AH281" s="63">
        <f t="shared" ref="AH281:AH283" ca="1" si="986">IF($C281="あり",IF($AD281&gt;=AH$4,J281/$AQ281,0),IF($AD281&gt;=AH$4,$AO281,0))</f>
        <v>0</v>
      </c>
      <c r="AI281" s="63">
        <f t="shared" ref="AI281:AI283" ca="1" si="987">IF($C281="あり",IF($AD281&gt;=AI$4,K281/$AQ281,0),IF($AD281&gt;=AI$4,$AO281,0))</f>
        <v>0</v>
      </c>
      <c r="AJ281" s="63">
        <f t="shared" ref="AJ281:AJ283" ca="1" si="988">IF($C281="あり",IF($AD281&gt;=AJ$4,L281/$AQ281,0),IF($AD281&gt;=AJ$4,$AO281,0))</f>
        <v>0</v>
      </c>
      <c r="AK281" s="63">
        <f t="shared" ref="AK281:AK283" ca="1" si="989">IF($C281="あり",IF($AD281&gt;=AK$4,M281/$AQ281,0),IF($AD281&gt;=AK$4,$AO281,0))</f>
        <v>0</v>
      </c>
      <c r="AL281" s="63">
        <f ca="1">IF($C281="あり",IF($AD281&gt;=7,N281/$AQ281,0),IF($AD281&gt;=7,$AO281*($AD281-6),0))</f>
        <v>0</v>
      </c>
      <c r="AM281" s="64" t="s">
        <v>46</v>
      </c>
      <c r="AN281" s="63">
        <f ca="1">SUM(AE281:AM281)</f>
        <v>0</v>
      </c>
      <c r="AO281" s="68" t="e">
        <f ca="1">1/(AC281+AD281)</f>
        <v>#DIV/0!</v>
      </c>
      <c r="AP281" s="67">
        <v>0</v>
      </c>
      <c r="AQ281" s="68">
        <f ca="1">IF(AC281&gt;=1,G281,0)+SUMIF($H$4:$M$4,"&lt;="&amp;AD281,$H281:$M281)+IF(AD281&gt;=7,N281,0)</f>
        <v>0</v>
      </c>
    </row>
    <row r="282" spans="1:43" x14ac:dyDescent="0.15">
      <c r="A282" s="50"/>
      <c r="B282" s="50"/>
      <c r="C282" s="145">
        <f ca="1">OFFSET(①簡易状況入力!$C$5,MATCH(A280,①簡易状況入力!$C$5:$C$104,0)-1,19)</f>
        <v>0</v>
      </c>
      <c r="D282" s="148" t="s">
        <v>50</v>
      </c>
      <c r="E282" s="56">
        <f t="shared" ref="E282" ca="1" si="990">E281</f>
        <v>0</v>
      </c>
      <c r="F282" s="56">
        <f ca="1">F281</f>
        <v>0</v>
      </c>
      <c r="G282" s="104"/>
      <c r="H282" s="104"/>
      <c r="I282" s="104"/>
      <c r="J282" s="104"/>
      <c r="K282" s="104"/>
      <c r="L282" s="104"/>
      <c r="M282" s="104"/>
      <c r="N282" s="104"/>
      <c r="O282" s="106"/>
      <c r="Q282" s="50"/>
      <c r="R282" s="58"/>
      <c r="S282" s="165" t="s">
        <v>28</v>
      </c>
      <c r="T282" s="146" t="s">
        <v>35</v>
      </c>
      <c r="U282" s="35">
        <f ca="1">OFFSET(①簡易状況入力!$C$5,MATCH(A280,①簡易状況入力!$C$5:$C$104,0)-1,2)</f>
        <v>0</v>
      </c>
      <c r="V282" s="58"/>
      <c r="W282" s="146" t="s">
        <v>33</v>
      </c>
      <c r="X282" s="37">
        <f ca="1">OFFSET(①簡易状況入力!$C$5,MATCH(A280,①簡易状況入力!$C$5:$C$104,0)-1,6)</f>
        <v>0</v>
      </c>
      <c r="Y282" s="149">
        <f ca="1">OFFSET(①簡易状況入力!$C$5,MATCH(A280,①簡易状況入力!$C$5:$C$104,0)-1,11)</f>
        <v>0</v>
      </c>
      <c r="Z282" s="167">
        <f ca="1">OFFSET(①簡易状況入力!$C$5,MATCH(A280,①簡易状況入力!$C$5:$C$104,0)-1,12)</f>
        <v>0</v>
      </c>
      <c r="AA282" s="168"/>
      <c r="AB282" s="148" t="s">
        <v>50</v>
      </c>
      <c r="AC282" s="56">
        <f t="shared" ref="AC282:AD282" ca="1" si="991">AC281</f>
        <v>0</v>
      </c>
      <c r="AD282" s="56">
        <f t="shared" ca="1" si="991"/>
        <v>0</v>
      </c>
      <c r="AE282" s="63">
        <f ca="1">IF($C282="あり",IF(AC282&gt;=1,G282/AQ282,0),IF(AC282&gt;=1,AO282*AC282,0))</f>
        <v>0</v>
      </c>
      <c r="AF282" s="63">
        <f t="shared" ca="1" si="984"/>
        <v>0</v>
      </c>
      <c r="AG282" s="63">
        <f t="shared" ca="1" si="985"/>
        <v>0</v>
      </c>
      <c r="AH282" s="63">
        <f t="shared" ca="1" si="986"/>
        <v>0</v>
      </c>
      <c r="AI282" s="63">
        <f t="shared" ca="1" si="987"/>
        <v>0</v>
      </c>
      <c r="AJ282" s="63">
        <f t="shared" ca="1" si="988"/>
        <v>0</v>
      </c>
      <c r="AK282" s="63">
        <f t="shared" ca="1" si="989"/>
        <v>0</v>
      </c>
      <c r="AL282" s="63">
        <f ca="1">IF($C282="あり",IF($AD282&gt;=7,N282/$AQ282,0),IF($AD282&gt;=7,$AO282*($AD282-6),0))</f>
        <v>0</v>
      </c>
      <c r="AM282" s="65">
        <f ca="1">IF(C282="あり",O282/AQ282,AP282)</f>
        <v>0</v>
      </c>
      <c r="AN282" s="63">
        <f ca="1">SUM(AE282:AM282)</f>
        <v>0</v>
      </c>
      <c r="AO282" s="68" t="e">
        <f ca="1">1/(AC282+AD282)</f>
        <v>#DIV/0!</v>
      </c>
      <c r="AP282" s="67">
        <v>0</v>
      </c>
      <c r="AQ282" s="68">
        <f ca="1">IF(AC282&gt;=1,G282,0)+SUMIF($H$4:$M$4,"&lt;="&amp;AD282,$H282:$M282)+IF(AD282&gt;=7,N282,0)+O282</f>
        <v>0</v>
      </c>
    </row>
    <row r="283" spans="1:43" x14ac:dyDescent="0.15">
      <c r="A283" s="50"/>
      <c r="B283" s="50"/>
      <c r="C283" s="145">
        <f ca="1">OFFSET(①簡易状況入力!$C$5,MATCH(A280,①簡易状況入力!$C$5:$C$104,0)-1,20)</f>
        <v>0</v>
      </c>
      <c r="D283" s="148" t="s">
        <v>51</v>
      </c>
      <c r="E283" s="56">
        <f t="shared" ref="E283:F283" ca="1" si="992">E282</f>
        <v>0</v>
      </c>
      <c r="F283" s="56">
        <f t="shared" ca="1" si="992"/>
        <v>0</v>
      </c>
      <c r="G283" s="104"/>
      <c r="H283" s="104"/>
      <c r="I283" s="104"/>
      <c r="J283" s="104"/>
      <c r="K283" s="104"/>
      <c r="L283" s="104"/>
      <c r="M283" s="104"/>
      <c r="N283" s="104"/>
      <c r="O283" s="106"/>
      <c r="Q283" s="50"/>
      <c r="R283" s="58"/>
      <c r="S283" s="166"/>
      <c r="T283" s="146" t="s">
        <v>34</v>
      </c>
      <c r="U283" s="35">
        <f ca="1">OFFSET(①簡易状況入力!$C$5,MATCH(A280,①簡易状況入力!$C$5:$C$104,0)-1,3)</f>
        <v>0</v>
      </c>
      <c r="V283" s="58"/>
      <c r="W283" s="146" t="s">
        <v>118</v>
      </c>
      <c r="X283" s="37">
        <f ca="1">OFFSET(①簡易状況入力!$C$5,MATCH(A280,①簡易状況入力!$C$5:$C$104,0)-1,7)</f>
        <v>0</v>
      </c>
      <c r="Y283" s="149">
        <f ca="1">OFFSET(①簡易状況入力!$C$5,MATCH(A280,①簡易状況入力!$C$5:$C$104,0)-1,13)</f>
        <v>0</v>
      </c>
      <c r="Z283" s="167">
        <f ca="1">OFFSET(①簡易状況入力!$C$5,MATCH(A280,①簡易状況入力!$C$5:$C$104,0)-1,14)</f>
        <v>0</v>
      </c>
      <c r="AA283" s="168"/>
      <c r="AB283" s="148" t="s">
        <v>51</v>
      </c>
      <c r="AC283" s="56">
        <f t="shared" ref="AC283:AD283" ca="1" si="993">AC282</f>
        <v>0</v>
      </c>
      <c r="AD283" s="56">
        <f t="shared" ca="1" si="993"/>
        <v>0</v>
      </c>
      <c r="AE283" s="63">
        <f ca="1">IF($C283="あり",IF(AC283&gt;=1,G283/AQ283,0),IF(AC283&gt;=1,AO283*AC283,0))</f>
        <v>0</v>
      </c>
      <c r="AF283" s="63">
        <f t="shared" ca="1" si="984"/>
        <v>0</v>
      </c>
      <c r="AG283" s="63">
        <f t="shared" ca="1" si="985"/>
        <v>0</v>
      </c>
      <c r="AH283" s="63">
        <f t="shared" ca="1" si="986"/>
        <v>0</v>
      </c>
      <c r="AI283" s="63">
        <f t="shared" ca="1" si="987"/>
        <v>0</v>
      </c>
      <c r="AJ283" s="63">
        <f t="shared" ca="1" si="988"/>
        <v>0</v>
      </c>
      <c r="AK283" s="63">
        <f t="shared" ca="1" si="989"/>
        <v>0</v>
      </c>
      <c r="AL283" s="63">
        <f ca="1">IF($C283="あり",IF($AD283&gt;=7,N283/$AQ283,0),IF($AD283&gt;=7,$AO283*($AD283-6),0))</f>
        <v>0</v>
      </c>
      <c r="AM283" s="65">
        <f ca="1">IF(C283="あり",O283/AQ283,AP283)</f>
        <v>0</v>
      </c>
      <c r="AN283" s="63">
        <f ca="1">SUM(AE283:AM283)</f>
        <v>0</v>
      </c>
      <c r="AO283" s="68" t="e">
        <f ca="1">1/(AC283+AD283)</f>
        <v>#DIV/0!</v>
      </c>
      <c r="AP283" s="67">
        <v>0</v>
      </c>
      <c r="AQ283" s="68">
        <f ca="1">IF(AC283&gt;=1,G283,0)+SUMIF($H$4:$M$4,"&lt;="&amp;AD283,$H283:$M283)+IF(AD283&gt;=7,N283,0)+O283</f>
        <v>0</v>
      </c>
    </row>
    <row r="284" spans="1:43" x14ac:dyDescent="0.15">
      <c r="G284" s="107"/>
      <c r="H284" s="107"/>
      <c r="I284" s="107"/>
      <c r="J284" s="107"/>
      <c r="K284" s="107"/>
      <c r="L284" s="107"/>
      <c r="M284" s="107"/>
      <c r="N284" s="107"/>
      <c r="O284" s="107"/>
    </row>
    <row r="285" spans="1:43" x14ac:dyDescent="0.15">
      <c r="A285" s="59" t="s">
        <v>372</v>
      </c>
      <c r="B285" s="60">
        <f ca="1">OFFSET(①簡易状況入力!$C$5,MATCH(A285,①簡易状況入力!$C$5:$C$104,0)-1,1)</f>
        <v>0</v>
      </c>
      <c r="C285" s="145">
        <f ca="1">OFFSET(①簡易状況入力!$C$5,MATCH(A285,①簡易状況入力!$C$5:$C$104,0)-1,17)</f>
        <v>0</v>
      </c>
      <c r="D285" s="148" t="s">
        <v>47</v>
      </c>
      <c r="E285" s="56">
        <f ca="1">U288</f>
        <v>0</v>
      </c>
      <c r="F285" s="56">
        <f ca="1">U287</f>
        <v>0</v>
      </c>
      <c r="G285" s="102"/>
      <c r="H285" s="103"/>
      <c r="I285" s="103"/>
      <c r="J285" s="103"/>
      <c r="K285" s="103"/>
      <c r="L285" s="103"/>
      <c r="M285" s="103"/>
      <c r="N285" s="103"/>
      <c r="O285" s="103"/>
      <c r="Q285" s="57">
        <f ca="1">OFFSET(①簡易状況入力!$C$5,MATCH(A285,①簡易状況入力!$C$5:$C$104,0)-1,15)</f>
        <v>0</v>
      </c>
      <c r="R285" s="58"/>
      <c r="S285" s="58"/>
      <c r="T285" s="58"/>
      <c r="U285" s="58"/>
      <c r="V285" s="58"/>
      <c r="W285" s="58"/>
      <c r="X285" s="58"/>
      <c r="Y285" s="58"/>
      <c r="Z285" s="58"/>
      <c r="AA285" s="58"/>
      <c r="AB285" s="148" t="s">
        <v>47</v>
      </c>
      <c r="AC285" s="56">
        <f ca="1">U288</f>
        <v>0</v>
      </c>
      <c r="AD285" s="56">
        <f ca="1">U287</f>
        <v>0</v>
      </c>
      <c r="AE285" s="62" t="s">
        <v>46</v>
      </c>
      <c r="AF285" s="62" t="str">
        <f t="shared" ref="AF285" ca="1" si="994">IF($C285="あり",IF(AF$4&lt;=$AD285,H285,"-"),IF(AF$4&lt;=$AD285,$AO285,"-"))</f>
        <v>-</v>
      </c>
      <c r="AG285" s="62" t="str">
        <f t="shared" ref="AG285" ca="1" si="995">IF($C285="あり",IF(AG$4&lt;=$AD285,I285,"-"),IF(AG$4&lt;=$AD285,$AO285,"-"))</f>
        <v>-</v>
      </c>
      <c r="AH285" s="62" t="str">
        <f t="shared" ref="AH285" ca="1" si="996">IF($C285="あり",IF(AH$4&lt;=$AD285,J285,"-"),IF(AH$4&lt;=$AD285,$AO285,"-"))</f>
        <v>-</v>
      </c>
      <c r="AI285" s="62" t="str">
        <f t="shared" ref="AI285" ca="1" si="997">IF($C285="あり",IF(AI$4&lt;=$AD285,K285,"-"),IF(AI$4&lt;=$AD285,$AO285,"-"))</f>
        <v>-</v>
      </c>
      <c r="AJ285" s="62" t="str">
        <f t="shared" ref="AJ285" ca="1" si="998">IF($C285="あり",IF(AJ$4&lt;=$AD285,L285,"-"),IF(AJ$4&lt;=$AD285,$AO285,"-"))</f>
        <v>-</v>
      </c>
      <c r="AK285" s="62" t="str">
        <f t="shared" ref="AK285" ca="1" si="999">IF($C285="あり",IF(AK$4&lt;=$AD285,M285,"-"),IF(AK$4&lt;=$AD285,$AO285,"-"))</f>
        <v>-</v>
      </c>
      <c r="AL285" s="62" t="str">
        <f ca="1">IF($C285="あり",IF(7&lt;=$AD285,N285,"-"),IF(7&lt;=$AD285,$AO285*($AD285-6),"-"))</f>
        <v>-</v>
      </c>
      <c r="AM285" s="62">
        <f ca="1">IF(C285="あり",O285,AP285)</f>
        <v>0</v>
      </c>
      <c r="AN285" s="62">
        <f ca="1">SUM(U286,AF285:AM285)</f>
        <v>0</v>
      </c>
      <c r="AO285" s="42">
        <f ca="1">OFFSET(【DB】被害率係数!$A$4,MATCH(②詳細状況入力!$Y286,【DB】被害率係数!$A$4:$A$19,0)-1,16)</f>
        <v>0</v>
      </c>
      <c r="AP285" s="42">
        <f ca="1">OFFSET(【DB】被害率係数!$A$4,MATCH(②詳細状況入力!$Y286,【DB】被害率係数!$A$4:$A$19,0)-1,17)</f>
        <v>0</v>
      </c>
      <c r="AQ285" s="42"/>
    </row>
    <row r="286" spans="1:43" x14ac:dyDescent="0.15">
      <c r="A286" s="50"/>
      <c r="B286" s="50"/>
      <c r="C286" s="145">
        <f ca="1">OFFSET(①簡易状況入力!$C$5,MATCH(A285,①簡易状況入力!$C$5:$C$104,0)-1,18)</f>
        <v>0</v>
      </c>
      <c r="D286" s="148" t="s">
        <v>52</v>
      </c>
      <c r="E286" s="56">
        <f t="shared" ref="E286:F286" ca="1" si="1000">E285</f>
        <v>0</v>
      </c>
      <c r="F286" s="56">
        <f t="shared" ca="1" si="1000"/>
        <v>0</v>
      </c>
      <c r="G286" s="104"/>
      <c r="H286" s="104"/>
      <c r="I286" s="104"/>
      <c r="J286" s="104"/>
      <c r="K286" s="104"/>
      <c r="L286" s="104"/>
      <c r="M286" s="104"/>
      <c r="N286" s="104"/>
      <c r="O286" s="105"/>
      <c r="Q286" s="57">
        <f ca="1">OFFSET(①簡易状況入力!$C$5,MATCH(A285,①簡易状況入力!$C$5:$C$104,0)-1,16)</f>
        <v>0</v>
      </c>
      <c r="R286" s="58"/>
      <c r="S286" s="146" t="s">
        <v>115</v>
      </c>
      <c r="T286" s="146" t="s">
        <v>116</v>
      </c>
      <c r="U286" s="36">
        <f ca="1">OFFSET(①簡易状況入力!$C$5,MATCH(A285,①簡易状況入力!$C$5:$C$104,0)-1,4)</f>
        <v>0</v>
      </c>
      <c r="V286" s="58"/>
      <c r="W286" s="146" t="s">
        <v>30</v>
      </c>
      <c r="X286" s="37">
        <f ca="1">OFFSET(①簡易状況入力!$C$5,MATCH(A285,①簡易状況入力!$C$5:$C$104,0)-1,5)</f>
        <v>0</v>
      </c>
      <c r="Y286" s="149">
        <f ca="1">OFFSET(①簡易状況入力!$C$5,MATCH(A285,①簡易状況入力!$C$5:$C$104,0)-1,8)</f>
        <v>0</v>
      </c>
      <c r="Z286" s="149">
        <f ca="1">OFFSET(①簡易状況入力!$C$5,MATCH(A285,①簡易状況入力!$C$5:$C$104,0)-1,9)</f>
        <v>0</v>
      </c>
      <c r="AA286" s="149">
        <f ca="1">OFFSET(①簡易状況入力!$C$5,MATCH(A285,①簡易状況入力!$C$5:$C$104,0)-1,10)</f>
        <v>0</v>
      </c>
      <c r="AB286" s="148" t="s">
        <v>52</v>
      </c>
      <c r="AC286" s="56">
        <f t="shared" ref="AC286:AD286" ca="1" si="1001">AC285</f>
        <v>0</v>
      </c>
      <c r="AD286" s="56">
        <f t="shared" ca="1" si="1001"/>
        <v>0</v>
      </c>
      <c r="AE286" s="63">
        <f ca="1">IF($C286="あり",IF(AC286&gt;=1,G286/AQ286,0),IF(AC286&gt;=1,AO286*AC286,0))</f>
        <v>0</v>
      </c>
      <c r="AF286" s="63">
        <f t="shared" ref="AF286:AF288" ca="1" si="1002">IF($C286="あり",IF($AD286&gt;=AF$4,H286/$AQ286,0),IF($AD286&gt;=AF$4,$AO286,0))</f>
        <v>0</v>
      </c>
      <c r="AG286" s="63">
        <f t="shared" ref="AG286:AG288" ca="1" si="1003">IF($C286="あり",IF($AD286&gt;=AG$4,I286/$AQ286,0),IF($AD286&gt;=AG$4,$AO286,0))</f>
        <v>0</v>
      </c>
      <c r="AH286" s="63">
        <f t="shared" ref="AH286:AH288" ca="1" si="1004">IF($C286="あり",IF($AD286&gt;=AH$4,J286/$AQ286,0),IF($AD286&gt;=AH$4,$AO286,0))</f>
        <v>0</v>
      </c>
      <c r="AI286" s="63">
        <f t="shared" ref="AI286:AI288" ca="1" si="1005">IF($C286="あり",IF($AD286&gt;=AI$4,K286/$AQ286,0),IF($AD286&gt;=AI$4,$AO286,0))</f>
        <v>0</v>
      </c>
      <c r="AJ286" s="63">
        <f t="shared" ref="AJ286:AJ288" ca="1" si="1006">IF($C286="あり",IF($AD286&gt;=AJ$4,L286/$AQ286,0),IF($AD286&gt;=AJ$4,$AO286,0))</f>
        <v>0</v>
      </c>
      <c r="AK286" s="63">
        <f t="shared" ref="AK286:AK288" ca="1" si="1007">IF($C286="あり",IF($AD286&gt;=AK$4,M286/$AQ286,0),IF($AD286&gt;=AK$4,$AO286,0))</f>
        <v>0</v>
      </c>
      <c r="AL286" s="63">
        <f ca="1">IF($C286="あり",IF($AD286&gt;=7,N286/$AQ286,0),IF($AD286&gt;=7,$AO286*($AD286-6),0))</f>
        <v>0</v>
      </c>
      <c r="AM286" s="64" t="s">
        <v>46</v>
      </c>
      <c r="AN286" s="63">
        <f ca="1">SUM(AE286:AM286)</f>
        <v>0</v>
      </c>
      <c r="AO286" s="68" t="e">
        <f ca="1">1/(AC286+AD286)</f>
        <v>#DIV/0!</v>
      </c>
      <c r="AP286" s="67">
        <v>0</v>
      </c>
      <c r="AQ286" s="68">
        <f ca="1">IF(AC286&gt;=1,G286,0)+SUMIF($H$4:$M$4,"&lt;="&amp;AD286,$H286:$M286)+IF(AD286&gt;=7,N286,0)</f>
        <v>0</v>
      </c>
    </row>
    <row r="287" spans="1:43" x14ac:dyDescent="0.15">
      <c r="A287" s="50"/>
      <c r="B287" s="50"/>
      <c r="C287" s="145">
        <f ca="1">OFFSET(①簡易状況入力!$C$5,MATCH(A285,①簡易状況入力!$C$5:$C$104,0)-1,19)</f>
        <v>0</v>
      </c>
      <c r="D287" s="148" t="s">
        <v>50</v>
      </c>
      <c r="E287" s="56">
        <f t="shared" ref="E287" ca="1" si="1008">E286</f>
        <v>0</v>
      </c>
      <c r="F287" s="56">
        <f ca="1">F286</f>
        <v>0</v>
      </c>
      <c r="G287" s="104"/>
      <c r="H287" s="104"/>
      <c r="I287" s="104"/>
      <c r="J287" s="104"/>
      <c r="K287" s="104"/>
      <c r="L287" s="104"/>
      <c r="M287" s="104"/>
      <c r="N287" s="104"/>
      <c r="O287" s="106"/>
      <c r="Q287" s="50"/>
      <c r="R287" s="58"/>
      <c r="S287" s="165" t="s">
        <v>28</v>
      </c>
      <c r="T287" s="146" t="s">
        <v>35</v>
      </c>
      <c r="U287" s="35">
        <f ca="1">OFFSET(①簡易状況入力!$C$5,MATCH(A285,①簡易状況入力!$C$5:$C$104,0)-1,2)</f>
        <v>0</v>
      </c>
      <c r="V287" s="58"/>
      <c r="W287" s="146" t="s">
        <v>33</v>
      </c>
      <c r="X287" s="37">
        <f ca="1">OFFSET(①簡易状況入力!$C$5,MATCH(A285,①簡易状況入力!$C$5:$C$104,0)-1,6)</f>
        <v>0</v>
      </c>
      <c r="Y287" s="149">
        <f ca="1">OFFSET(①簡易状況入力!$C$5,MATCH(A285,①簡易状況入力!$C$5:$C$104,0)-1,11)</f>
        <v>0</v>
      </c>
      <c r="Z287" s="167">
        <f ca="1">OFFSET(①簡易状況入力!$C$5,MATCH(A285,①簡易状況入力!$C$5:$C$104,0)-1,12)</f>
        <v>0</v>
      </c>
      <c r="AA287" s="168"/>
      <c r="AB287" s="148" t="s">
        <v>50</v>
      </c>
      <c r="AC287" s="56">
        <f t="shared" ref="AC287:AD287" ca="1" si="1009">AC286</f>
        <v>0</v>
      </c>
      <c r="AD287" s="56">
        <f t="shared" ca="1" si="1009"/>
        <v>0</v>
      </c>
      <c r="AE287" s="63">
        <f ca="1">IF($C287="あり",IF(AC287&gt;=1,G287/AQ287,0),IF(AC287&gt;=1,AO287*AC287,0))</f>
        <v>0</v>
      </c>
      <c r="AF287" s="63">
        <f t="shared" ca="1" si="1002"/>
        <v>0</v>
      </c>
      <c r="AG287" s="63">
        <f t="shared" ca="1" si="1003"/>
        <v>0</v>
      </c>
      <c r="AH287" s="63">
        <f t="shared" ca="1" si="1004"/>
        <v>0</v>
      </c>
      <c r="AI287" s="63">
        <f t="shared" ca="1" si="1005"/>
        <v>0</v>
      </c>
      <c r="AJ287" s="63">
        <f t="shared" ca="1" si="1006"/>
        <v>0</v>
      </c>
      <c r="AK287" s="63">
        <f t="shared" ca="1" si="1007"/>
        <v>0</v>
      </c>
      <c r="AL287" s="63">
        <f ca="1">IF($C287="あり",IF($AD287&gt;=7,N287/$AQ287,0),IF($AD287&gt;=7,$AO287*($AD287-6),0))</f>
        <v>0</v>
      </c>
      <c r="AM287" s="65">
        <f ca="1">IF(C287="あり",O287/AQ287,AP287)</f>
        <v>0</v>
      </c>
      <c r="AN287" s="63">
        <f ca="1">SUM(AE287:AM287)</f>
        <v>0</v>
      </c>
      <c r="AO287" s="68" t="e">
        <f ca="1">1/(AC287+AD287)</f>
        <v>#DIV/0!</v>
      </c>
      <c r="AP287" s="67">
        <v>0</v>
      </c>
      <c r="AQ287" s="68">
        <f ca="1">IF(AC287&gt;=1,G287,0)+SUMIF($H$4:$M$4,"&lt;="&amp;AD287,$H287:$M287)+IF(AD287&gt;=7,N287,0)+O287</f>
        <v>0</v>
      </c>
    </row>
    <row r="288" spans="1:43" x14ac:dyDescent="0.15">
      <c r="A288" s="50"/>
      <c r="B288" s="50"/>
      <c r="C288" s="145">
        <f ca="1">OFFSET(①簡易状況入力!$C$5,MATCH(A285,①簡易状況入力!$C$5:$C$104,0)-1,20)</f>
        <v>0</v>
      </c>
      <c r="D288" s="148" t="s">
        <v>51</v>
      </c>
      <c r="E288" s="56">
        <f t="shared" ref="E288:F288" ca="1" si="1010">E287</f>
        <v>0</v>
      </c>
      <c r="F288" s="56">
        <f t="shared" ca="1" si="1010"/>
        <v>0</v>
      </c>
      <c r="G288" s="104"/>
      <c r="H288" s="104"/>
      <c r="I288" s="104"/>
      <c r="J288" s="104"/>
      <c r="K288" s="104"/>
      <c r="L288" s="104"/>
      <c r="M288" s="104"/>
      <c r="N288" s="104"/>
      <c r="O288" s="106"/>
      <c r="Q288" s="50"/>
      <c r="R288" s="58"/>
      <c r="S288" s="166"/>
      <c r="T288" s="146" t="s">
        <v>34</v>
      </c>
      <c r="U288" s="35">
        <f ca="1">OFFSET(①簡易状況入力!$C$5,MATCH(A285,①簡易状況入力!$C$5:$C$104,0)-1,3)</f>
        <v>0</v>
      </c>
      <c r="V288" s="58"/>
      <c r="W288" s="146" t="s">
        <v>118</v>
      </c>
      <c r="X288" s="37">
        <f ca="1">OFFSET(①簡易状況入力!$C$5,MATCH(A285,①簡易状況入力!$C$5:$C$104,0)-1,7)</f>
        <v>0</v>
      </c>
      <c r="Y288" s="149">
        <f ca="1">OFFSET(①簡易状況入力!$C$5,MATCH(A285,①簡易状況入力!$C$5:$C$104,0)-1,13)</f>
        <v>0</v>
      </c>
      <c r="Z288" s="167">
        <f ca="1">OFFSET(①簡易状況入力!$C$5,MATCH(A285,①簡易状況入力!$C$5:$C$104,0)-1,14)</f>
        <v>0</v>
      </c>
      <c r="AA288" s="168"/>
      <c r="AB288" s="148" t="s">
        <v>51</v>
      </c>
      <c r="AC288" s="56">
        <f t="shared" ref="AC288:AD288" ca="1" si="1011">AC287</f>
        <v>0</v>
      </c>
      <c r="AD288" s="56">
        <f t="shared" ca="1" si="1011"/>
        <v>0</v>
      </c>
      <c r="AE288" s="63">
        <f ca="1">IF($C288="あり",IF(AC288&gt;=1,G288/AQ288,0),IF(AC288&gt;=1,AO288*AC288,0))</f>
        <v>0</v>
      </c>
      <c r="AF288" s="63">
        <f t="shared" ca="1" si="1002"/>
        <v>0</v>
      </c>
      <c r="AG288" s="63">
        <f t="shared" ca="1" si="1003"/>
        <v>0</v>
      </c>
      <c r="AH288" s="63">
        <f t="shared" ca="1" si="1004"/>
        <v>0</v>
      </c>
      <c r="AI288" s="63">
        <f t="shared" ca="1" si="1005"/>
        <v>0</v>
      </c>
      <c r="AJ288" s="63">
        <f t="shared" ca="1" si="1006"/>
        <v>0</v>
      </c>
      <c r="AK288" s="63">
        <f t="shared" ca="1" si="1007"/>
        <v>0</v>
      </c>
      <c r="AL288" s="63">
        <f ca="1">IF($C288="あり",IF($AD288&gt;=7,N288/$AQ288,0),IF($AD288&gt;=7,$AO288*($AD288-6),0))</f>
        <v>0</v>
      </c>
      <c r="AM288" s="65">
        <f ca="1">IF(C288="あり",O288/AQ288,AP288)</f>
        <v>0</v>
      </c>
      <c r="AN288" s="63">
        <f ca="1">SUM(AE288:AM288)</f>
        <v>0</v>
      </c>
      <c r="AO288" s="68" t="e">
        <f ca="1">1/(AC288+AD288)</f>
        <v>#DIV/0!</v>
      </c>
      <c r="AP288" s="67">
        <v>0</v>
      </c>
      <c r="AQ288" s="68">
        <f ca="1">IF(AC288&gt;=1,G288,0)+SUMIF($H$4:$M$4,"&lt;="&amp;AD288,$H288:$M288)+IF(AD288&gt;=7,N288,0)+O288</f>
        <v>0</v>
      </c>
    </row>
    <row r="289" spans="1:43" x14ac:dyDescent="0.15">
      <c r="G289" s="107"/>
      <c r="H289" s="107"/>
      <c r="I289" s="107"/>
      <c r="J289" s="107"/>
      <c r="K289" s="107"/>
      <c r="L289" s="107"/>
      <c r="M289" s="107"/>
      <c r="N289" s="107"/>
      <c r="O289" s="107"/>
    </row>
    <row r="290" spans="1:43" x14ac:dyDescent="0.15">
      <c r="A290" s="59" t="s">
        <v>373</v>
      </c>
      <c r="B290" s="60">
        <f ca="1">OFFSET(①簡易状況入力!$C$5,MATCH(A290,①簡易状況入力!$C$5:$C$104,0)-1,1)</f>
        <v>0</v>
      </c>
      <c r="C290" s="145">
        <f ca="1">OFFSET(①簡易状況入力!$C$5,MATCH(A290,①簡易状況入力!$C$5:$C$104,0)-1,17)</f>
        <v>0</v>
      </c>
      <c r="D290" s="148" t="s">
        <v>47</v>
      </c>
      <c r="E290" s="56">
        <f ca="1">U293</f>
        <v>0</v>
      </c>
      <c r="F290" s="56">
        <f ca="1">U292</f>
        <v>0</v>
      </c>
      <c r="G290" s="102"/>
      <c r="H290" s="103"/>
      <c r="I290" s="103"/>
      <c r="J290" s="103"/>
      <c r="K290" s="103"/>
      <c r="L290" s="103"/>
      <c r="M290" s="103"/>
      <c r="N290" s="103"/>
      <c r="O290" s="103"/>
      <c r="Q290" s="57">
        <f ca="1">OFFSET(①簡易状況入力!$C$5,MATCH(A290,①簡易状況入力!$C$5:$C$104,0)-1,15)</f>
        <v>0</v>
      </c>
      <c r="R290" s="58"/>
      <c r="S290" s="58"/>
      <c r="T290" s="58"/>
      <c r="U290" s="58"/>
      <c r="V290" s="58"/>
      <c r="W290" s="58"/>
      <c r="X290" s="58"/>
      <c r="Y290" s="58"/>
      <c r="Z290" s="58"/>
      <c r="AA290" s="58"/>
      <c r="AB290" s="148" t="s">
        <v>47</v>
      </c>
      <c r="AC290" s="56">
        <f ca="1">U293</f>
        <v>0</v>
      </c>
      <c r="AD290" s="56">
        <f ca="1">U292</f>
        <v>0</v>
      </c>
      <c r="AE290" s="62" t="s">
        <v>46</v>
      </c>
      <c r="AF290" s="62" t="str">
        <f t="shared" ref="AF290" ca="1" si="1012">IF($C290="あり",IF(AF$4&lt;=$AD290,H290,"-"),IF(AF$4&lt;=$AD290,$AO290,"-"))</f>
        <v>-</v>
      </c>
      <c r="AG290" s="62" t="str">
        <f t="shared" ref="AG290" ca="1" si="1013">IF($C290="あり",IF(AG$4&lt;=$AD290,I290,"-"),IF(AG$4&lt;=$AD290,$AO290,"-"))</f>
        <v>-</v>
      </c>
      <c r="AH290" s="62" t="str">
        <f t="shared" ref="AH290" ca="1" si="1014">IF($C290="あり",IF(AH$4&lt;=$AD290,J290,"-"),IF(AH$4&lt;=$AD290,$AO290,"-"))</f>
        <v>-</v>
      </c>
      <c r="AI290" s="62" t="str">
        <f t="shared" ref="AI290" ca="1" si="1015">IF($C290="あり",IF(AI$4&lt;=$AD290,K290,"-"),IF(AI$4&lt;=$AD290,$AO290,"-"))</f>
        <v>-</v>
      </c>
      <c r="AJ290" s="62" t="str">
        <f t="shared" ref="AJ290" ca="1" si="1016">IF($C290="あり",IF(AJ$4&lt;=$AD290,L290,"-"),IF(AJ$4&lt;=$AD290,$AO290,"-"))</f>
        <v>-</v>
      </c>
      <c r="AK290" s="62" t="str">
        <f t="shared" ref="AK290" ca="1" si="1017">IF($C290="あり",IF(AK$4&lt;=$AD290,M290,"-"),IF(AK$4&lt;=$AD290,$AO290,"-"))</f>
        <v>-</v>
      </c>
      <c r="AL290" s="62" t="str">
        <f ca="1">IF($C290="あり",IF(7&lt;=$AD290,N290,"-"),IF(7&lt;=$AD290,$AO290*($AD290-6),"-"))</f>
        <v>-</v>
      </c>
      <c r="AM290" s="62">
        <f ca="1">IF(C290="あり",O290,AP290)</f>
        <v>0</v>
      </c>
      <c r="AN290" s="62">
        <f ca="1">SUM(U291,AF290:AM290)</f>
        <v>0</v>
      </c>
      <c r="AO290" s="42">
        <f ca="1">OFFSET(【DB】被害率係数!$A$4,MATCH(②詳細状況入力!$Y291,【DB】被害率係数!$A$4:$A$19,0)-1,16)</f>
        <v>0</v>
      </c>
      <c r="AP290" s="42">
        <f ca="1">OFFSET(【DB】被害率係数!$A$4,MATCH(②詳細状況入力!$Y291,【DB】被害率係数!$A$4:$A$19,0)-1,17)</f>
        <v>0</v>
      </c>
      <c r="AQ290" s="42"/>
    </row>
    <row r="291" spans="1:43" x14ac:dyDescent="0.15">
      <c r="A291" s="50"/>
      <c r="B291" s="50"/>
      <c r="C291" s="145">
        <f ca="1">OFFSET(①簡易状況入力!$C$5,MATCH(A290,①簡易状況入力!$C$5:$C$104,0)-1,18)</f>
        <v>0</v>
      </c>
      <c r="D291" s="148" t="s">
        <v>52</v>
      </c>
      <c r="E291" s="56">
        <f t="shared" ref="E291:F291" ca="1" si="1018">E290</f>
        <v>0</v>
      </c>
      <c r="F291" s="56">
        <f t="shared" ca="1" si="1018"/>
        <v>0</v>
      </c>
      <c r="G291" s="104"/>
      <c r="H291" s="104"/>
      <c r="I291" s="104"/>
      <c r="J291" s="104"/>
      <c r="K291" s="104"/>
      <c r="L291" s="104"/>
      <c r="M291" s="104"/>
      <c r="N291" s="104"/>
      <c r="O291" s="105"/>
      <c r="Q291" s="57">
        <f ca="1">OFFSET(①簡易状況入力!$C$5,MATCH(A290,①簡易状況入力!$C$5:$C$104,0)-1,16)</f>
        <v>0</v>
      </c>
      <c r="R291" s="58"/>
      <c r="S291" s="146" t="s">
        <v>115</v>
      </c>
      <c r="T291" s="146" t="s">
        <v>116</v>
      </c>
      <c r="U291" s="36">
        <f ca="1">OFFSET(①簡易状況入力!$C$5,MATCH(A290,①簡易状況入力!$C$5:$C$104,0)-1,4)</f>
        <v>0</v>
      </c>
      <c r="V291" s="58"/>
      <c r="W291" s="146" t="s">
        <v>30</v>
      </c>
      <c r="X291" s="37">
        <f ca="1">OFFSET(①簡易状況入力!$C$5,MATCH(A290,①簡易状況入力!$C$5:$C$104,0)-1,5)</f>
        <v>0</v>
      </c>
      <c r="Y291" s="149">
        <f ca="1">OFFSET(①簡易状況入力!$C$5,MATCH(A290,①簡易状況入力!$C$5:$C$104,0)-1,8)</f>
        <v>0</v>
      </c>
      <c r="Z291" s="149">
        <f ca="1">OFFSET(①簡易状況入力!$C$5,MATCH(A290,①簡易状況入力!$C$5:$C$104,0)-1,9)</f>
        <v>0</v>
      </c>
      <c r="AA291" s="149">
        <f ca="1">OFFSET(①簡易状況入力!$C$5,MATCH(A290,①簡易状況入力!$C$5:$C$104,0)-1,10)</f>
        <v>0</v>
      </c>
      <c r="AB291" s="148" t="s">
        <v>52</v>
      </c>
      <c r="AC291" s="56">
        <f t="shared" ref="AC291:AD291" ca="1" si="1019">AC290</f>
        <v>0</v>
      </c>
      <c r="AD291" s="56">
        <f t="shared" ca="1" si="1019"/>
        <v>0</v>
      </c>
      <c r="AE291" s="63">
        <f ca="1">IF($C291="あり",IF(AC291&gt;=1,G291/AQ291,0),IF(AC291&gt;=1,AO291*AC291,0))</f>
        <v>0</v>
      </c>
      <c r="AF291" s="63">
        <f t="shared" ref="AF291:AF293" ca="1" si="1020">IF($C291="あり",IF($AD291&gt;=AF$4,H291/$AQ291,0),IF($AD291&gt;=AF$4,$AO291,0))</f>
        <v>0</v>
      </c>
      <c r="AG291" s="63">
        <f t="shared" ref="AG291:AG293" ca="1" si="1021">IF($C291="あり",IF($AD291&gt;=AG$4,I291/$AQ291,0),IF($AD291&gt;=AG$4,$AO291,0))</f>
        <v>0</v>
      </c>
      <c r="AH291" s="63">
        <f t="shared" ref="AH291:AH293" ca="1" si="1022">IF($C291="あり",IF($AD291&gt;=AH$4,J291/$AQ291,0),IF($AD291&gt;=AH$4,$AO291,0))</f>
        <v>0</v>
      </c>
      <c r="AI291" s="63">
        <f t="shared" ref="AI291:AI293" ca="1" si="1023">IF($C291="あり",IF($AD291&gt;=AI$4,K291/$AQ291,0),IF($AD291&gt;=AI$4,$AO291,0))</f>
        <v>0</v>
      </c>
      <c r="AJ291" s="63">
        <f t="shared" ref="AJ291:AJ293" ca="1" si="1024">IF($C291="あり",IF($AD291&gt;=AJ$4,L291/$AQ291,0),IF($AD291&gt;=AJ$4,$AO291,0))</f>
        <v>0</v>
      </c>
      <c r="AK291" s="63">
        <f t="shared" ref="AK291:AK293" ca="1" si="1025">IF($C291="あり",IF($AD291&gt;=AK$4,M291/$AQ291,0),IF($AD291&gt;=AK$4,$AO291,0))</f>
        <v>0</v>
      </c>
      <c r="AL291" s="63">
        <f ca="1">IF($C291="あり",IF($AD291&gt;=7,N291/$AQ291,0),IF($AD291&gt;=7,$AO291*($AD291-6),0))</f>
        <v>0</v>
      </c>
      <c r="AM291" s="64" t="s">
        <v>46</v>
      </c>
      <c r="AN291" s="63">
        <f ca="1">SUM(AE291:AM291)</f>
        <v>0</v>
      </c>
      <c r="AO291" s="68" t="e">
        <f ca="1">1/(AC291+AD291)</f>
        <v>#DIV/0!</v>
      </c>
      <c r="AP291" s="67">
        <v>0</v>
      </c>
      <c r="AQ291" s="68">
        <f ca="1">IF(AC291&gt;=1,G291,0)+SUMIF($H$4:$M$4,"&lt;="&amp;AD291,$H291:$M291)+IF(AD291&gt;=7,N291,0)</f>
        <v>0</v>
      </c>
    </row>
    <row r="292" spans="1:43" x14ac:dyDescent="0.15">
      <c r="A292" s="50"/>
      <c r="B292" s="50"/>
      <c r="C292" s="145">
        <f ca="1">OFFSET(①簡易状況入力!$C$5,MATCH(A290,①簡易状況入力!$C$5:$C$104,0)-1,19)</f>
        <v>0</v>
      </c>
      <c r="D292" s="148" t="s">
        <v>50</v>
      </c>
      <c r="E292" s="56">
        <f t="shared" ref="E292" ca="1" si="1026">E291</f>
        <v>0</v>
      </c>
      <c r="F292" s="56">
        <f ca="1">F291</f>
        <v>0</v>
      </c>
      <c r="G292" s="104"/>
      <c r="H292" s="104"/>
      <c r="I292" s="104"/>
      <c r="J292" s="104"/>
      <c r="K292" s="104"/>
      <c r="L292" s="104"/>
      <c r="M292" s="104"/>
      <c r="N292" s="104"/>
      <c r="O292" s="106"/>
      <c r="Q292" s="50"/>
      <c r="R292" s="58"/>
      <c r="S292" s="165" t="s">
        <v>28</v>
      </c>
      <c r="T292" s="146" t="s">
        <v>35</v>
      </c>
      <c r="U292" s="35">
        <f ca="1">OFFSET(①簡易状況入力!$C$5,MATCH(A290,①簡易状況入力!$C$5:$C$104,0)-1,2)</f>
        <v>0</v>
      </c>
      <c r="V292" s="58"/>
      <c r="W292" s="146" t="s">
        <v>33</v>
      </c>
      <c r="X292" s="37">
        <f ca="1">OFFSET(①簡易状況入力!$C$5,MATCH(A290,①簡易状況入力!$C$5:$C$104,0)-1,6)</f>
        <v>0</v>
      </c>
      <c r="Y292" s="149">
        <f ca="1">OFFSET(①簡易状況入力!$C$5,MATCH(A290,①簡易状況入力!$C$5:$C$104,0)-1,11)</f>
        <v>0</v>
      </c>
      <c r="Z292" s="167">
        <f ca="1">OFFSET(①簡易状況入力!$C$5,MATCH(A290,①簡易状況入力!$C$5:$C$104,0)-1,12)</f>
        <v>0</v>
      </c>
      <c r="AA292" s="168"/>
      <c r="AB292" s="148" t="s">
        <v>50</v>
      </c>
      <c r="AC292" s="56">
        <f t="shared" ref="AC292:AD292" ca="1" si="1027">AC291</f>
        <v>0</v>
      </c>
      <c r="AD292" s="56">
        <f t="shared" ca="1" si="1027"/>
        <v>0</v>
      </c>
      <c r="AE292" s="63">
        <f ca="1">IF($C292="あり",IF(AC292&gt;=1,G292/AQ292,0),IF(AC292&gt;=1,AO292*AC292,0))</f>
        <v>0</v>
      </c>
      <c r="AF292" s="63">
        <f t="shared" ca="1" si="1020"/>
        <v>0</v>
      </c>
      <c r="AG292" s="63">
        <f t="shared" ca="1" si="1021"/>
        <v>0</v>
      </c>
      <c r="AH292" s="63">
        <f t="shared" ca="1" si="1022"/>
        <v>0</v>
      </c>
      <c r="AI292" s="63">
        <f t="shared" ca="1" si="1023"/>
        <v>0</v>
      </c>
      <c r="AJ292" s="63">
        <f t="shared" ca="1" si="1024"/>
        <v>0</v>
      </c>
      <c r="AK292" s="63">
        <f t="shared" ca="1" si="1025"/>
        <v>0</v>
      </c>
      <c r="AL292" s="63">
        <f ca="1">IF($C292="あり",IF($AD292&gt;=7,N292/$AQ292,0),IF($AD292&gt;=7,$AO292*($AD292-6),0))</f>
        <v>0</v>
      </c>
      <c r="AM292" s="65">
        <f ca="1">IF(C292="あり",O292/AQ292,AP292)</f>
        <v>0</v>
      </c>
      <c r="AN292" s="63">
        <f ca="1">SUM(AE292:AM292)</f>
        <v>0</v>
      </c>
      <c r="AO292" s="68" t="e">
        <f ca="1">1/(AC292+AD292)</f>
        <v>#DIV/0!</v>
      </c>
      <c r="AP292" s="67">
        <v>0</v>
      </c>
      <c r="AQ292" s="68">
        <f ca="1">IF(AC292&gt;=1,G292,0)+SUMIF($H$4:$M$4,"&lt;="&amp;AD292,$H292:$M292)+IF(AD292&gt;=7,N292,0)+O292</f>
        <v>0</v>
      </c>
    </row>
    <row r="293" spans="1:43" x14ac:dyDescent="0.15">
      <c r="A293" s="50"/>
      <c r="B293" s="50"/>
      <c r="C293" s="145">
        <f ca="1">OFFSET(①簡易状況入力!$C$5,MATCH(A290,①簡易状況入力!$C$5:$C$104,0)-1,20)</f>
        <v>0</v>
      </c>
      <c r="D293" s="148" t="s">
        <v>51</v>
      </c>
      <c r="E293" s="56">
        <f t="shared" ref="E293:F293" ca="1" si="1028">E292</f>
        <v>0</v>
      </c>
      <c r="F293" s="56">
        <f t="shared" ca="1" si="1028"/>
        <v>0</v>
      </c>
      <c r="G293" s="104"/>
      <c r="H293" s="104"/>
      <c r="I293" s="104"/>
      <c r="J293" s="104"/>
      <c r="K293" s="104"/>
      <c r="L293" s="104"/>
      <c r="M293" s="104"/>
      <c r="N293" s="104"/>
      <c r="O293" s="106"/>
      <c r="Q293" s="50"/>
      <c r="R293" s="58"/>
      <c r="S293" s="166"/>
      <c r="T293" s="146" t="s">
        <v>34</v>
      </c>
      <c r="U293" s="35">
        <f ca="1">OFFSET(①簡易状況入力!$C$5,MATCH(A290,①簡易状況入力!$C$5:$C$104,0)-1,3)</f>
        <v>0</v>
      </c>
      <c r="V293" s="58"/>
      <c r="W293" s="146" t="s">
        <v>118</v>
      </c>
      <c r="X293" s="37">
        <f ca="1">OFFSET(①簡易状況入力!$C$5,MATCH(A290,①簡易状況入力!$C$5:$C$104,0)-1,7)</f>
        <v>0</v>
      </c>
      <c r="Y293" s="149">
        <f ca="1">OFFSET(①簡易状況入力!$C$5,MATCH(A290,①簡易状況入力!$C$5:$C$104,0)-1,13)</f>
        <v>0</v>
      </c>
      <c r="Z293" s="167">
        <f ca="1">OFFSET(①簡易状況入力!$C$5,MATCH(A290,①簡易状況入力!$C$5:$C$104,0)-1,14)</f>
        <v>0</v>
      </c>
      <c r="AA293" s="168"/>
      <c r="AB293" s="148" t="s">
        <v>51</v>
      </c>
      <c r="AC293" s="56">
        <f t="shared" ref="AC293:AD293" ca="1" si="1029">AC292</f>
        <v>0</v>
      </c>
      <c r="AD293" s="56">
        <f t="shared" ca="1" si="1029"/>
        <v>0</v>
      </c>
      <c r="AE293" s="63">
        <f ca="1">IF($C293="あり",IF(AC293&gt;=1,G293/AQ293,0),IF(AC293&gt;=1,AO293*AC293,0))</f>
        <v>0</v>
      </c>
      <c r="AF293" s="63">
        <f t="shared" ca="1" si="1020"/>
        <v>0</v>
      </c>
      <c r="AG293" s="63">
        <f t="shared" ca="1" si="1021"/>
        <v>0</v>
      </c>
      <c r="AH293" s="63">
        <f t="shared" ca="1" si="1022"/>
        <v>0</v>
      </c>
      <c r="AI293" s="63">
        <f t="shared" ca="1" si="1023"/>
        <v>0</v>
      </c>
      <c r="AJ293" s="63">
        <f t="shared" ca="1" si="1024"/>
        <v>0</v>
      </c>
      <c r="AK293" s="63">
        <f t="shared" ca="1" si="1025"/>
        <v>0</v>
      </c>
      <c r="AL293" s="63">
        <f ca="1">IF($C293="あり",IF($AD293&gt;=7,N293/$AQ293,0),IF($AD293&gt;=7,$AO293*($AD293-6),0))</f>
        <v>0</v>
      </c>
      <c r="AM293" s="65">
        <f ca="1">IF(C293="あり",O293/AQ293,AP293)</f>
        <v>0</v>
      </c>
      <c r="AN293" s="63">
        <f ca="1">SUM(AE293:AM293)</f>
        <v>0</v>
      </c>
      <c r="AO293" s="68" t="e">
        <f ca="1">1/(AC293+AD293)</f>
        <v>#DIV/0!</v>
      </c>
      <c r="AP293" s="67">
        <v>0</v>
      </c>
      <c r="AQ293" s="68">
        <f ca="1">IF(AC293&gt;=1,G293,0)+SUMIF($H$4:$M$4,"&lt;="&amp;AD293,$H293:$M293)+IF(AD293&gt;=7,N293,0)+O293</f>
        <v>0</v>
      </c>
    </row>
    <row r="294" spans="1:43" x14ac:dyDescent="0.15">
      <c r="G294" s="107"/>
      <c r="H294" s="107"/>
      <c r="I294" s="107"/>
      <c r="J294" s="107"/>
      <c r="K294" s="107"/>
      <c r="L294" s="107"/>
      <c r="M294" s="107"/>
      <c r="N294" s="107"/>
      <c r="O294" s="107"/>
    </row>
    <row r="295" spans="1:43" x14ac:dyDescent="0.15">
      <c r="A295" s="59" t="s">
        <v>374</v>
      </c>
      <c r="B295" s="60">
        <f ca="1">OFFSET(①簡易状況入力!$C$5,MATCH(A295,①簡易状況入力!$C$5:$C$104,0)-1,1)</f>
        <v>0</v>
      </c>
      <c r="C295" s="145">
        <f ca="1">OFFSET(①簡易状況入力!$C$5,MATCH(A295,①簡易状況入力!$C$5:$C$104,0)-1,17)</f>
        <v>0</v>
      </c>
      <c r="D295" s="148" t="s">
        <v>47</v>
      </c>
      <c r="E295" s="56">
        <f ca="1">U298</f>
        <v>0</v>
      </c>
      <c r="F295" s="56">
        <f ca="1">U297</f>
        <v>0</v>
      </c>
      <c r="G295" s="102"/>
      <c r="H295" s="103"/>
      <c r="I295" s="103"/>
      <c r="J295" s="103"/>
      <c r="K295" s="103"/>
      <c r="L295" s="103"/>
      <c r="M295" s="103"/>
      <c r="N295" s="103"/>
      <c r="O295" s="103"/>
      <c r="Q295" s="57">
        <f ca="1">OFFSET(①簡易状況入力!$C$5,MATCH(A295,①簡易状況入力!$C$5:$C$104,0)-1,15)</f>
        <v>0</v>
      </c>
      <c r="R295" s="58"/>
      <c r="S295" s="58"/>
      <c r="T295" s="58"/>
      <c r="U295" s="58"/>
      <c r="V295" s="58"/>
      <c r="W295" s="58"/>
      <c r="X295" s="58"/>
      <c r="Y295" s="58"/>
      <c r="Z295" s="58"/>
      <c r="AA295" s="58"/>
      <c r="AB295" s="148" t="s">
        <v>47</v>
      </c>
      <c r="AC295" s="56">
        <f ca="1">U298</f>
        <v>0</v>
      </c>
      <c r="AD295" s="56">
        <f ca="1">U297</f>
        <v>0</v>
      </c>
      <c r="AE295" s="62" t="s">
        <v>46</v>
      </c>
      <c r="AF295" s="62" t="str">
        <f t="shared" ref="AF295" ca="1" si="1030">IF($C295="あり",IF(AF$4&lt;=$AD295,H295,"-"),IF(AF$4&lt;=$AD295,$AO295,"-"))</f>
        <v>-</v>
      </c>
      <c r="AG295" s="62" t="str">
        <f t="shared" ref="AG295" ca="1" si="1031">IF($C295="あり",IF(AG$4&lt;=$AD295,I295,"-"),IF(AG$4&lt;=$AD295,$AO295,"-"))</f>
        <v>-</v>
      </c>
      <c r="AH295" s="62" t="str">
        <f t="shared" ref="AH295" ca="1" si="1032">IF($C295="あり",IF(AH$4&lt;=$AD295,J295,"-"),IF(AH$4&lt;=$AD295,$AO295,"-"))</f>
        <v>-</v>
      </c>
      <c r="AI295" s="62" t="str">
        <f t="shared" ref="AI295" ca="1" si="1033">IF($C295="あり",IF(AI$4&lt;=$AD295,K295,"-"),IF(AI$4&lt;=$AD295,$AO295,"-"))</f>
        <v>-</v>
      </c>
      <c r="AJ295" s="62" t="str">
        <f t="shared" ref="AJ295" ca="1" si="1034">IF($C295="あり",IF(AJ$4&lt;=$AD295,L295,"-"),IF(AJ$4&lt;=$AD295,$AO295,"-"))</f>
        <v>-</v>
      </c>
      <c r="AK295" s="62" t="str">
        <f t="shared" ref="AK295" ca="1" si="1035">IF($C295="あり",IF(AK$4&lt;=$AD295,M295,"-"),IF(AK$4&lt;=$AD295,$AO295,"-"))</f>
        <v>-</v>
      </c>
      <c r="AL295" s="62" t="str">
        <f ca="1">IF($C295="あり",IF(7&lt;=$AD295,N295,"-"),IF(7&lt;=$AD295,$AO295*($AD295-6),"-"))</f>
        <v>-</v>
      </c>
      <c r="AM295" s="62">
        <f ca="1">IF(C295="あり",O295,AP295)</f>
        <v>0</v>
      </c>
      <c r="AN295" s="62">
        <f ca="1">SUM(U296,AF295:AM295)</f>
        <v>0</v>
      </c>
      <c r="AO295" s="42">
        <f ca="1">OFFSET(【DB】被害率係数!$A$4,MATCH(②詳細状況入力!$Y296,【DB】被害率係数!$A$4:$A$19,0)-1,16)</f>
        <v>0</v>
      </c>
      <c r="AP295" s="42">
        <f ca="1">OFFSET(【DB】被害率係数!$A$4,MATCH(②詳細状況入力!$Y296,【DB】被害率係数!$A$4:$A$19,0)-1,17)</f>
        <v>0</v>
      </c>
      <c r="AQ295" s="42"/>
    </row>
    <row r="296" spans="1:43" x14ac:dyDescent="0.15">
      <c r="A296" s="50"/>
      <c r="B296" s="50"/>
      <c r="C296" s="145">
        <f ca="1">OFFSET(①簡易状況入力!$C$5,MATCH(A295,①簡易状況入力!$C$5:$C$104,0)-1,18)</f>
        <v>0</v>
      </c>
      <c r="D296" s="148" t="s">
        <v>52</v>
      </c>
      <c r="E296" s="56">
        <f t="shared" ref="E296:F296" ca="1" si="1036">E295</f>
        <v>0</v>
      </c>
      <c r="F296" s="56">
        <f t="shared" ca="1" si="1036"/>
        <v>0</v>
      </c>
      <c r="G296" s="104"/>
      <c r="H296" s="104"/>
      <c r="I296" s="104"/>
      <c r="J296" s="104"/>
      <c r="K296" s="104"/>
      <c r="L296" s="104"/>
      <c r="M296" s="104"/>
      <c r="N296" s="104"/>
      <c r="O296" s="105"/>
      <c r="Q296" s="57">
        <f ca="1">OFFSET(①簡易状況入力!$C$5,MATCH(A295,①簡易状況入力!$C$5:$C$104,0)-1,16)</f>
        <v>0</v>
      </c>
      <c r="R296" s="58"/>
      <c r="S296" s="146" t="s">
        <v>115</v>
      </c>
      <c r="T296" s="146" t="s">
        <v>116</v>
      </c>
      <c r="U296" s="36">
        <f ca="1">OFFSET(①簡易状況入力!$C$5,MATCH(A295,①簡易状況入力!$C$5:$C$104,0)-1,4)</f>
        <v>0</v>
      </c>
      <c r="V296" s="58"/>
      <c r="W296" s="146" t="s">
        <v>30</v>
      </c>
      <c r="X296" s="37">
        <f ca="1">OFFSET(①簡易状況入力!$C$5,MATCH(A295,①簡易状況入力!$C$5:$C$104,0)-1,5)</f>
        <v>0</v>
      </c>
      <c r="Y296" s="149">
        <f ca="1">OFFSET(①簡易状況入力!$C$5,MATCH(A295,①簡易状況入力!$C$5:$C$104,0)-1,8)</f>
        <v>0</v>
      </c>
      <c r="Z296" s="149">
        <f ca="1">OFFSET(①簡易状況入力!$C$5,MATCH(A295,①簡易状況入力!$C$5:$C$104,0)-1,9)</f>
        <v>0</v>
      </c>
      <c r="AA296" s="149">
        <f ca="1">OFFSET(①簡易状況入力!$C$5,MATCH(A295,①簡易状況入力!$C$5:$C$104,0)-1,10)</f>
        <v>0</v>
      </c>
      <c r="AB296" s="148" t="s">
        <v>52</v>
      </c>
      <c r="AC296" s="56">
        <f t="shared" ref="AC296:AD296" ca="1" si="1037">AC295</f>
        <v>0</v>
      </c>
      <c r="AD296" s="56">
        <f t="shared" ca="1" si="1037"/>
        <v>0</v>
      </c>
      <c r="AE296" s="63">
        <f ca="1">IF($C296="あり",IF(AC296&gt;=1,G296/AQ296,0),IF(AC296&gt;=1,AO296*AC296,0))</f>
        <v>0</v>
      </c>
      <c r="AF296" s="63">
        <f t="shared" ref="AF296:AF298" ca="1" si="1038">IF($C296="あり",IF($AD296&gt;=AF$4,H296/$AQ296,0),IF($AD296&gt;=AF$4,$AO296,0))</f>
        <v>0</v>
      </c>
      <c r="AG296" s="63">
        <f t="shared" ref="AG296:AG298" ca="1" si="1039">IF($C296="あり",IF($AD296&gt;=AG$4,I296/$AQ296,0),IF($AD296&gt;=AG$4,$AO296,0))</f>
        <v>0</v>
      </c>
      <c r="AH296" s="63">
        <f t="shared" ref="AH296:AH298" ca="1" si="1040">IF($C296="あり",IF($AD296&gt;=AH$4,J296/$AQ296,0),IF($AD296&gt;=AH$4,$AO296,0))</f>
        <v>0</v>
      </c>
      <c r="AI296" s="63">
        <f t="shared" ref="AI296:AI298" ca="1" si="1041">IF($C296="あり",IF($AD296&gt;=AI$4,K296/$AQ296,0),IF($AD296&gt;=AI$4,$AO296,0))</f>
        <v>0</v>
      </c>
      <c r="AJ296" s="63">
        <f t="shared" ref="AJ296:AJ298" ca="1" si="1042">IF($C296="あり",IF($AD296&gt;=AJ$4,L296/$AQ296,0),IF($AD296&gt;=AJ$4,$AO296,0))</f>
        <v>0</v>
      </c>
      <c r="AK296" s="63">
        <f t="shared" ref="AK296:AK298" ca="1" si="1043">IF($C296="あり",IF($AD296&gt;=AK$4,M296/$AQ296,0),IF($AD296&gt;=AK$4,$AO296,0))</f>
        <v>0</v>
      </c>
      <c r="AL296" s="63">
        <f ca="1">IF($C296="あり",IF($AD296&gt;=7,N296/$AQ296,0),IF($AD296&gt;=7,$AO296*($AD296-6),0))</f>
        <v>0</v>
      </c>
      <c r="AM296" s="64" t="s">
        <v>46</v>
      </c>
      <c r="AN296" s="63">
        <f ca="1">SUM(AE296:AM296)</f>
        <v>0</v>
      </c>
      <c r="AO296" s="68" t="e">
        <f ca="1">1/(AC296+AD296)</f>
        <v>#DIV/0!</v>
      </c>
      <c r="AP296" s="67">
        <v>0</v>
      </c>
      <c r="AQ296" s="68">
        <f ca="1">IF(AC296&gt;=1,G296,0)+SUMIF($H$4:$M$4,"&lt;="&amp;AD296,$H296:$M296)+IF(AD296&gt;=7,N296,0)</f>
        <v>0</v>
      </c>
    </row>
    <row r="297" spans="1:43" x14ac:dyDescent="0.15">
      <c r="A297" s="50"/>
      <c r="B297" s="50"/>
      <c r="C297" s="145">
        <f ca="1">OFFSET(①簡易状況入力!$C$5,MATCH(A295,①簡易状況入力!$C$5:$C$104,0)-1,19)</f>
        <v>0</v>
      </c>
      <c r="D297" s="148" t="s">
        <v>50</v>
      </c>
      <c r="E297" s="56">
        <f t="shared" ref="E297" ca="1" si="1044">E296</f>
        <v>0</v>
      </c>
      <c r="F297" s="56">
        <f ca="1">F296</f>
        <v>0</v>
      </c>
      <c r="G297" s="104"/>
      <c r="H297" s="104"/>
      <c r="I297" s="104"/>
      <c r="J297" s="104"/>
      <c r="K297" s="104"/>
      <c r="L297" s="104"/>
      <c r="M297" s="104"/>
      <c r="N297" s="104"/>
      <c r="O297" s="106"/>
      <c r="Q297" s="50"/>
      <c r="R297" s="58"/>
      <c r="S297" s="165" t="s">
        <v>28</v>
      </c>
      <c r="T297" s="146" t="s">
        <v>35</v>
      </c>
      <c r="U297" s="35">
        <f ca="1">OFFSET(①簡易状況入力!$C$5,MATCH(A295,①簡易状況入力!$C$5:$C$104,0)-1,2)</f>
        <v>0</v>
      </c>
      <c r="V297" s="58"/>
      <c r="W297" s="146" t="s">
        <v>33</v>
      </c>
      <c r="X297" s="37">
        <f ca="1">OFFSET(①簡易状況入力!$C$5,MATCH(A295,①簡易状況入力!$C$5:$C$104,0)-1,6)</f>
        <v>0</v>
      </c>
      <c r="Y297" s="149">
        <f ca="1">OFFSET(①簡易状況入力!$C$5,MATCH(A295,①簡易状況入力!$C$5:$C$104,0)-1,11)</f>
        <v>0</v>
      </c>
      <c r="Z297" s="167">
        <f ca="1">OFFSET(①簡易状況入力!$C$5,MATCH(A295,①簡易状況入力!$C$5:$C$104,0)-1,12)</f>
        <v>0</v>
      </c>
      <c r="AA297" s="168"/>
      <c r="AB297" s="148" t="s">
        <v>50</v>
      </c>
      <c r="AC297" s="56">
        <f t="shared" ref="AC297:AD297" ca="1" si="1045">AC296</f>
        <v>0</v>
      </c>
      <c r="AD297" s="56">
        <f t="shared" ca="1" si="1045"/>
        <v>0</v>
      </c>
      <c r="AE297" s="63">
        <f ca="1">IF($C297="あり",IF(AC297&gt;=1,G297/AQ297,0),IF(AC297&gt;=1,AO297*AC297,0))</f>
        <v>0</v>
      </c>
      <c r="AF297" s="63">
        <f t="shared" ca="1" si="1038"/>
        <v>0</v>
      </c>
      <c r="AG297" s="63">
        <f t="shared" ca="1" si="1039"/>
        <v>0</v>
      </c>
      <c r="AH297" s="63">
        <f t="shared" ca="1" si="1040"/>
        <v>0</v>
      </c>
      <c r="AI297" s="63">
        <f t="shared" ca="1" si="1041"/>
        <v>0</v>
      </c>
      <c r="AJ297" s="63">
        <f t="shared" ca="1" si="1042"/>
        <v>0</v>
      </c>
      <c r="AK297" s="63">
        <f t="shared" ca="1" si="1043"/>
        <v>0</v>
      </c>
      <c r="AL297" s="63">
        <f ca="1">IF($C297="あり",IF($AD297&gt;=7,N297/$AQ297,0),IF($AD297&gt;=7,$AO297*($AD297-6),0))</f>
        <v>0</v>
      </c>
      <c r="AM297" s="65">
        <f ca="1">IF(C297="あり",O297/AQ297,AP297)</f>
        <v>0</v>
      </c>
      <c r="AN297" s="63">
        <f ca="1">SUM(AE297:AM297)</f>
        <v>0</v>
      </c>
      <c r="AO297" s="68" t="e">
        <f ca="1">1/(AC297+AD297)</f>
        <v>#DIV/0!</v>
      </c>
      <c r="AP297" s="67">
        <v>0</v>
      </c>
      <c r="AQ297" s="68">
        <f ca="1">IF(AC297&gt;=1,G297,0)+SUMIF($H$4:$M$4,"&lt;="&amp;AD297,$H297:$M297)+IF(AD297&gt;=7,N297,0)+O297</f>
        <v>0</v>
      </c>
    </row>
    <row r="298" spans="1:43" x14ac:dyDescent="0.15">
      <c r="A298" s="50"/>
      <c r="B298" s="50"/>
      <c r="C298" s="145">
        <f ca="1">OFFSET(①簡易状況入力!$C$5,MATCH(A295,①簡易状況入力!$C$5:$C$104,0)-1,20)</f>
        <v>0</v>
      </c>
      <c r="D298" s="148" t="s">
        <v>51</v>
      </c>
      <c r="E298" s="56">
        <f t="shared" ref="E298:F298" ca="1" si="1046">E297</f>
        <v>0</v>
      </c>
      <c r="F298" s="56">
        <f t="shared" ca="1" si="1046"/>
        <v>0</v>
      </c>
      <c r="G298" s="104"/>
      <c r="H298" s="104"/>
      <c r="I298" s="104"/>
      <c r="J298" s="104"/>
      <c r="K298" s="104"/>
      <c r="L298" s="104"/>
      <c r="M298" s="104"/>
      <c r="N298" s="104"/>
      <c r="O298" s="106"/>
      <c r="Q298" s="50"/>
      <c r="R298" s="58"/>
      <c r="S298" s="166"/>
      <c r="T298" s="146" t="s">
        <v>34</v>
      </c>
      <c r="U298" s="35">
        <f ca="1">OFFSET(①簡易状況入力!$C$5,MATCH(A295,①簡易状況入力!$C$5:$C$104,0)-1,3)</f>
        <v>0</v>
      </c>
      <c r="V298" s="58"/>
      <c r="W298" s="146" t="s">
        <v>118</v>
      </c>
      <c r="X298" s="37">
        <f ca="1">OFFSET(①簡易状況入力!$C$5,MATCH(A295,①簡易状況入力!$C$5:$C$104,0)-1,7)</f>
        <v>0</v>
      </c>
      <c r="Y298" s="149">
        <f ca="1">OFFSET(①簡易状況入力!$C$5,MATCH(A295,①簡易状況入力!$C$5:$C$104,0)-1,13)</f>
        <v>0</v>
      </c>
      <c r="Z298" s="167">
        <f ca="1">OFFSET(①簡易状況入力!$C$5,MATCH(A295,①簡易状況入力!$C$5:$C$104,0)-1,14)</f>
        <v>0</v>
      </c>
      <c r="AA298" s="168"/>
      <c r="AB298" s="148" t="s">
        <v>51</v>
      </c>
      <c r="AC298" s="56">
        <f t="shared" ref="AC298:AD298" ca="1" si="1047">AC297</f>
        <v>0</v>
      </c>
      <c r="AD298" s="56">
        <f t="shared" ca="1" si="1047"/>
        <v>0</v>
      </c>
      <c r="AE298" s="63">
        <f ca="1">IF($C298="あり",IF(AC298&gt;=1,G298/AQ298,0),IF(AC298&gt;=1,AO298*AC298,0))</f>
        <v>0</v>
      </c>
      <c r="AF298" s="63">
        <f t="shared" ca="1" si="1038"/>
        <v>0</v>
      </c>
      <c r="AG298" s="63">
        <f t="shared" ca="1" si="1039"/>
        <v>0</v>
      </c>
      <c r="AH298" s="63">
        <f t="shared" ca="1" si="1040"/>
        <v>0</v>
      </c>
      <c r="AI298" s="63">
        <f t="shared" ca="1" si="1041"/>
        <v>0</v>
      </c>
      <c r="AJ298" s="63">
        <f t="shared" ca="1" si="1042"/>
        <v>0</v>
      </c>
      <c r="AK298" s="63">
        <f t="shared" ca="1" si="1043"/>
        <v>0</v>
      </c>
      <c r="AL298" s="63">
        <f ca="1">IF($C298="あり",IF($AD298&gt;=7,N298/$AQ298,0),IF($AD298&gt;=7,$AO298*($AD298-6),0))</f>
        <v>0</v>
      </c>
      <c r="AM298" s="65">
        <f ca="1">IF(C298="あり",O298/AQ298,AP298)</f>
        <v>0</v>
      </c>
      <c r="AN298" s="63">
        <f ca="1">SUM(AE298:AM298)</f>
        <v>0</v>
      </c>
      <c r="AO298" s="68" t="e">
        <f ca="1">1/(AC298+AD298)</f>
        <v>#DIV/0!</v>
      </c>
      <c r="AP298" s="67">
        <v>0</v>
      </c>
      <c r="AQ298" s="68">
        <f ca="1">IF(AC298&gt;=1,G298,0)+SUMIF($H$4:$M$4,"&lt;="&amp;AD298,$H298:$M298)+IF(AD298&gt;=7,N298,0)+O298</f>
        <v>0</v>
      </c>
    </row>
    <row r="299" spans="1:43" x14ac:dyDescent="0.15">
      <c r="G299" s="107"/>
      <c r="H299" s="107"/>
      <c r="I299" s="107"/>
      <c r="J299" s="107"/>
      <c r="K299" s="107"/>
      <c r="L299" s="107"/>
      <c r="M299" s="107"/>
      <c r="N299" s="107"/>
      <c r="O299" s="107"/>
    </row>
    <row r="300" spans="1:43" x14ac:dyDescent="0.15">
      <c r="A300" s="59" t="s">
        <v>375</v>
      </c>
      <c r="B300" s="60">
        <f ca="1">OFFSET(①簡易状況入力!$C$5,MATCH(A300,①簡易状況入力!$C$5:$C$104,0)-1,1)</f>
        <v>0</v>
      </c>
      <c r="C300" s="145">
        <f ca="1">OFFSET(①簡易状況入力!$C$5,MATCH(A300,①簡易状況入力!$C$5:$C$104,0)-1,17)</f>
        <v>0</v>
      </c>
      <c r="D300" s="148" t="s">
        <v>47</v>
      </c>
      <c r="E300" s="56">
        <f ca="1">U303</f>
        <v>0</v>
      </c>
      <c r="F300" s="56">
        <f ca="1">U302</f>
        <v>0</v>
      </c>
      <c r="G300" s="102"/>
      <c r="H300" s="103"/>
      <c r="I300" s="103"/>
      <c r="J300" s="103"/>
      <c r="K300" s="103"/>
      <c r="L300" s="103"/>
      <c r="M300" s="103"/>
      <c r="N300" s="103"/>
      <c r="O300" s="103"/>
      <c r="Q300" s="57">
        <f ca="1">OFFSET(①簡易状況入力!$C$5,MATCH(A300,①簡易状況入力!$C$5:$C$104,0)-1,15)</f>
        <v>0</v>
      </c>
      <c r="R300" s="58"/>
      <c r="S300" s="58"/>
      <c r="T300" s="58"/>
      <c r="U300" s="58"/>
      <c r="V300" s="58"/>
      <c r="W300" s="58"/>
      <c r="X300" s="58"/>
      <c r="Y300" s="58"/>
      <c r="Z300" s="58"/>
      <c r="AA300" s="58"/>
      <c r="AB300" s="148" t="s">
        <v>47</v>
      </c>
      <c r="AC300" s="56">
        <f ca="1">U303</f>
        <v>0</v>
      </c>
      <c r="AD300" s="56">
        <f ca="1">U302</f>
        <v>0</v>
      </c>
      <c r="AE300" s="62" t="s">
        <v>46</v>
      </c>
      <c r="AF300" s="62" t="str">
        <f t="shared" ref="AF300" ca="1" si="1048">IF($C300="あり",IF(AF$4&lt;=$AD300,H300,"-"),IF(AF$4&lt;=$AD300,$AO300,"-"))</f>
        <v>-</v>
      </c>
      <c r="AG300" s="62" t="str">
        <f t="shared" ref="AG300" ca="1" si="1049">IF($C300="あり",IF(AG$4&lt;=$AD300,I300,"-"),IF(AG$4&lt;=$AD300,$AO300,"-"))</f>
        <v>-</v>
      </c>
      <c r="AH300" s="62" t="str">
        <f t="shared" ref="AH300" ca="1" si="1050">IF($C300="あり",IF(AH$4&lt;=$AD300,J300,"-"),IF(AH$4&lt;=$AD300,$AO300,"-"))</f>
        <v>-</v>
      </c>
      <c r="AI300" s="62" t="str">
        <f t="shared" ref="AI300" ca="1" si="1051">IF($C300="あり",IF(AI$4&lt;=$AD300,K300,"-"),IF(AI$4&lt;=$AD300,$AO300,"-"))</f>
        <v>-</v>
      </c>
      <c r="AJ300" s="62" t="str">
        <f t="shared" ref="AJ300" ca="1" si="1052">IF($C300="あり",IF(AJ$4&lt;=$AD300,L300,"-"),IF(AJ$4&lt;=$AD300,$AO300,"-"))</f>
        <v>-</v>
      </c>
      <c r="AK300" s="62" t="str">
        <f t="shared" ref="AK300" ca="1" si="1053">IF($C300="あり",IF(AK$4&lt;=$AD300,M300,"-"),IF(AK$4&lt;=$AD300,$AO300,"-"))</f>
        <v>-</v>
      </c>
      <c r="AL300" s="62" t="str">
        <f ca="1">IF($C300="あり",IF(7&lt;=$AD300,N300,"-"),IF(7&lt;=$AD300,$AO300*($AD300-6),"-"))</f>
        <v>-</v>
      </c>
      <c r="AM300" s="62">
        <f ca="1">IF(C300="あり",O300,AP300)</f>
        <v>0</v>
      </c>
      <c r="AN300" s="62">
        <f ca="1">SUM(U301,AF300:AM300)</f>
        <v>0</v>
      </c>
      <c r="AO300" s="42">
        <f ca="1">OFFSET(【DB】被害率係数!$A$4,MATCH(②詳細状況入力!$Y301,【DB】被害率係数!$A$4:$A$19,0)-1,16)</f>
        <v>0</v>
      </c>
      <c r="AP300" s="42">
        <f ca="1">OFFSET(【DB】被害率係数!$A$4,MATCH(②詳細状況入力!$Y301,【DB】被害率係数!$A$4:$A$19,0)-1,17)</f>
        <v>0</v>
      </c>
      <c r="AQ300" s="42"/>
    </row>
    <row r="301" spans="1:43" x14ac:dyDescent="0.15">
      <c r="A301" s="50"/>
      <c r="B301" s="50"/>
      <c r="C301" s="145">
        <f ca="1">OFFSET(①簡易状況入力!$C$5,MATCH(A300,①簡易状況入力!$C$5:$C$104,0)-1,18)</f>
        <v>0</v>
      </c>
      <c r="D301" s="148" t="s">
        <v>52</v>
      </c>
      <c r="E301" s="56">
        <f t="shared" ref="E301:F301" ca="1" si="1054">E300</f>
        <v>0</v>
      </c>
      <c r="F301" s="56">
        <f t="shared" ca="1" si="1054"/>
        <v>0</v>
      </c>
      <c r="G301" s="104"/>
      <c r="H301" s="104"/>
      <c r="I301" s="104"/>
      <c r="J301" s="104"/>
      <c r="K301" s="104"/>
      <c r="L301" s="104"/>
      <c r="M301" s="104"/>
      <c r="N301" s="104"/>
      <c r="O301" s="105"/>
      <c r="Q301" s="57">
        <f ca="1">OFFSET(①簡易状況入力!$C$5,MATCH(A300,①簡易状況入力!$C$5:$C$104,0)-1,16)</f>
        <v>0</v>
      </c>
      <c r="R301" s="58"/>
      <c r="S301" s="146" t="s">
        <v>115</v>
      </c>
      <c r="T301" s="146" t="s">
        <v>116</v>
      </c>
      <c r="U301" s="36">
        <f ca="1">OFFSET(①簡易状況入力!$C$5,MATCH(A300,①簡易状況入力!$C$5:$C$104,0)-1,4)</f>
        <v>0</v>
      </c>
      <c r="V301" s="58"/>
      <c r="W301" s="146" t="s">
        <v>30</v>
      </c>
      <c r="X301" s="37">
        <f ca="1">OFFSET(①簡易状況入力!$C$5,MATCH(A300,①簡易状況入力!$C$5:$C$104,0)-1,5)</f>
        <v>0</v>
      </c>
      <c r="Y301" s="149">
        <f ca="1">OFFSET(①簡易状況入力!$C$5,MATCH(A300,①簡易状況入力!$C$5:$C$104,0)-1,8)</f>
        <v>0</v>
      </c>
      <c r="Z301" s="149">
        <f ca="1">OFFSET(①簡易状況入力!$C$5,MATCH(A300,①簡易状況入力!$C$5:$C$104,0)-1,9)</f>
        <v>0</v>
      </c>
      <c r="AA301" s="149">
        <f ca="1">OFFSET(①簡易状況入力!$C$5,MATCH(A300,①簡易状況入力!$C$5:$C$104,0)-1,10)</f>
        <v>0</v>
      </c>
      <c r="AB301" s="148" t="s">
        <v>52</v>
      </c>
      <c r="AC301" s="56">
        <f t="shared" ref="AC301:AD301" ca="1" si="1055">AC300</f>
        <v>0</v>
      </c>
      <c r="AD301" s="56">
        <f t="shared" ca="1" si="1055"/>
        <v>0</v>
      </c>
      <c r="AE301" s="63">
        <f ca="1">IF($C301="あり",IF(AC301&gt;=1,G301/AQ301,0),IF(AC301&gt;=1,AO301*AC301,0))</f>
        <v>0</v>
      </c>
      <c r="AF301" s="63">
        <f t="shared" ref="AF301:AF303" ca="1" si="1056">IF($C301="あり",IF($AD301&gt;=AF$4,H301/$AQ301,0),IF($AD301&gt;=AF$4,$AO301,0))</f>
        <v>0</v>
      </c>
      <c r="AG301" s="63">
        <f t="shared" ref="AG301:AG303" ca="1" si="1057">IF($C301="あり",IF($AD301&gt;=AG$4,I301/$AQ301,0),IF($AD301&gt;=AG$4,$AO301,0))</f>
        <v>0</v>
      </c>
      <c r="AH301" s="63">
        <f t="shared" ref="AH301:AH303" ca="1" si="1058">IF($C301="あり",IF($AD301&gt;=AH$4,J301/$AQ301,0),IF($AD301&gt;=AH$4,$AO301,0))</f>
        <v>0</v>
      </c>
      <c r="AI301" s="63">
        <f t="shared" ref="AI301:AI303" ca="1" si="1059">IF($C301="あり",IF($AD301&gt;=AI$4,K301/$AQ301,0),IF($AD301&gt;=AI$4,$AO301,0))</f>
        <v>0</v>
      </c>
      <c r="AJ301" s="63">
        <f t="shared" ref="AJ301:AJ303" ca="1" si="1060">IF($C301="あり",IF($AD301&gt;=AJ$4,L301/$AQ301,0),IF($AD301&gt;=AJ$4,$AO301,0))</f>
        <v>0</v>
      </c>
      <c r="AK301" s="63">
        <f t="shared" ref="AK301:AK303" ca="1" si="1061">IF($C301="あり",IF($AD301&gt;=AK$4,M301/$AQ301,0),IF($AD301&gt;=AK$4,$AO301,0))</f>
        <v>0</v>
      </c>
      <c r="AL301" s="63">
        <f ca="1">IF($C301="あり",IF($AD301&gt;=7,N301/$AQ301,0),IF($AD301&gt;=7,$AO301*($AD301-6),0))</f>
        <v>0</v>
      </c>
      <c r="AM301" s="64" t="s">
        <v>46</v>
      </c>
      <c r="AN301" s="63">
        <f ca="1">SUM(AE301:AM301)</f>
        <v>0</v>
      </c>
      <c r="AO301" s="68" t="e">
        <f ca="1">1/(AC301+AD301)</f>
        <v>#DIV/0!</v>
      </c>
      <c r="AP301" s="67">
        <v>0</v>
      </c>
      <c r="AQ301" s="68">
        <f ca="1">IF(AC301&gt;=1,G301,0)+SUMIF($H$4:$M$4,"&lt;="&amp;AD301,$H301:$M301)+IF(AD301&gt;=7,N301,0)</f>
        <v>0</v>
      </c>
    </row>
    <row r="302" spans="1:43" x14ac:dyDescent="0.15">
      <c r="A302" s="50"/>
      <c r="B302" s="50"/>
      <c r="C302" s="145">
        <f ca="1">OFFSET(①簡易状況入力!$C$5,MATCH(A300,①簡易状況入力!$C$5:$C$104,0)-1,19)</f>
        <v>0</v>
      </c>
      <c r="D302" s="148" t="s">
        <v>50</v>
      </c>
      <c r="E302" s="56">
        <f t="shared" ref="E302" ca="1" si="1062">E301</f>
        <v>0</v>
      </c>
      <c r="F302" s="56">
        <f ca="1">F301</f>
        <v>0</v>
      </c>
      <c r="G302" s="104"/>
      <c r="H302" s="104"/>
      <c r="I302" s="104"/>
      <c r="J302" s="104"/>
      <c r="K302" s="104"/>
      <c r="L302" s="104"/>
      <c r="M302" s="104"/>
      <c r="N302" s="104"/>
      <c r="O302" s="106"/>
      <c r="Q302" s="50"/>
      <c r="R302" s="58"/>
      <c r="S302" s="165" t="s">
        <v>28</v>
      </c>
      <c r="T302" s="146" t="s">
        <v>35</v>
      </c>
      <c r="U302" s="35">
        <f ca="1">OFFSET(①簡易状況入力!$C$5,MATCH(A300,①簡易状況入力!$C$5:$C$104,0)-1,2)</f>
        <v>0</v>
      </c>
      <c r="V302" s="58"/>
      <c r="W302" s="146" t="s">
        <v>33</v>
      </c>
      <c r="X302" s="37">
        <f ca="1">OFFSET(①簡易状況入力!$C$5,MATCH(A300,①簡易状況入力!$C$5:$C$104,0)-1,6)</f>
        <v>0</v>
      </c>
      <c r="Y302" s="149">
        <f ca="1">OFFSET(①簡易状況入力!$C$5,MATCH(A300,①簡易状況入力!$C$5:$C$104,0)-1,11)</f>
        <v>0</v>
      </c>
      <c r="Z302" s="167">
        <f ca="1">OFFSET(①簡易状況入力!$C$5,MATCH(A300,①簡易状況入力!$C$5:$C$104,0)-1,12)</f>
        <v>0</v>
      </c>
      <c r="AA302" s="168"/>
      <c r="AB302" s="148" t="s">
        <v>50</v>
      </c>
      <c r="AC302" s="56">
        <f t="shared" ref="AC302:AD302" ca="1" si="1063">AC301</f>
        <v>0</v>
      </c>
      <c r="AD302" s="56">
        <f t="shared" ca="1" si="1063"/>
        <v>0</v>
      </c>
      <c r="AE302" s="63">
        <f ca="1">IF($C302="あり",IF(AC302&gt;=1,G302/AQ302,0),IF(AC302&gt;=1,AO302*AC302,0))</f>
        <v>0</v>
      </c>
      <c r="AF302" s="63">
        <f t="shared" ca="1" si="1056"/>
        <v>0</v>
      </c>
      <c r="AG302" s="63">
        <f t="shared" ca="1" si="1057"/>
        <v>0</v>
      </c>
      <c r="AH302" s="63">
        <f t="shared" ca="1" si="1058"/>
        <v>0</v>
      </c>
      <c r="AI302" s="63">
        <f t="shared" ca="1" si="1059"/>
        <v>0</v>
      </c>
      <c r="AJ302" s="63">
        <f t="shared" ca="1" si="1060"/>
        <v>0</v>
      </c>
      <c r="AK302" s="63">
        <f t="shared" ca="1" si="1061"/>
        <v>0</v>
      </c>
      <c r="AL302" s="63">
        <f ca="1">IF($C302="あり",IF($AD302&gt;=7,N302/$AQ302,0),IF($AD302&gt;=7,$AO302*($AD302-6),0))</f>
        <v>0</v>
      </c>
      <c r="AM302" s="65">
        <f ca="1">IF(C302="あり",O302/AQ302,AP302)</f>
        <v>0</v>
      </c>
      <c r="AN302" s="63">
        <f ca="1">SUM(AE302:AM302)</f>
        <v>0</v>
      </c>
      <c r="AO302" s="68" t="e">
        <f ca="1">1/(AC302+AD302)</f>
        <v>#DIV/0!</v>
      </c>
      <c r="AP302" s="67">
        <v>0</v>
      </c>
      <c r="AQ302" s="68">
        <f ca="1">IF(AC302&gt;=1,G302,0)+SUMIF($H$4:$M$4,"&lt;="&amp;AD302,$H302:$M302)+IF(AD302&gt;=7,N302,0)+O302</f>
        <v>0</v>
      </c>
    </row>
    <row r="303" spans="1:43" x14ac:dyDescent="0.15">
      <c r="A303" s="50"/>
      <c r="B303" s="50"/>
      <c r="C303" s="145">
        <f ca="1">OFFSET(①簡易状況入力!$C$5,MATCH(A300,①簡易状況入力!$C$5:$C$104,0)-1,20)</f>
        <v>0</v>
      </c>
      <c r="D303" s="148" t="s">
        <v>51</v>
      </c>
      <c r="E303" s="56">
        <f t="shared" ref="E303:F303" ca="1" si="1064">E302</f>
        <v>0</v>
      </c>
      <c r="F303" s="56">
        <f t="shared" ca="1" si="1064"/>
        <v>0</v>
      </c>
      <c r="G303" s="104"/>
      <c r="H303" s="104"/>
      <c r="I303" s="104"/>
      <c r="J303" s="104"/>
      <c r="K303" s="104"/>
      <c r="L303" s="104"/>
      <c r="M303" s="104"/>
      <c r="N303" s="104"/>
      <c r="O303" s="106"/>
      <c r="Q303" s="50"/>
      <c r="R303" s="58"/>
      <c r="S303" s="166"/>
      <c r="T303" s="146" t="s">
        <v>34</v>
      </c>
      <c r="U303" s="35">
        <f ca="1">OFFSET(①簡易状況入力!$C$5,MATCH(A300,①簡易状況入力!$C$5:$C$104,0)-1,3)</f>
        <v>0</v>
      </c>
      <c r="V303" s="58"/>
      <c r="W303" s="146" t="s">
        <v>118</v>
      </c>
      <c r="X303" s="37">
        <f ca="1">OFFSET(①簡易状況入力!$C$5,MATCH(A300,①簡易状況入力!$C$5:$C$104,0)-1,7)</f>
        <v>0</v>
      </c>
      <c r="Y303" s="149">
        <f ca="1">OFFSET(①簡易状況入力!$C$5,MATCH(A300,①簡易状況入力!$C$5:$C$104,0)-1,13)</f>
        <v>0</v>
      </c>
      <c r="Z303" s="167">
        <f ca="1">OFFSET(①簡易状況入力!$C$5,MATCH(A300,①簡易状況入力!$C$5:$C$104,0)-1,14)</f>
        <v>0</v>
      </c>
      <c r="AA303" s="168"/>
      <c r="AB303" s="148" t="s">
        <v>51</v>
      </c>
      <c r="AC303" s="56">
        <f t="shared" ref="AC303:AD303" ca="1" si="1065">AC302</f>
        <v>0</v>
      </c>
      <c r="AD303" s="56">
        <f t="shared" ca="1" si="1065"/>
        <v>0</v>
      </c>
      <c r="AE303" s="63">
        <f ca="1">IF($C303="あり",IF(AC303&gt;=1,G303/AQ303,0),IF(AC303&gt;=1,AO303*AC303,0))</f>
        <v>0</v>
      </c>
      <c r="AF303" s="63">
        <f t="shared" ca="1" si="1056"/>
        <v>0</v>
      </c>
      <c r="AG303" s="63">
        <f t="shared" ca="1" si="1057"/>
        <v>0</v>
      </c>
      <c r="AH303" s="63">
        <f t="shared" ca="1" si="1058"/>
        <v>0</v>
      </c>
      <c r="AI303" s="63">
        <f t="shared" ca="1" si="1059"/>
        <v>0</v>
      </c>
      <c r="AJ303" s="63">
        <f t="shared" ca="1" si="1060"/>
        <v>0</v>
      </c>
      <c r="AK303" s="63">
        <f t="shared" ca="1" si="1061"/>
        <v>0</v>
      </c>
      <c r="AL303" s="63">
        <f ca="1">IF($C303="あり",IF($AD303&gt;=7,N303/$AQ303,0),IF($AD303&gt;=7,$AO303*($AD303-6),0))</f>
        <v>0</v>
      </c>
      <c r="AM303" s="65">
        <f ca="1">IF(C303="あり",O303/AQ303,AP303)</f>
        <v>0</v>
      </c>
      <c r="AN303" s="63">
        <f ca="1">SUM(AE303:AM303)</f>
        <v>0</v>
      </c>
      <c r="AO303" s="68" t="e">
        <f ca="1">1/(AC303+AD303)</f>
        <v>#DIV/0!</v>
      </c>
      <c r="AP303" s="67">
        <v>0</v>
      </c>
      <c r="AQ303" s="68">
        <f ca="1">IF(AC303&gt;=1,G303,0)+SUMIF($H$4:$M$4,"&lt;="&amp;AD303,$H303:$M303)+IF(AD303&gt;=7,N303,0)+O303</f>
        <v>0</v>
      </c>
    </row>
    <row r="305" spans="1:43" x14ac:dyDescent="0.15">
      <c r="A305" s="59" t="s">
        <v>376</v>
      </c>
      <c r="B305" s="60">
        <f ca="1">OFFSET(①簡易状況入力!$C$5,MATCH(A305,①簡易状況入力!$C$5:$C$104,0)-1,1)</f>
        <v>0</v>
      </c>
      <c r="C305" s="145">
        <f ca="1">OFFSET(①簡易状況入力!$C$5,MATCH(A305,①簡易状況入力!$C$5:$C$104,0)-1,17)</f>
        <v>0</v>
      </c>
      <c r="D305" s="148" t="s">
        <v>47</v>
      </c>
      <c r="E305" s="56">
        <f ca="1">U308</f>
        <v>0</v>
      </c>
      <c r="F305" s="56">
        <f ca="1">U307</f>
        <v>0</v>
      </c>
      <c r="G305" s="102"/>
      <c r="H305" s="103"/>
      <c r="I305" s="103"/>
      <c r="J305" s="103"/>
      <c r="K305" s="103"/>
      <c r="L305" s="103"/>
      <c r="M305" s="103"/>
      <c r="N305" s="103"/>
      <c r="O305" s="103"/>
      <c r="Q305" s="57">
        <f ca="1">OFFSET(①簡易状況入力!$C$5,MATCH(A305,①簡易状況入力!$C$5:$C$104,0)-1,15)</f>
        <v>0</v>
      </c>
      <c r="R305" s="58"/>
      <c r="S305" s="58"/>
      <c r="T305" s="58"/>
      <c r="U305" s="58"/>
      <c r="V305" s="58"/>
      <c r="W305" s="58"/>
      <c r="X305" s="58"/>
      <c r="Y305" s="58"/>
      <c r="Z305" s="58"/>
      <c r="AA305" s="58"/>
      <c r="AB305" s="148" t="s">
        <v>47</v>
      </c>
      <c r="AC305" s="56">
        <f ca="1">U308</f>
        <v>0</v>
      </c>
      <c r="AD305" s="56">
        <f ca="1">U307</f>
        <v>0</v>
      </c>
      <c r="AE305" s="62" t="s">
        <v>46</v>
      </c>
      <c r="AF305" s="62" t="str">
        <f t="shared" ref="AF305" ca="1" si="1066">IF($C305="あり",IF(AF$4&lt;=$AD305,H305,"-"),IF(AF$4&lt;=$AD305,$AO305,"-"))</f>
        <v>-</v>
      </c>
      <c r="AG305" s="62" t="str">
        <f t="shared" ref="AG305" ca="1" si="1067">IF($C305="あり",IF(AG$4&lt;=$AD305,I305,"-"),IF(AG$4&lt;=$AD305,$AO305,"-"))</f>
        <v>-</v>
      </c>
      <c r="AH305" s="62" t="str">
        <f t="shared" ref="AH305" ca="1" si="1068">IF($C305="あり",IF(AH$4&lt;=$AD305,J305,"-"),IF(AH$4&lt;=$AD305,$AO305,"-"))</f>
        <v>-</v>
      </c>
      <c r="AI305" s="62" t="str">
        <f t="shared" ref="AI305" ca="1" si="1069">IF($C305="あり",IF(AI$4&lt;=$AD305,K305,"-"),IF(AI$4&lt;=$AD305,$AO305,"-"))</f>
        <v>-</v>
      </c>
      <c r="AJ305" s="62" t="str">
        <f t="shared" ref="AJ305" ca="1" si="1070">IF($C305="あり",IF(AJ$4&lt;=$AD305,L305,"-"),IF(AJ$4&lt;=$AD305,$AO305,"-"))</f>
        <v>-</v>
      </c>
      <c r="AK305" s="62" t="str">
        <f t="shared" ref="AK305" ca="1" si="1071">IF($C305="あり",IF(AK$4&lt;=$AD305,M305,"-"),IF(AK$4&lt;=$AD305,$AO305,"-"))</f>
        <v>-</v>
      </c>
      <c r="AL305" s="62" t="str">
        <f ca="1">IF($C305="あり",IF(7&lt;=$AD305,N305,"-"),IF(7&lt;=$AD305,$AO305*($AD305-6),"-"))</f>
        <v>-</v>
      </c>
      <c r="AM305" s="62">
        <f ca="1">IF(C305="あり",O305,AP305)</f>
        <v>0</v>
      </c>
      <c r="AN305" s="62">
        <f ca="1">SUM(U306,AF305:AM305)</f>
        <v>0</v>
      </c>
      <c r="AO305" s="42">
        <f ca="1">OFFSET(【DB】被害率係数!$A$4,MATCH(②詳細状況入力!$Y306,【DB】被害率係数!$A$4:$A$19,0)-1,16)</f>
        <v>0</v>
      </c>
      <c r="AP305" s="42">
        <f ca="1">OFFSET(【DB】被害率係数!$A$4,MATCH(②詳細状況入力!$Y306,【DB】被害率係数!$A$4:$A$19,0)-1,17)</f>
        <v>0</v>
      </c>
      <c r="AQ305" s="42"/>
    </row>
    <row r="306" spans="1:43" x14ac:dyDescent="0.15">
      <c r="A306" s="50"/>
      <c r="B306" s="50"/>
      <c r="C306" s="145">
        <f ca="1">OFFSET(①簡易状況入力!$C$5,MATCH(A305,①簡易状況入力!$C$5:$C$104,0)-1,18)</f>
        <v>0</v>
      </c>
      <c r="D306" s="148" t="s">
        <v>52</v>
      </c>
      <c r="E306" s="56">
        <f t="shared" ref="E306:F306" ca="1" si="1072">E305</f>
        <v>0</v>
      </c>
      <c r="F306" s="56">
        <f t="shared" ca="1" si="1072"/>
        <v>0</v>
      </c>
      <c r="G306" s="104"/>
      <c r="H306" s="104"/>
      <c r="I306" s="104"/>
      <c r="J306" s="104"/>
      <c r="K306" s="104"/>
      <c r="L306" s="104"/>
      <c r="M306" s="104"/>
      <c r="N306" s="104"/>
      <c r="O306" s="105"/>
      <c r="Q306" s="57">
        <f ca="1">OFFSET(①簡易状況入力!$C$5,MATCH(A305,①簡易状況入力!$C$5:$C$104,0)-1,16)</f>
        <v>0</v>
      </c>
      <c r="R306" s="58"/>
      <c r="S306" s="146" t="s">
        <v>115</v>
      </c>
      <c r="T306" s="146" t="s">
        <v>116</v>
      </c>
      <c r="U306" s="36">
        <f ca="1">OFFSET(①簡易状況入力!$C$5,MATCH(A305,①簡易状況入力!$C$5:$C$104,0)-1,4)</f>
        <v>0</v>
      </c>
      <c r="V306" s="58"/>
      <c r="W306" s="146" t="s">
        <v>30</v>
      </c>
      <c r="X306" s="37">
        <f ca="1">OFFSET(①簡易状況入力!$C$5,MATCH(A305,①簡易状況入力!$C$5:$C$104,0)-1,5)</f>
        <v>0</v>
      </c>
      <c r="Y306" s="149">
        <f ca="1">OFFSET(①簡易状況入力!$C$5,MATCH(A305,①簡易状況入力!$C$5:$C$104,0)-1,8)</f>
        <v>0</v>
      </c>
      <c r="Z306" s="149">
        <f ca="1">OFFSET(①簡易状況入力!$C$5,MATCH(A305,①簡易状況入力!$C$5:$C$104,0)-1,9)</f>
        <v>0</v>
      </c>
      <c r="AA306" s="149">
        <f ca="1">OFFSET(①簡易状況入力!$C$5,MATCH(A305,①簡易状況入力!$C$5:$C$104,0)-1,10)</f>
        <v>0</v>
      </c>
      <c r="AB306" s="148" t="s">
        <v>52</v>
      </c>
      <c r="AC306" s="56">
        <f t="shared" ref="AC306:AD306" ca="1" si="1073">AC305</f>
        <v>0</v>
      </c>
      <c r="AD306" s="56">
        <f t="shared" ca="1" si="1073"/>
        <v>0</v>
      </c>
      <c r="AE306" s="63">
        <f ca="1">IF($C306="あり",IF(AC306&gt;=1,G306/AQ306,0),IF(AC306&gt;=1,AO306*AC306,0))</f>
        <v>0</v>
      </c>
      <c r="AF306" s="63">
        <f t="shared" ref="AF306:AF308" ca="1" si="1074">IF($C306="あり",IF($AD306&gt;=AF$4,H306/$AQ306,0),IF($AD306&gt;=AF$4,$AO306,0))</f>
        <v>0</v>
      </c>
      <c r="AG306" s="63">
        <f t="shared" ref="AG306:AG308" ca="1" si="1075">IF($C306="あり",IF($AD306&gt;=AG$4,I306/$AQ306,0),IF($AD306&gt;=AG$4,$AO306,0))</f>
        <v>0</v>
      </c>
      <c r="AH306" s="63">
        <f t="shared" ref="AH306:AH308" ca="1" si="1076">IF($C306="あり",IF($AD306&gt;=AH$4,J306/$AQ306,0),IF($AD306&gt;=AH$4,$AO306,0))</f>
        <v>0</v>
      </c>
      <c r="AI306" s="63">
        <f t="shared" ref="AI306:AI308" ca="1" si="1077">IF($C306="あり",IF($AD306&gt;=AI$4,K306/$AQ306,0),IF($AD306&gt;=AI$4,$AO306,0))</f>
        <v>0</v>
      </c>
      <c r="AJ306" s="63">
        <f t="shared" ref="AJ306:AJ308" ca="1" si="1078">IF($C306="あり",IF($AD306&gt;=AJ$4,L306/$AQ306,0),IF($AD306&gt;=AJ$4,$AO306,0))</f>
        <v>0</v>
      </c>
      <c r="AK306" s="63">
        <f t="shared" ref="AK306:AK308" ca="1" si="1079">IF($C306="あり",IF($AD306&gt;=AK$4,M306/$AQ306,0),IF($AD306&gt;=AK$4,$AO306,0))</f>
        <v>0</v>
      </c>
      <c r="AL306" s="63">
        <f ca="1">IF($C306="あり",IF($AD306&gt;=7,N306/$AQ306,0),IF($AD306&gt;=7,$AO306*($AD306-6),0))</f>
        <v>0</v>
      </c>
      <c r="AM306" s="64" t="s">
        <v>46</v>
      </c>
      <c r="AN306" s="63">
        <f ca="1">SUM(AE306:AM306)</f>
        <v>0</v>
      </c>
      <c r="AO306" s="68" t="e">
        <f ca="1">1/(AC306+AD306)</f>
        <v>#DIV/0!</v>
      </c>
      <c r="AP306" s="67">
        <v>0</v>
      </c>
      <c r="AQ306" s="68">
        <f ca="1">IF(AC306&gt;=1,G306,0)+SUMIF($H$4:$M$4,"&lt;="&amp;AD306,$H306:$M306)+IF(AD306&gt;=7,N306,0)</f>
        <v>0</v>
      </c>
    </row>
    <row r="307" spans="1:43" x14ac:dyDescent="0.15">
      <c r="A307" s="50"/>
      <c r="B307" s="50"/>
      <c r="C307" s="145">
        <f ca="1">OFFSET(①簡易状況入力!$C$5,MATCH(A305,①簡易状況入力!$C$5:$C$104,0)-1,19)</f>
        <v>0</v>
      </c>
      <c r="D307" s="148" t="s">
        <v>50</v>
      </c>
      <c r="E307" s="56">
        <f t="shared" ref="E307" ca="1" si="1080">E306</f>
        <v>0</v>
      </c>
      <c r="F307" s="56">
        <f ca="1">F306</f>
        <v>0</v>
      </c>
      <c r="G307" s="104"/>
      <c r="H307" s="104"/>
      <c r="I307" s="104"/>
      <c r="J307" s="104"/>
      <c r="K307" s="104"/>
      <c r="L307" s="104"/>
      <c r="M307" s="104"/>
      <c r="N307" s="104"/>
      <c r="O307" s="106"/>
      <c r="Q307" s="50"/>
      <c r="R307" s="58"/>
      <c r="S307" s="165" t="s">
        <v>28</v>
      </c>
      <c r="T307" s="146" t="s">
        <v>35</v>
      </c>
      <c r="U307" s="35">
        <f ca="1">OFFSET(①簡易状況入力!$C$5,MATCH(A305,①簡易状況入力!$C$5:$C$104,0)-1,2)</f>
        <v>0</v>
      </c>
      <c r="V307" s="58"/>
      <c r="W307" s="146" t="s">
        <v>33</v>
      </c>
      <c r="X307" s="37">
        <f ca="1">OFFSET(①簡易状況入力!$C$5,MATCH(A305,①簡易状況入力!$C$5:$C$104,0)-1,6)</f>
        <v>0</v>
      </c>
      <c r="Y307" s="149">
        <f ca="1">OFFSET(①簡易状況入力!$C$5,MATCH(A305,①簡易状況入力!$C$5:$C$104,0)-1,11)</f>
        <v>0</v>
      </c>
      <c r="Z307" s="167">
        <f ca="1">OFFSET(①簡易状況入力!$C$5,MATCH(A305,①簡易状況入力!$C$5:$C$104,0)-1,12)</f>
        <v>0</v>
      </c>
      <c r="AA307" s="168"/>
      <c r="AB307" s="148" t="s">
        <v>50</v>
      </c>
      <c r="AC307" s="56">
        <f t="shared" ref="AC307:AD307" ca="1" si="1081">AC306</f>
        <v>0</v>
      </c>
      <c r="AD307" s="56">
        <f t="shared" ca="1" si="1081"/>
        <v>0</v>
      </c>
      <c r="AE307" s="63">
        <f ca="1">IF($C307="あり",IF(AC307&gt;=1,G307/AQ307,0),IF(AC307&gt;=1,AO307*AC307,0))</f>
        <v>0</v>
      </c>
      <c r="AF307" s="63">
        <f t="shared" ca="1" si="1074"/>
        <v>0</v>
      </c>
      <c r="AG307" s="63">
        <f t="shared" ca="1" si="1075"/>
        <v>0</v>
      </c>
      <c r="AH307" s="63">
        <f t="shared" ca="1" si="1076"/>
        <v>0</v>
      </c>
      <c r="AI307" s="63">
        <f t="shared" ca="1" si="1077"/>
        <v>0</v>
      </c>
      <c r="AJ307" s="63">
        <f t="shared" ca="1" si="1078"/>
        <v>0</v>
      </c>
      <c r="AK307" s="63">
        <f t="shared" ca="1" si="1079"/>
        <v>0</v>
      </c>
      <c r="AL307" s="63">
        <f ca="1">IF($C307="あり",IF($AD307&gt;=7,N307/$AQ307,0),IF($AD307&gt;=7,$AO307*($AD307-6),0))</f>
        <v>0</v>
      </c>
      <c r="AM307" s="65">
        <f ca="1">IF(C307="あり",O307/AQ307,AP307)</f>
        <v>0</v>
      </c>
      <c r="AN307" s="63">
        <f ca="1">SUM(AE307:AM307)</f>
        <v>0</v>
      </c>
      <c r="AO307" s="68" t="e">
        <f ca="1">1/(AC307+AD307)</f>
        <v>#DIV/0!</v>
      </c>
      <c r="AP307" s="67">
        <v>0</v>
      </c>
      <c r="AQ307" s="68">
        <f ca="1">IF(AC307&gt;=1,G307,0)+SUMIF($H$4:$M$4,"&lt;="&amp;AD307,$H307:$M307)+IF(AD307&gt;=7,N307,0)+O307</f>
        <v>0</v>
      </c>
    </row>
    <row r="308" spans="1:43" x14ac:dyDescent="0.15">
      <c r="A308" s="50"/>
      <c r="B308" s="50"/>
      <c r="C308" s="145">
        <f ca="1">OFFSET(①簡易状況入力!$C$5,MATCH(A305,①簡易状況入力!$C$5:$C$104,0)-1,20)</f>
        <v>0</v>
      </c>
      <c r="D308" s="148" t="s">
        <v>51</v>
      </c>
      <c r="E308" s="56">
        <f t="shared" ref="E308:F308" ca="1" si="1082">E307</f>
        <v>0</v>
      </c>
      <c r="F308" s="56">
        <f t="shared" ca="1" si="1082"/>
        <v>0</v>
      </c>
      <c r="G308" s="104"/>
      <c r="H308" s="104"/>
      <c r="I308" s="104"/>
      <c r="J308" s="104"/>
      <c r="K308" s="104"/>
      <c r="L308" s="104"/>
      <c r="M308" s="104"/>
      <c r="N308" s="104"/>
      <c r="O308" s="106"/>
      <c r="Q308" s="50"/>
      <c r="R308" s="58"/>
      <c r="S308" s="166"/>
      <c r="T308" s="146" t="s">
        <v>34</v>
      </c>
      <c r="U308" s="35">
        <f ca="1">OFFSET(①簡易状況入力!$C$5,MATCH(A305,①簡易状況入力!$C$5:$C$104,0)-1,3)</f>
        <v>0</v>
      </c>
      <c r="V308" s="58"/>
      <c r="W308" s="146" t="s">
        <v>118</v>
      </c>
      <c r="X308" s="37">
        <f ca="1">OFFSET(①簡易状況入力!$C$5,MATCH(A305,①簡易状況入力!$C$5:$C$104,0)-1,7)</f>
        <v>0</v>
      </c>
      <c r="Y308" s="149">
        <f ca="1">OFFSET(①簡易状況入力!$C$5,MATCH(A305,①簡易状況入力!$C$5:$C$104,0)-1,13)</f>
        <v>0</v>
      </c>
      <c r="Z308" s="167">
        <f ca="1">OFFSET(①簡易状況入力!$C$5,MATCH(A305,①簡易状況入力!$C$5:$C$104,0)-1,14)</f>
        <v>0</v>
      </c>
      <c r="AA308" s="168"/>
      <c r="AB308" s="148" t="s">
        <v>51</v>
      </c>
      <c r="AC308" s="56">
        <f t="shared" ref="AC308:AD308" ca="1" si="1083">AC307</f>
        <v>0</v>
      </c>
      <c r="AD308" s="56">
        <f t="shared" ca="1" si="1083"/>
        <v>0</v>
      </c>
      <c r="AE308" s="63">
        <f ca="1">IF($C308="あり",IF(AC308&gt;=1,G308/AQ308,0),IF(AC308&gt;=1,AO308*AC308,0))</f>
        <v>0</v>
      </c>
      <c r="AF308" s="63">
        <f t="shared" ca="1" si="1074"/>
        <v>0</v>
      </c>
      <c r="AG308" s="63">
        <f t="shared" ca="1" si="1075"/>
        <v>0</v>
      </c>
      <c r="AH308" s="63">
        <f t="shared" ca="1" si="1076"/>
        <v>0</v>
      </c>
      <c r="AI308" s="63">
        <f t="shared" ca="1" si="1077"/>
        <v>0</v>
      </c>
      <c r="AJ308" s="63">
        <f t="shared" ca="1" si="1078"/>
        <v>0</v>
      </c>
      <c r="AK308" s="63">
        <f t="shared" ca="1" si="1079"/>
        <v>0</v>
      </c>
      <c r="AL308" s="63">
        <f ca="1">IF($C308="あり",IF($AD308&gt;=7,N308/$AQ308,0),IF($AD308&gt;=7,$AO308*($AD308-6),0))</f>
        <v>0</v>
      </c>
      <c r="AM308" s="65">
        <f ca="1">IF(C308="あり",O308/AQ308,AP308)</f>
        <v>0</v>
      </c>
      <c r="AN308" s="63">
        <f ca="1">SUM(AE308:AM308)</f>
        <v>0</v>
      </c>
      <c r="AO308" s="68" t="e">
        <f ca="1">1/(AC308+AD308)</f>
        <v>#DIV/0!</v>
      </c>
      <c r="AP308" s="67">
        <v>0</v>
      </c>
      <c r="AQ308" s="68">
        <f ca="1">IF(AC308&gt;=1,G308,0)+SUMIF($H$4:$M$4,"&lt;="&amp;AD308,$H308:$M308)+IF(AD308&gt;=7,N308,0)+O308</f>
        <v>0</v>
      </c>
    </row>
    <row r="309" spans="1:43" x14ac:dyDescent="0.15">
      <c r="G309" s="107"/>
      <c r="H309" s="107"/>
      <c r="I309" s="107"/>
      <c r="J309" s="107"/>
      <c r="K309" s="107"/>
      <c r="L309" s="107"/>
      <c r="M309" s="107"/>
      <c r="N309" s="107"/>
      <c r="O309" s="107"/>
    </row>
    <row r="310" spans="1:43" x14ac:dyDescent="0.15">
      <c r="A310" s="59" t="s">
        <v>377</v>
      </c>
      <c r="B310" s="60">
        <f ca="1">OFFSET(①簡易状況入力!$C$5,MATCH(A310,①簡易状況入力!$C$5:$C$104,0)-1,1)</f>
        <v>0</v>
      </c>
      <c r="C310" s="145">
        <f ca="1">OFFSET(①簡易状況入力!$C$5,MATCH(A310,①簡易状況入力!$C$5:$C$104,0)-1,17)</f>
        <v>0</v>
      </c>
      <c r="D310" s="148" t="s">
        <v>47</v>
      </c>
      <c r="E310" s="56">
        <f ca="1">U313</f>
        <v>0</v>
      </c>
      <c r="F310" s="56">
        <f ca="1">U312</f>
        <v>0</v>
      </c>
      <c r="G310" s="102"/>
      <c r="H310" s="103"/>
      <c r="I310" s="103"/>
      <c r="J310" s="103"/>
      <c r="K310" s="103"/>
      <c r="L310" s="103"/>
      <c r="M310" s="103"/>
      <c r="N310" s="103"/>
      <c r="O310" s="103"/>
      <c r="Q310" s="57">
        <f ca="1">OFFSET(①簡易状況入力!$C$5,MATCH(A310,①簡易状況入力!$C$5:$C$104,0)-1,15)</f>
        <v>0</v>
      </c>
      <c r="R310" s="58"/>
      <c r="S310" s="58"/>
      <c r="T310" s="58"/>
      <c r="U310" s="58"/>
      <c r="V310" s="58"/>
      <c r="W310" s="58"/>
      <c r="X310" s="58"/>
      <c r="Y310" s="58"/>
      <c r="Z310" s="58"/>
      <c r="AA310" s="58"/>
      <c r="AB310" s="148" t="s">
        <v>47</v>
      </c>
      <c r="AC310" s="56">
        <f ca="1">U313</f>
        <v>0</v>
      </c>
      <c r="AD310" s="56">
        <f ca="1">U312</f>
        <v>0</v>
      </c>
      <c r="AE310" s="62" t="s">
        <v>46</v>
      </c>
      <c r="AF310" s="62" t="str">
        <f t="shared" ref="AF310" ca="1" si="1084">IF($C310="あり",IF(AF$4&lt;=$AD310,H310,"-"),IF(AF$4&lt;=$AD310,$AO310,"-"))</f>
        <v>-</v>
      </c>
      <c r="AG310" s="62" t="str">
        <f t="shared" ref="AG310" ca="1" si="1085">IF($C310="あり",IF(AG$4&lt;=$AD310,I310,"-"),IF(AG$4&lt;=$AD310,$AO310,"-"))</f>
        <v>-</v>
      </c>
      <c r="AH310" s="62" t="str">
        <f t="shared" ref="AH310" ca="1" si="1086">IF($C310="あり",IF(AH$4&lt;=$AD310,J310,"-"),IF(AH$4&lt;=$AD310,$AO310,"-"))</f>
        <v>-</v>
      </c>
      <c r="AI310" s="62" t="str">
        <f t="shared" ref="AI310" ca="1" si="1087">IF($C310="あり",IF(AI$4&lt;=$AD310,K310,"-"),IF(AI$4&lt;=$AD310,$AO310,"-"))</f>
        <v>-</v>
      </c>
      <c r="AJ310" s="62" t="str">
        <f t="shared" ref="AJ310" ca="1" si="1088">IF($C310="あり",IF(AJ$4&lt;=$AD310,L310,"-"),IF(AJ$4&lt;=$AD310,$AO310,"-"))</f>
        <v>-</v>
      </c>
      <c r="AK310" s="62" t="str">
        <f t="shared" ref="AK310" ca="1" si="1089">IF($C310="あり",IF(AK$4&lt;=$AD310,M310,"-"),IF(AK$4&lt;=$AD310,$AO310,"-"))</f>
        <v>-</v>
      </c>
      <c r="AL310" s="62" t="str">
        <f ca="1">IF($C310="あり",IF(7&lt;=$AD310,N310,"-"),IF(7&lt;=$AD310,$AO310*($AD310-6),"-"))</f>
        <v>-</v>
      </c>
      <c r="AM310" s="62">
        <f ca="1">IF(C310="あり",O310,AP310)</f>
        <v>0</v>
      </c>
      <c r="AN310" s="62">
        <f ca="1">SUM(U311,AF310:AM310)</f>
        <v>0</v>
      </c>
      <c r="AO310" s="42">
        <f ca="1">OFFSET(【DB】被害率係数!$A$4,MATCH(②詳細状況入力!$Y311,【DB】被害率係数!$A$4:$A$19,0)-1,16)</f>
        <v>0</v>
      </c>
      <c r="AP310" s="42">
        <f ca="1">OFFSET(【DB】被害率係数!$A$4,MATCH(②詳細状況入力!$Y311,【DB】被害率係数!$A$4:$A$19,0)-1,17)</f>
        <v>0</v>
      </c>
      <c r="AQ310" s="42"/>
    </row>
    <row r="311" spans="1:43" x14ac:dyDescent="0.15">
      <c r="A311" s="50"/>
      <c r="B311" s="50"/>
      <c r="C311" s="145">
        <f ca="1">OFFSET(①簡易状況入力!$C$5,MATCH(A310,①簡易状況入力!$C$5:$C$104,0)-1,18)</f>
        <v>0</v>
      </c>
      <c r="D311" s="148" t="s">
        <v>52</v>
      </c>
      <c r="E311" s="56">
        <f t="shared" ref="E311:F311" ca="1" si="1090">E310</f>
        <v>0</v>
      </c>
      <c r="F311" s="56">
        <f t="shared" ca="1" si="1090"/>
        <v>0</v>
      </c>
      <c r="G311" s="104"/>
      <c r="H311" s="104"/>
      <c r="I311" s="104"/>
      <c r="J311" s="104"/>
      <c r="K311" s="104"/>
      <c r="L311" s="104"/>
      <c r="M311" s="104"/>
      <c r="N311" s="104"/>
      <c r="O311" s="105"/>
      <c r="Q311" s="57">
        <f ca="1">OFFSET(①簡易状況入力!$C$5,MATCH(A310,①簡易状況入力!$C$5:$C$104,0)-1,16)</f>
        <v>0</v>
      </c>
      <c r="R311" s="58"/>
      <c r="S311" s="146" t="s">
        <v>115</v>
      </c>
      <c r="T311" s="146" t="s">
        <v>116</v>
      </c>
      <c r="U311" s="36">
        <f ca="1">OFFSET(①簡易状況入力!$C$5,MATCH(A310,①簡易状況入力!$C$5:$C$104,0)-1,4)</f>
        <v>0</v>
      </c>
      <c r="V311" s="58"/>
      <c r="W311" s="146" t="s">
        <v>30</v>
      </c>
      <c r="X311" s="37">
        <f ca="1">OFFSET(①簡易状況入力!$C$5,MATCH(A310,①簡易状況入力!$C$5:$C$104,0)-1,5)</f>
        <v>0</v>
      </c>
      <c r="Y311" s="149">
        <f ca="1">OFFSET(①簡易状況入力!$C$5,MATCH(A310,①簡易状況入力!$C$5:$C$104,0)-1,8)</f>
        <v>0</v>
      </c>
      <c r="Z311" s="149">
        <f ca="1">OFFSET(①簡易状況入力!$C$5,MATCH(A310,①簡易状況入力!$C$5:$C$104,0)-1,9)</f>
        <v>0</v>
      </c>
      <c r="AA311" s="149">
        <f ca="1">OFFSET(①簡易状況入力!$C$5,MATCH(A310,①簡易状況入力!$C$5:$C$104,0)-1,10)</f>
        <v>0</v>
      </c>
      <c r="AB311" s="148" t="s">
        <v>52</v>
      </c>
      <c r="AC311" s="56">
        <f t="shared" ref="AC311:AD311" ca="1" si="1091">AC310</f>
        <v>0</v>
      </c>
      <c r="AD311" s="56">
        <f t="shared" ca="1" si="1091"/>
        <v>0</v>
      </c>
      <c r="AE311" s="63">
        <f ca="1">IF($C311="あり",IF(AC311&gt;=1,G311/AQ311,0),IF(AC311&gt;=1,AO311*AC311,0))</f>
        <v>0</v>
      </c>
      <c r="AF311" s="63">
        <f t="shared" ref="AF311:AF313" ca="1" si="1092">IF($C311="あり",IF($AD311&gt;=AF$4,H311/$AQ311,0),IF($AD311&gt;=AF$4,$AO311,0))</f>
        <v>0</v>
      </c>
      <c r="AG311" s="63">
        <f t="shared" ref="AG311:AG313" ca="1" si="1093">IF($C311="あり",IF($AD311&gt;=AG$4,I311/$AQ311,0),IF($AD311&gt;=AG$4,$AO311,0))</f>
        <v>0</v>
      </c>
      <c r="AH311" s="63">
        <f t="shared" ref="AH311:AH313" ca="1" si="1094">IF($C311="あり",IF($AD311&gt;=AH$4,J311/$AQ311,0),IF($AD311&gt;=AH$4,$AO311,0))</f>
        <v>0</v>
      </c>
      <c r="AI311" s="63">
        <f t="shared" ref="AI311:AI313" ca="1" si="1095">IF($C311="あり",IF($AD311&gt;=AI$4,K311/$AQ311,0),IF($AD311&gt;=AI$4,$AO311,0))</f>
        <v>0</v>
      </c>
      <c r="AJ311" s="63">
        <f t="shared" ref="AJ311:AJ313" ca="1" si="1096">IF($C311="あり",IF($AD311&gt;=AJ$4,L311/$AQ311,0),IF($AD311&gt;=AJ$4,$AO311,0))</f>
        <v>0</v>
      </c>
      <c r="AK311" s="63">
        <f t="shared" ref="AK311:AK313" ca="1" si="1097">IF($C311="あり",IF($AD311&gt;=AK$4,M311/$AQ311,0),IF($AD311&gt;=AK$4,$AO311,0))</f>
        <v>0</v>
      </c>
      <c r="AL311" s="63">
        <f ca="1">IF($C311="あり",IF($AD311&gt;=7,N311/$AQ311,0),IF($AD311&gt;=7,$AO311*($AD311-6),0))</f>
        <v>0</v>
      </c>
      <c r="AM311" s="64" t="s">
        <v>46</v>
      </c>
      <c r="AN311" s="63">
        <f ca="1">SUM(AE311:AM311)</f>
        <v>0</v>
      </c>
      <c r="AO311" s="68" t="e">
        <f ca="1">1/(AC311+AD311)</f>
        <v>#DIV/0!</v>
      </c>
      <c r="AP311" s="67">
        <v>0</v>
      </c>
      <c r="AQ311" s="68">
        <f ca="1">IF(AC311&gt;=1,G311,0)+SUMIF($H$4:$M$4,"&lt;="&amp;AD311,$H311:$M311)+IF(AD311&gt;=7,N311,0)</f>
        <v>0</v>
      </c>
    </row>
    <row r="312" spans="1:43" x14ac:dyDescent="0.15">
      <c r="A312" s="50"/>
      <c r="B312" s="50"/>
      <c r="C312" s="145">
        <f ca="1">OFFSET(①簡易状況入力!$C$5,MATCH(A310,①簡易状況入力!$C$5:$C$104,0)-1,19)</f>
        <v>0</v>
      </c>
      <c r="D312" s="148" t="s">
        <v>50</v>
      </c>
      <c r="E312" s="56">
        <f t="shared" ref="E312" ca="1" si="1098">E311</f>
        <v>0</v>
      </c>
      <c r="F312" s="56">
        <f ca="1">F311</f>
        <v>0</v>
      </c>
      <c r="G312" s="104"/>
      <c r="H312" s="104"/>
      <c r="I312" s="104"/>
      <c r="J312" s="104"/>
      <c r="K312" s="104"/>
      <c r="L312" s="104"/>
      <c r="M312" s="104"/>
      <c r="N312" s="104"/>
      <c r="O312" s="106"/>
      <c r="Q312" s="50"/>
      <c r="R312" s="58"/>
      <c r="S312" s="165" t="s">
        <v>28</v>
      </c>
      <c r="T312" s="146" t="s">
        <v>35</v>
      </c>
      <c r="U312" s="35">
        <f ca="1">OFFSET(①簡易状況入力!$C$5,MATCH(A310,①簡易状況入力!$C$5:$C$104,0)-1,2)</f>
        <v>0</v>
      </c>
      <c r="V312" s="58"/>
      <c r="W312" s="146" t="s">
        <v>33</v>
      </c>
      <c r="X312" s="37">
        <f ca="1">OFFSET(①簡易状況入力!$C$5,MATCH(A310,①簡易状況入力!$C$5:$C$104,0)-1,6)</f>
        <v>0</v>
      </c>
      <c r="Y312" s="149">
        <f ca="1">OFFSET(①簡易状況入力!$C$5,MATCH(A310,①簡易状況入力!$C$5:$C$104,0)-1,11)</f>
        <v>0</v>
      </c>
      <c r="Z312" s="167">
        <f ca="1">OFFSET(①簡易状況入力!$C$5,MATCH(A310,①簡易状況入力!$C$5:$C$104,0)-1,12)</f>
        <v>0</v>
      </c>
      <c r="AA312" s="168"/>
      <c r="AB312" s="148" t="s">
        <v>50</v>
      </c>
      <c r="AC312" s="56">
        <f t="shared" ref="AC312:AD312" ca="1" si="1099">AC311</f>
        <v>0</v>
      </c>
      <c r="AD312" s="56">
        <f t="shared" ca="1" si="1099"/>
        <v>0</v>
      </c>
      <c r="AE312" s="63">
        <f ca="1">IF($C312="あり",IF(AC312&gt;=1,G312/AQ312,0),IF(AC312&gt;=1,AO312*AC312,0))</f>
        <v>0</v>
      </c>
      <c r="AF312" s="63">
        <f t="shared" ca="1" si="1092"/>
        <v>0</v>
      </c>
      <c r="AG312" s="63">
        <f t="shared" ca="1" si="1093"/>
        <v>0</v>
      </c>
      <c r="AH312" s="63">
        <f t="shared" ca="1" si="1094"/>
        <v>0</v>
      </c>
      <c r="AI312" s="63">
        <f t="shared" ca="1" si="1095"/>
        <v>0</v>
      </c>
      <c r="AJ312" s="63">
        <f t="shared" ca="1" si="1096"/>
        <v>0</v>
      </c>
      <c r="AK312" s="63">
        <f t="shared" ca="1" si="1097"/>
        <v>0</v>
      </c>
      <c r="AL312" s="63">
        <f ca="1">IF($C312="あり",IF($AD312&gt;=7,N312/$AQ312,0),IF($AD312&gt;=7,$AO312*($AD312-6),0))</f>
        <v>0</v>
      </c>
      <c r="AM312" s="65">
        <f ca="1">IF(C312="あり",O312/AQ312,AP312)</f>
        <v>0</v>
      </c>
      <c r="AN312" s="63">
        <f ca="1">SUM(AE312:AM312)</f>
        <v>0</v>
      </c>
      <c r="AO312" s="68" t="e">
        <f ca="1">1/(AC312+AD312)</f>
        <v>#DIV/0!</v>
      </c>
      <c r="AP312" s="67">
        <v>0</v>
      </c>
      <c r="AQ312" s="68">
        <f ca="1">IF(AC312&gt;=1,G312,0)+SUMIF($H$4:$M$4,"&lt;="&amp;AD312,$H312:$M312)+IF(AD312&gt;=7,N312,0)+O312</f>
        <v>0</v>
      </c>
    </row>
    <row r="313" spans="1:43" x14ac:dyDescent="0.15">
      <c r="A313" s="50"/>
      <c r="B313" s="50"/>
      <c r="C313" s="145">
        <f ca="1">OFFSET(①簡易状況入力!$C$5,MATCH(A310,①簡易状況入力!$C$5:$C$104,0)-1,20)</f>
        <v>0</v>
      </c>
      <c r="D313" s="148" t="s">
        <v>51</v>
      </c>
      <c r="E313" s="56">
        <f t="shared" ref="E313:F313" ca="1" si="1100">E312</f>
        <v>0</v>
      </c>
      <c r="F313" s="56">
        <f t="shared" ca="1" si="1100"/>
        <v>0</v>
      </c>
      <c r="G313" s="104"/>
      <c r="H313" s="104"/>
      <c r="I313" s="104"/>
      <c r="J313" s="104"/>
      <c r="K313" s="104"/>
      <c r="L313" s="104"/>
      <c r="M313" s="104"/>
      <c r="N313" s="104"/>
      <c r="O313" s="106"/>
      <c r="Q313" s="50"/>
      <c r="R313" s="58"/>
      <c r="S313" s="166"/>
      <c r="T313" s="146" t="s">
        <v>34</v>
      </c>
      <c r="U313" s="35">
        <f ca="1">OFFSET(①簡易状況入力!$C$5,MATCH(A310,①簡易状況入力!$C$5:$C$104,0)-1,3)</f>
        <v>0</v>
      </c>
      <c r="V313" s="58"/>
      <c r="W313" s="146" t="s">
        <v>118</v>
      </c>
      <c r="X313" s="37">
        <f ca="1">OFFSET(①簡易状況入力!$C$5,MATCH(A310,①簡易状況入力!$C$5:$C$104,0)-1,7)</f>
        <v>0</v>
      </c>
      <c r="Y313" s="149">
        <f ca="1">OFFSET(①簡易状況入力!$C$5,MATCH(A310,①簡易状況入力!$C$5:$C$104,0)-1,13)</f>
        <v>0</v>
      </c>
      <c r="Z313" s="167">
        <f ca="1">OFFSET(①簡易状況入力!$C$5,MATCH(A310,①簡易状況入力!$C$5:$C$104,0)-1,14)</f>
        <v>0</v>
      </c>
      <c r="AA313" s="168"/>
      <c r="AB313" s="148" t="s">
        <v>51</v>
      </c>
      <c r="AC313" s="56">
        <f t="shared" ref="AC313:AD313" ca="1" si="1101">AC312</f>
        <v>0</v>
      </c>
      <c r="AD313" s="56">
        <f t="shared" ca="1" si="1101"/>
        <v>0</v>
      </c>
      <c r="AE313" s="63">
        <f ca="1">IF($C313="あり",IF(AC313&gt;=1,G313/AQ313,0),IF(AC313&gt;=1,AO313*AC313,0))</f>
        <v>0</v>
      </c>
      <c r="AF313" s="63">
        <f t="shared" ca="1" si="1092"/>
        <v>0</v>
      </c>
      <c r="AG313" s="63">
        <f t="shared" ca="1" si="1093"/>
        <v>0</v>
      </c>
      <c r="AH313" s="63">
        <f t="shared" ca="1" si="1094"/>
        <v>0</v>
      </c>
      <c r="AI313" s="63">
        <f t="shared" ca="1" si="1095"/>
        <v>0</v>
      </c>
      <c r="AJ313" s="63">
        <f t="shared" ca="1" si="1096"/>
        <v>0</v>
      </c>
      <c r="AK313" s="63">
        <f t="shared" ca="1" si="1097"/>
        <v>0</v>
      </c>
      <c r="AL313" s="63">
        <f ca="1">IF($C313="あり",IF($AD313&gt;=7,N313/$AQ313,0),IF($AD313&gt;=7,$AO313*($AD313-6),0))</f>
        <v>0</v>
      </c>
      <c r="AM313" s="65">
        <f ca="1">IF(C313="あり",O313/AQ313,AP313)</f>
        <v>0</v>
      </c>
      <c r="AN313" s="63">
        <f ca="1">SUM(AE313:AM313)</f>
        <v>0</v>
      </c>
      <c r="AO313" s="68" t="e">
        <f ca="1">1/(AC313+AD313)</f>
        <v>#DIV/0!</v>
      </c>
      <c r="AP313" s="67">
        <v>0</v>
      </c>
      <c r="AQ313" s="68">
        <f ca="1">IF(AC313&gt;=1,G313,0)+SUMIF($H$4:$M$4,"&lt;="&amp;AD313,$H313:$M313)+IF(AD313&gt;=7,N313,0)+O313</f>
        <v>0</v>
      </c>
    </row>
    <row r="314" spans="1:43" x14ac:dyDescent="0.15">
      <c r="G314" s="107"/>
      <c r="H314" s="107"/>
      <c r="I314" s="107"/>
      <c r="J314" s="107"/>
      <c r="K314" s="107"/>
      <c r="L314" s="107"/>
      <c r="M314" s="107"/>
      <c r="N314" s="107"/>
      <c r="O314" s="107"/>
    </row>
    <row r="315" spans="1:43" x14ac:dyDescent="0.15">
      <c r="A315" s="59" t="s">
        <v>378</v>
      </c>
      <c r="B315" s="60">
        <f ca="1">OFFSET(①簡易状況入力!$C$5,MATCH(A315,①簡易状況入力!$C$5:$C$104,0)-1,1)</f>
        <v>0</v>
      </c>
      <c r="C315" s="145">
        <f ca="1">OFFSET(①簡易状況入力!$C$5,MATCH(A315,①簡易状況入力!$C$5:$C$104,0)-1,17)</f>
        <v>0</v>
      </c>
      <c r="D315" s="148" t="s">
        <v>47</v>
      </c>
      <c r="E315" s="56">
        <f ca="1">U318</f>
        <v>0</v>
      </c>
      <c r="F315" s="56">
        <f ca="1">U317</f>
        <v>0</v>
      </c>
      <c r="G315" s="102"/>
      <c r="H315" s="103"/>
      <c r="I315" s="103"/>
      <c r="J315" s="103"/>
      <c r="K315" s="103"/>
      <c r="L315" s="103"/>
      <c r="M315" s="103"/>
      <c r="N315" s="103"/>
      <c r="O315" s="103"/>
      <c r="Q315" s="57">
        <f ca="1">OFFSET(①簡易状況入力!$C$5,MATCH(A315,①簡易状況入力!$C$5:$C$104,0)-1,15)</f>
        <v>0</v>
      </c>
      <c r="R315" s="58"/>
      <c r="S315" s="58"/>
      <c r="T315" s="58"/>
      <c r="U315" s="58"/>
      <c r="V315" s="58"/>
      <c r="W315" s="58"/>
      <c r="X315" s="58"/>
      <c r="Y315" s="58"/>
      <c r="Z315" s="58"/>
      <c r="AA315" s="58"/>
      <c r="AB315" s="148" t="s">
        <v>47</v>
      </c>
      <c r="AC315" s="56">
        <f ca="1">U318</f>
        <v>0</v>
      </c>
      <c r="AD315" s="56">
        <f ca="1">U317</f>
        <v>0</v>
      </c>
      <c r="AE315" s="62" t="s">
        <v>46</v>
      </c>
      <c r="AF315" s="62" t="str">
        <f t="shared" ref="AF315" ca="1" si="1102">IF($C315="あり",IF(AF$4&lt;=$AD315,H315,"-"),IF(AF$4&lt;=$AD315,$AO315,"-"))</f>
        <v>-</v>
      </c>
      <c r="AG315" s="62" t="str">
        <f t="shared" ref="AG315" ca="1" si="1103">IF($C315="あり",IF(AG$4&lt;=$AD315,I315,"-"),IF(AG$4&lt;=$AD315,$AO315,"-"))</f>
        <v>-</v>
      </c>
      <c r="AH315" s="62" t="str">
        <f t="shared" ref="AH315" ca="1" si="1104">IF($C315="あり",IF(AH$4&lt;=$AD315,J315,"-"),IF(AH$4&lt;=$AD315,$AO315,"-"))</f>
        <v>-</v>
      </c>
      <c r="AI315" s="62" t="str">
        <f t="shared" ref="AI315" ca="1" si="1105">IF($C315="あり",IF(AI$4&lt;=$AD315,K315,"-"),IF(AI$4&lt;=$AD315,$AO315,"-"))</f>
        <v>-</v>
      </c>
      <c r="AJ315" s="62" t="str">
        <f t="shared" ref="AJ315" ca="1" si="1106">IF($C315="あり",IF(AJ$4&lt;=$AD315,L315,"-"),IF(AJ$4&lt;=$AD315,$AO315,"-"))</f>
        <v>-</v>
      </c>
      <c r="AK315" s="62" t="str">
        <f t="shared" ref="AK315" ca="1" si="1107">IF($C315="あり",IF(AK$4&lt;=$AD315,M315,"-"),IF(AK$4&lt;=$AD315,$AO315,"-"))</f>
        <v>-</v>
      </c>
      <c r="AL315" s="62" t="str">
        <f ca="1">IF($C315="あり",IF(7&lt;=$AD315,N315,"-"),IF(7&lt;=$AD315,$AO315*($AD315-6),"-"))</f>
        <v>-</v>
      </c>
      <c r="AM315" s="62">
        <f ca="1">IF(C315="あり",O315,AP315)</f>
        <v>0</v>
      </c>
      <c r="AN315" s="62">
        <f ca="1">SUM(U316,AF315:AM315)</f>
        <v>0</v>
      </c>
      <c r="AO315" s="42">
        <f ca="1">OFFSET(【DB】被害率係数!$A$4,MATCH(②詳細状況入力!$Y316,【DB】被害率係数!$A$4:$A$19,0)-1,16)</f>
        <v>0</v>
      </c>
      <c r="AP315" s="42">
        <f ca="1">OFFSET(【DB】被害率係数!$A$4,MATCH(②詳細状況入力!$Y316,【DB】被害率係数!$A$4:$A$19,0)-1,17)</f>
        <v>0</v>
      </c>
      <c r="AQ315" s="42"/>
    </row>
    <row r="316" spans="1:43" x14ac:dyDescent="0.15">
      <c r="A316" s="50"/>
      <c r="B316" s="50"/>
      <c r="C316" s="145">
        <f ca="1">OFFSET(①簡易状況入力!$C$5,MATCH(A315,①簡易状況入力!$C$5:$C$104,0)-1,18)</f>
        <v>0</v>
      </c>
      <c r="D316" s="148" t="s">
        <v>52</v>
      </c>
      <c r="E316" s="56">
        <f t="shared" ref="E316:F316" ca="1" si="1108">E315</f>
        <v>0</v>
      </c>
      <c r="F316" s="56">
        <f t="shared" ca="1" si="1108"/>
        <v>0</v>
      </c>
      <c r="G316" s="104"/>
      <c r="H316" s="104"/>
      <c r="I316" s="104"/>
      <c r="J316" s="104"/>
      <c r="K316" s="104"/>
      <c r="L316" s="104"/>
      <c r="M316" s="104"/>
      <c r="N316" s="104"/>
      <c r="O316" s="105"/>
      <c r="Q316" s="57">
        <f ca="1">OFFSET(①簡易状況入力!$C$5,MATCH(A315,①簡易状況入力!$C$5:$C$104,0)-1,16)</f>
        <v>0</v>
      </c>
      <c r="R316" s="58"/>
      <c r="S316" s="146" t="s">
        <v>115</v>
      </c>
      <c r="T316" s="146" t="s">
        <v>116</v>
      </c>
      <c r="U316" s="36">
        <f ca="1">OFFSET(①簡易状況入力!$C$5,MATCH(A315,①簡易状況入力!$C$5:$C$104,0)-1,4)</f>
        <v>0</v>
      </c>
      <c r="V316" s="58"/>
      <c r="W316" s="146" t="s">
        <v>30</v>
      </c>
      <c r="X316" s="37">
        <f ca="1">OFFSET(①簡易状況入力!$C$5,MATCH(A315,①簡易状況入力!$C$5:$C$104,0)-1,5)</f>
        <v>0</v>
      </c>
      <c r="Y316" s="149">
        <f ca="1">OFFSET(①簡易状況入力!$C$5,MATCH(A315,①簡易状況入力!$C$5:$C$104,0)-1,8)</f>
        <v>0</v>
      </c>
      <c r="Z316" s="149">
        <f ca="1">OFFSET(①簡易状況入力!$C$5,MATCH(A315,①簡易状況入力!$C$5:$C$104,0)-1,9)</f>
        <v>0</v>
      </c>
      <c r="AA316" s="149">
        <f ca="1">OFFSET(①簡易状況入力!$C$5,MATCH(A315,①簡易状況入力!$C$5:$C$104,0)-1,10)</f>
        <v>0</v>
      </c>
      <c r="AB316" s="148" t="s">
        <v>52</v>
      </c>
      <c r="AC316" s="56">
        <f t="shared" ref="AC316:AD316" ca="1" si="1109">AC315</f>
        <v>0</v>
      </c>
      <c r="AD316" s="56">
        <f t="shared" ca="1" si="1109"/>
        <v>0</v>
      </c>
      <c r="AE316" s="63">
        <f ca="1">IF($C316="あり",IF(AC316&gt;=1,G316/AQ316,0),IF(AC316&gt;=1,AO316*AC316,0))</f>
        <v>0</v>
      </c>
      <c r="AF316" s="63">
        <f t="shared" ref="AF316:AF318" ca="1" si="1110">IF($C316="あり",IF($AD316&gt;=AF$4,H316/$AQ316,0),IF($AD316&gt;=AF$4,$AO316,0))</f>
        <v>0</v>
      </c>
      <c r="AG316" s="63">
        <f t="shared" ref="AG316:AG318" ca="1" si="1111">IF($C316="あり",IF($AD316&gt;=AG$4,I316/$AQ316,0),IF($AD316&gt;=AG$4,$AO316,0))</f>
        <v>0</v>
      </c>
      <c r="AH316" s="63">
        <f t="shared" ref="AH316:AH318" ca="1" si="1112">IF($C316="あり",IF($AD316&gt;=AH$4,J316/$AQ316,0),IF($AD316&gt;=AH$4,$AO316,0))</f>
        <v>0</v>
      </c>
      <c r="AI316" s="63">
        <f t="shared" ref="AI316:AI318" ca="1" si="1113">IF($C316="あり",IF($AD316&gt;=AI$4,K316/$AQ316,0),IF($AD316&gt;=AI$4,$AO316,0))</f>
        <v>0</v>
      </c>
      <c r="AJ316" s="63">
        <f t="shared" ref="AJ316:AJ318" ca="1" si="1114">IF($C316="あり",IF($AD316&gt;=AJ$4,L316/$AQ316,0),IF($AD316&gt;=AJ$4,$AO316,0))</f>
        <v>0</v>
      </c>
      <c r="AK316" s="63">
        <f t="shared" ref="AK316:AK318" ca="1" si="1115">IF($C316="あり",IF($AD316&gt;=AK$4,M316/$AQ316,0),IF($AD316&gt;=AK$4,$AO316,0))</f>
        <v>0</v>
      </c>
      <c r="AL316" s="63">
        <f ca="1">IF($C316="あり",IF($AD316&gt;=7,N316/$AQ316,0),IF($AD316&gt;=7,$AO316*($AD316-6),0))</f>
        <v>0</v>
      </c>
      <c r="AM316" s="64" t="s">
        <v>46</v>
      </c>
      <c r="AN316" s="63">
        <f ca="1">SUM(AE316:AM316)</f>
        <v>0</v>
      </c>
      <c r="AO316" s="68" t="e">
        <f ca="1">1/(AC316+AD316)</f>
        <v>#DIV/0!</v>
      </c>
      <c r="AP316" s="67">
        <v>0</v>
      </c>
      <c r="AQ316" s="68">
        <f ca="1">IF(AC316&gt;=1,G316,0)+SUMIF($H$4:$M$4,"&lt;="&amp;AD316,$H316:$M316)+IF(AD316&gt;=7,N316,0)</f>
        <v>0</v>
      </c>
    </row>
    <row r="317" spans="1:43" x14ac:dyDescent="0.15">
      <c r="A317" s="50"/>
      <c r="B317" s="50"/>
      <c r="C317" s="145">
        <f ca="1">OFFSET(①簡易状況入力!$C$5,MATCH(A315,①簡易状況入力!$C$5:$C$104,0)-1,19)</f>
        <v>0</v>
      </c>
      <c r="D317" s="148" t="s">
        <v>50</v>
      </c>
      <c r="E317" s="56">
        <f t="shared" ref="E317" ca="1" si="1116">E316</f>
        <v>0</v>
      </c>
      <c r="F317" s="56">
        <f ca="1">F316</f>
        <v>0</v>
      </c>
      <c r="G317" s="104"/>
      <c r="H317" s="104"/>
      <c r="I317" s="104"/>
      <c r="J317" s="104"/>
      <c r="K317" s="104"/>
      <c r="L317" s="104"/>
      <c r="M317" s="104"/>
      <c r="N317" s="104"/>
      <c r="O317" s="106"/>
      <c r="Q317" s="50"/>
      <c r="R317" s="58"/>
      <c r="S317" s="165" t="s">
        <v>28</v>
      </c>
      <c r="T317" s="146" t="s">
        <v>35</v>
      </c>
      <c r="U317" s="35">
        <f ca="1">OFFSET(①簡易状況入力!$C$5,MATCH(A315,①簡易状況入力!$C$5:$C$104,0)-1,2)</f>
        <v>0</v>
      </c>
      <c r="V317" s="58"/>
      <c r="W317" s="146" t="s">
        <v>33</v>
      </c>
      <c r="X317" s="37">
        <f ca="1">OFFSET(①簡易状況入力!$C$5,MATCH(A315,①簡易状況入力!$C$5:$C$104,0)-1,6)</f>
        <v>0</v>
      </c>
      <c r="Y317" s="149">
        <f ca="1">OFFSET(①簡易状況入力!$C$5,MATCH(A315,①簡易状況入力!$C$5:$C$104,0)-1,11)</f>
        <v>0</v>
      </c>
      <c r="Z317" s="167">
        <f ca="1">OFFSET(①簡易状況入力!$C$5,MATCH(A315,①簡易状況入力!$C$5:$C$104,0)-1,12)</f>
        <v>0</v>
      </c>
      <c r="AA317" s="168"/>
      <c r="AB317" s="148" t="s">
        <v>50</v>
      </c>
      <c r="AC317" s="56">
        <f t="shared" ref="AC317:AD317" ca="1" si="1117">AC316</f>
        <v>0</v>
      </c>
      <c r="AD317" s="56">
        <f t="shared" ca="1" si="1117"/>
        <v>0</v>
      </c>
      <c r="AE317" s="63">
        <f ca="1">IF($C317="あり",IF(AC317&gt;=1,G317/AQ317,0),IF(AC317&gt;=1,AO317*AC317,0))</f>
        <v>0</v>
      </c>
      <c r="AF317" s="63">
        <f t="shared" ca="1" si="1110"/>
        <v>0</v>
      </c>
      <c r="AG317" s="63">
        <f t="shared" ca="1" si="1111"/>
        <v>0</v>
      </c>
      <c r="AH317" s="63">
        <f t="shared" ca="1" si="1112"/>
        <v>0</v>
      </c>
      <c r="AI317" s="63">
        <f t="shared" ca="1" si="1113"/>
        <v>0</v>
      </c>
      <c r="AJ317" s="63">
        <f t="shared" ca="1" si="1114"/>
        <v>0</v>
      </c>
      <c r="AK317" s="63">
        <f t="shared" ca="1" si="1115"/>
        <v>0</v>
      </c>
      <c r="AL317" s="63">
        <f ca="1">IF($C317="あり",IF($AD317&gt;=7,N317/$AQ317,0),IF($AD317&gt;=7,$AO317*($AD317-6),0))</f>
        <v>0</v>
      </c>
      <c r="AM317" s="65">
        <f ca="1">IF(C317="あり",O317/AQ317,AP317)</f>
        <v>0</v>
      </c>
      <c r="AN317" s="63">
        <f ca="1">SUM(AE317:AM317)</f>
        <v>0</v>
      </c>
      <c r="AO317" s="68" t="e">
        <f ca="1">1/(AC317+AD317)</f>
        <v>#DIV/0!</v>
      </c>
      <c r="AP317" s="67">
        <v>0</v>
      </c>
      <c r="AQ317" s="68">
        <f ca="1">IF(AC317&gt;=1,G317,0)+SUMIF($H$4:$M$4,"&lt;="&amp;AD317,$H317:$M317)+IF(AD317&gt;=7,N317,0)+O317</f>
        <v>0</v>
      </c>
    </row>
    <row r="318" spans="1:43" x14ac:dyDescent="0.15">
      <c r="A318" s="50"/>
      <c r="B318" s="50"/>
      <c r="C318" s="145">
        <f ca="1">OFFSET(①簡易状況入力!$C$5,MATCH(A315,①簡易状況入力!$C$5:$C$104,0)-1,20)</f>
        <v>0</v>
      </c>
      <c r="D318" s="148" t="s">
        <v>51</v>
      </c>
      <c r="E318" s="56">
        <f t="shared" ref="E318:F318" ca="1" si="1118">E317</f>
        <v>0</v>
      </c>
      <c r="F318" s="56">
        <f t="shared" ca="1" si="1118"/>
        <v>0</v>
      </c>
      <c r="G318" s="104"/>
      <c r="H318" s="104"/>
      <c r="I318" s="104"/>
      <c r="J318" s="104"/>
      <c r="K318" s="104"/>
      <c r="L318" s="104"/>
      <c r="M318" s="104"/>
      <c r="N318" s="104"/>
      <c r="O318" s="106"/>
      <c r="Q318" s="50"/>
      <c r="R318" s="58"/>
      <c r="S318" s="166"/>
      <c r="T318" s="146" t="s">
        <v>34</v>
      </c>
      <c r="U318" s="35">
        <f ca="1">OFFSET(①簡易状況入力!$C$5,MATCH(A315,①簡易状況入力!$C$5:$C$104,0)-1,3)</f>
        <v>0</v>
      </c>
      <c r="V318" s="58"/>
      <c r="W318" s="146" t="s">
        <v>118</v>
      </c>
      <c r="X318" s="37">
        <f ca="1">OFFSET(①簡易状況入力!$C$5,MATCH(A315,①簡易状況入力!$C$5:$C$104,0)-1,7)</f>
        <v>0</v>
      </c>
      <c r="Y318" s="149">
        <f ca="1">OFFSET(①簡易状況入力!$C$5,MATCH(A315,①簡易状況入力!$C$5:$C$104,0)-1,13)</f>
        <v>0</v>
      </c>
      <c r="Z318" s="167">
        <f ca="1">OFFSET(①簡易状況入力!$C$5,MATCH(A315,①簡易状況入力!$C$5:$C$104,0)-1,14)</f>
        <v>0</v>
      </c>
      <c r="AA318" s="168"/>
      <c r="AB318" s="148" t="s">
        <v>51</v>
      </c>
      <c r="AC318" s="56">
        <f t="shared" ref="AC318:AD318" ca="1" si="1119">AC317</f>
        <v>0</v>
      </c>
      <c r="AD318" s="56">
        <f t="shared" ca="1" si="1119"/>
        <v>0</v>
      </c>
      <c r="AE318" s="63">
        <f ca="1">IF($C318="あり",IF(AC318&gt;=1,G318/AQ318,0),IF(AC318&gt;=1,AO318*AC318,0))</f>
        <v>0</v>
      </c>
      <c r="AF318" s="63">
        <f t="shared" ca="1" si="1110"/>
        <v>0</v>
      </c>
      <c r="AG318" s="63">
        <f t="shared" ca="1" si="1111"/>
        <v>0</v>
      </c>
      <c r="AH318" s="63">
        <f t="shared" ca="1" si="1112"/>
        <v>0</v>
      </c>
      <c r="AI318" s="63">
        <f t="shared" ca="1" si="1113"/>
        <v>0</v>
      </c>
      <c r="AJ318" s="63">
        <f t="shared" ca="1" si="1114"/>
        <v>0</v>
      </c>
      <c r="AK318" s="63">
        <f t="shared" ca="1" si="1115"/>
        <v>0</v>
      </c>
      <c r="AL318" s="63">
        <f ca="1">IF($C318="あり",IF($AD318&gt;=7,N318/$AQ318,0),IF($AD318&gt;=7,$AO318*($AD318-6),0))</f>
        <v>0</v>
      </c>
      <c r="AM318" s="65">
        <f ca="1">IF(C318="あり",O318/AQ318,AP318)</f>
        <v>0</v>
      </c>
      <c r="AN318" s="63">
        <f ca="1">SUM(AE318:AM318)</f>
        <v>0</v>
      </c>
      <c r="AO318" s="68" t="e">
        <f ca="1">1/(AC318+AD318)</f>
        <v>#DIV/0!</v>
      </c>
      <c r="AP318" s="67">
        <v>0</v>
      </c>
      <c r="AQ318" s="68">
        <f ca="1">IF(AC318&gt;=1,G318,0)+SUMIF($H$4:$M$4,"&lt;="&amp;AD318,$H318:$M318)+IF(AD318&gt;=7,N318,0)+O318</f>
        <v>0</v>
      </c>
    </row>
    <row r="319" spans="1:43" x14ac:dyDescent="0.15">
      <c r="G319" s="107"/>
      <c r="H319" s="107"/>
      <c r="I319" s="107"/>
      <c r="J319" s="107"/>
      <c r="K319" s="107"/>
      <c r="L319" s="107"/>
      <c r="M319" s="107"/>
      <c r="N319" s="107"/>
      <c r="O319" s="107"/>
    </row>
    <row r="320" spans="1:43" x14ac:dyDescent="0.15">
      <c r="A320" s="59" t="s">
        <v>379</v>
      </c>
      <c r="B320" s="60">
        <f ca="1">OFFSET(①簡易状況入力!$C$5,MATCH(A320,①簡易状況入力!$C$5:$C$104,0)-1,1)</f>
        <v>0</v>
      </c>
      <c r="C320" s="145">
        <f ca="1">OFFSET(①簡易状況入力!$C$5,MATCH(A320,①簡易状況入力!$C$5:$C$104,0)-1,17)</f>
        <v>0</v>
      </c>
      <c r="D320" s="148" t="s">
        <v>47</v>
      </c>
      <c r="E320" s="56">
        <f ca="1">U323</f>
        <v>0</v>
      </c>
      <c r="F320" s="56">
        <f ca="1">U322</f>
        <v>0</v>
      </c>
      <c r="G320" s="102"/>
      <c r="H320" s="103"/>
      <c r="I320" s="103"/>
      <c r="J320" s="103"/>
      <c r="K320" s="103"/>
      <c r="L320" s="103"/>
      <c r="M320" s="103"/>
      <c r="N320" s="103"/>
      <c r="O320" s="103"/>
      <c r="Q320" s="57">
        <f ca="1">OFFSET(①簡易状況入力!$C$5,MATCH(A320,①簡易状況入力!$C$5:$C$104,0)-1,15)</f>
        <v>0</v>
      </c>
      <c r="R320" s="58"/>
      <c r="S320" s="58"/>
      <c r="T320" s="58"/>
      <c r="U320" s="58"/>
      <c r="V320" s="58"/>
      <c r="W320" s="58"/>
      <c r="X320" s="58"/>
      <c r="Y320" s="58"/>
      <c r="Z320" s="58"/>
      <c r="AA320" s="58"/>
      <c r="AB320" s="148" t="s">
        <v>47</v>
      </c>
      <c r="AC320" s="56">
        <f ca="1">U323</f>
        <v>0</v>
      </c>
      <c r="AD320" s="56">
        <f ca="1">U322</f>
        <v>0</v>
      </c>
      <c r="AE320" s="62" t="s">
        <v>46</v>
      </c>
      <c r="AF320" s="62" t="str">
        <f t="shared" ref="AF320" ca="1" si="1120">IF($C320="あり",IF(AF$4&lt;=$AD320,H320,"-"),IF(AF$4&lt;=$AD320,$AO320,"-"))</f>
        <v>-</v>
      </c>
      <c r="AG320" s="62" t="str">
        <f t="shared" ref="AG320" ca="1" si="1121">IF($C320="あり",IF(AG$4&lt;=$AD320,I320,"-"),IF(AG$4&lt;=$AD320,$AO320,"-"))</f>
        <v>-</v>
      </c>
      <c r="AH320" s="62" t="str">
        <f t="shared" ref="AH320" ca="1" si="1122">IF($C320="あり",IF(AH$4&lt;=$AD320,J320,"-"),IF(AH$4&lt;=$AD320,$AO320,"-"))</f>
        <v>-</v>
      </c>
      <c r="AI320" s="62" t="str">
        <f t="shared" ref="AI320" ca="1" si="1123">IF($C320="あり",IF(AI$4&lt;=$AD320,K320,"-"),IF(AI$4&lt;=$AD320,$AO320,"-"))</f>
        <v>-</v>
      </c>
      <c r="AJ320" s="62" t="str">
        <f t="shared" ref="AJ320" ca="1" si="1124">IF($C320="あり",IF(AJ$4&lt;=$AD320,L320,"-"),IF(AJ$4&lt;=$AD320,$AO320,"-"))</f>
        <v>-</v>
      </c>
      <c r="AK320" s="62" t="str">
        <f t="shared" ref="AK320" ca="1" si="1125">IF($C320="あり",IF(AK$4&lt;=$AD320,M320,"-"),IF(AK$4&lt;=$AD320,$AO320,"-"))</f>
        <v>-</v>
      </c>
      <c r="AL320" s="62" t="str">
        <f ca="1">IF($C320="あり",IF(7&lt;=$AD320,N320,"-"),IF(7&lt;=$AD320,$AO320*($AD320-6),"-"))</f>
        <v>-</v>
      </c>
      <c r="AM320" s="62">
        <f ca="1">IF(C320="あり",O320,AP320)</f>
        <v>0</v>
      </c>
      <c r="AN320" s="62">
        <f ca="1">SUM(U321,AF320:AM320)</f>
        <v>0</v>
      </c>
      <c r="AO320" s="42">
        <f ca="1">OFFSET(【DB】被害率係数!$A$4,MATCH(②詳細状況入力!$Y321,【DB】被害率係数!$A$4:$A$19,0)-1,16)</f>
        <v>0</v>
      </c>
      <c r="AP320" s="42">
        <f ca="1">OFFSET(【DB】被害率係数!$A$4,MATCH(②詳細状況入力!$Y321,【DB】被害率係数!$A$4:$A$19,0)-1,17)</f>
        <v>0</v>
      </c>
      <c r="AQ320" s="42"/>
    </row>
    <row r="321" spans="1:43" x14ac:dyDescent="0.15">
      <c r="A321" s="50"/>
      <c r="B321" s="50"/>
      <c r="C321" s="145">
        <f ca="1">OFFSET(①簡易状況入力!$C$5,MATCH(A320,①簡易状況入力!$C$5:$C$104,0)-1,18)</f>
        <v>0</v>
      </c>
      <c r="D321" s="148" t="s">
        <v>52</v>
      </c>
      <c r="E321" s="56">
        <f t="shared" ref="E321:F321" ca="1" si="1126">E320</f>
        <v>0</v>
      </c>
      <c r="F321" s="56">
        <f t="shared" ca="1" si="1126"/>
        <v>0</v>
      </c>
      <c r="G321" s="104"/>
      <c r="H321" s="104"/>
      <c r="I321" s="104"/>
      <c r="J321" s="104"/>
      <c r="K321" s="104"/>
      <c r="L321" s="104"/>
      <c r="M321" s="104"/>
      <c r="N321" s="104"/>
      <c r="O321" s="105"/>
      <c r="Q321" s="57">
        <f ca="1">OFFSET(①簡易状況入力!$C$5,MATCH(A320,①簡易状況入力!$C$5:$C$104,0)-1,16)</f>
        <v>0</v>
      </c>
      <c r="R321" s="58"/>
      <c r="S321" s="146" t="s">
        <v>115</v>
      </c>
      <c r="T321" s="146" t="s">
        <v>116</v>
      </c>
      <c r="U321" s="36">
        <f ca="1">OFFSET(①簡易状況入力!$C$5,MATCH(A320,①簡易状況入力!$C$5:$C$104,0)-1,4)</f>
        <v>0</v>
      </c>
      <c r="V321" s="58"/>
      <c r="W321" s="146" t="s">
        <v>30</v>
      </c>
      <c r="X321" s="37">
        <f ca="1">OFFSET(①簡易状況入力!$C$5,MATCH(A320,①簡易状況入力!$C$5:$C$104,0)-1,5)</f>
        <v>0</v>
      </c>
      <c r="Y321" s="149">
        <f ca="1">OFFSET(①簡易状況入力!$C$5,MATCH(A320,①簡易状況入力!$C$5:$C$104,0)-1,8)</f>
        <v>0</v>
      </c>
      <c r="Z321" s="149">
        <f ca="1">OFFSET(①簡易状況入力!$C$5,MATCH(A320,①簡易状況入力!$C$5:$C$104,0)-1,9)</f>
        <v>0</v>
      </c>
      <c r="AA321" s="149">
        <f ca="1">OFFSET(①簡易状況入力!$C$5,MATCH(A320,①簡易状況入力!$C$5:$C$104,0)-1,10)</f>
        <v>0</v>
      </c>
      <c r="AB321" s="148" t="s">
        <v>52</v>
      </c>
      <c r="AC321" s="56">
        <f t="shared" ref="AC321:AD321" ca="1" si="1127">AC320</f>
        <v>0</v>
      </c>
      <c r="AD321" s="56">
        <f t="shared" ca="1" si="1127"/>
        <v>0</v>
      </c>
      <c r="AE321" s="63">
        <f ca="1">IF($C321="あり",IF(AC321&gt;=1,G321/AQ321,0),IF(AC321&gt;=1,AO321*AC321,0))</f>
        <v>0</v>
      </c>
      <c r="AF321" s="63">
        <f t="shared" ref="AF321:AF323" ca="1" si="1128">IF($C321="あり",IF($AD321&gt;=AF$4,H321/$AQ321,0),IF($AD321&gt;=AF$4,$AO321,0))</f>
        <v>0</v>
      </c>
      <c r="AG321" s="63">
        <f t="shared" ref="AG321:AG323" ca="1" si="1129">IF($C321="あり",IF($AD321&gt;=AG$4,I321/$AQ321,0),IF($AD321&gt;=AG$4,$AO321,0))</f>
        <v>0</v>
      </c>
      <c r="AH321" s="63">
        <f t="shared" ref="AH321:AH323" ca="1" si="1130">IF($C321="あり",IF($AD321&gt;=AH$4,J321/$AQ321,0),IF($AD321&gt;=AH$4,$AO321,0))</f>
        <v>0</v>
      </c>
      <c r="AI321" s="63">
        <f t="shared" ref="AI321:AI323" ca="1" si="1131">IF($C321="あり",IF($AD321&gt;=AI$4,K321/$AQ321,0),IF($AD321&gt;=AI$4,$AO321,0))</f>
        <v>0</v>
      </c>
      <c r="AJ321" s="63">
        <f t="shared" ref="AJ321:AJ323" ca="1" si="1132">IF($C321="あり",IF($AD321&gt;=AJ$4,L321/$AQ321,0),IF($AD321&gt;=AJ$4,$AO321,0))</f>
        <v>0</v>
      </c>
      <c r="AK321" s="63">
        <f t="shared" ref="AK321:AK323" ca="1" si="1133">IF($C321="あり",IF($AD321&gt;=AK$4,M321/$AQ321,0),IF($AD321&gt;=AK$4,$AO321,0))</f>
        <v>0</v>
      </c>
      <c r="AL321" s="63">
        <f ca="1">IF($C321="あり",IF($AD321&gt;=7,N321/$AQ321,0),IF($AD321&gt;=7,$AO321*($AD321-6),0))</f>
        <v>0</v>
      </c>
      <c r="AM321" s="64" t="s">
        <v>46</v>
      </c>
      <c r="AN321" s="63">
        <f ca="1">SUM(AE321:AM321)</f>
        <v>0</v>
      </c>
      <c r="AO321" s="68" t="e">
        <f ca="1">1/(AC321+AD321)</f>
        <v>#DIV/0!</v>
      </c>
      <c r="AP321" s="67">
        <v>0</v>
      </c>
      <c r="AQ321" s="68">
        <f ca="1">IF(AC321&gt;=1,G321,0)+SUMIF($H$4:$M$4,"&lt;="&amp;AD321,$H321:$M321)+IF(AD321&gt;=7,N321,0)</f>
        <v>0</v>
      </c>
    </row>
    <row r="322" spans="1:43" x14ac:dyDescent="0.15">
      <c r="A322" s="50"/>
      <c r="B322" s="50"/>
      <c r="C322" s="145">
        <f ca="1">OFFSET(①簡易状況入力!$C$5,MATCH(A320,①簡易状況入力!$C$5:$C$104,0)-1,19)</f>
        <v>0</v>
      </c>
      <c r="D322" s="148" t="s">
        <v>50</v>
      </c>
      <c r="E322" s="56">
        <f t="shared" ref="E322" ca="1" si="1134">E321</f>
        <v>0</v>
      </c>
      <c r="F322" s="56">
        <f ca="1">F321</f>
        <v>0</v>
      </c>
      <c r="G322" s="104"/>
      <c r="H322" s="104"/>
      <c r="I322" s="104"/>
      <c r="J322" s="104"/>
      <c r="K322" s="104"/>
      <c r="L322" s="104"/>
      <c r="M322" s="104"/>
      <c r="N322" s="104"/>
      <c r="O322" s="106"/>
      <c r="Q322" s="50"/>
      <c r="R322" s="58"/>
      <c r="S322" s="165" t="s">
        <v>28</v>
      </c>
      <c r="T322" s="146" t="s">
        <v>35</v>
      </c>
      <c r="U322" s="35">
        <f ca="1">OFFSET(①簡易状況入力!$C$5,MATCH(A320,①簡易状況入力!$C$5:$C$104,0)-1,2)</f>
        <v>0</v>
      </c>
      <c r="V322" s="58"/>
      <c r="W322" s="146" t="s">
        <v>33</v>
      </c>
      <c r="X322" s="37">
        <f ca="1">OFFSET(①簡易状況入力!$C$5,MATCH(A320,①簡易状況入力!$C$5:$C$104,0)-1,6)</f>
        <v>0</v>
      </c>
      <c r="Y322" s="149">
        <f ca="1">OFFSET(①簡易状況入力!$C$5,MATCH(A320,①簡易状況入力!$C$5:$C$104,0)-1,11)</f>
        <v>0</v>
      </c>
      <c r="Z322" s="167">
        <f ca="1">OFFSET(①簡易状況入力!$C$5,MATCH(A320,①簡易状況入力!$C$5:$C$104,0)-1,12)</f>
        <v>0</v>
      </c>
      <c r="AA322" s="168"/>
      <c r="AB322" s="148" t="s">
        <v>50</v>
      </c>
      <c r="AC322" s="56">
        <f t="shared" ref="AC322:AD322" ca="1" si="1135">AC321</f>
        <v>0</v>
      </c>
      <c r="AD322" s="56">
        <f t="shared" ca="1" si="1135"/>
        <v>0</v>
      </c>
      <c r="AE322" s="63">
        <f ca="1">IF($C322="あり",IF(AC322&gt;=1,G322/AQ322,0),IF(AC322&gt;=1,AO322*AC322,0))</f>
        <v>0</v>
      </c>
      <c r="AF322" s="63">
        <f t="shared" ca="1" si="1128"/>
        <v>0</v>
      </c>
      <c r="AG322" s="63">
        <f t="shared" ca="1" si="1129"/>
        <v>0</v>
      </c>
      <c r="AH322" s="63">
        <f t="shared" ca="1" si="1130"/>
        <v>0</v>
      </c>
      <c r="AI322" s="63">
        <f t="shared" ca="1" si="1131"/>
        <v>0</v>
      </c>
      <c r="AJ322" s="63">
        <f t="shared" ca="1" si="1132"/>
        <v>0</v>
      </c>
      <c r="AK322" s="63">
        <f t="shared" ca="1" si="1133"/>
        <v>0</v>
      </c>
      <c r="AL322" s="63">
        <f ca="1">IF($C322="あり",IF($AD322&gt;=7,N322/$AQ322,0),IF($AD322&gt;=7,$AO322*($AD322-6),0))</f>
        <v>0</v>
      </c>
      <c r="AM322" s="65">
        <f ca="1">IF(C322="あり",O322/AQ322,AP322)</f>
        <v>0</v>
      </c>
      <c r="AN322" s="63">
        <f ca="1">SUM(AE322:AM322)</f>
        <v>0</v>
      </c>
      <c r="AO322" s="68" t="e">
        <f ca="1">1/(AC322+AD322)</f>
        <v>#DIV/0!</v>
      </c>
      <c r="AP322" s="67">
        <v>0</v>
      </c>
      <c r="AQ322" s="68">
        <f ca="1">IF(AC322&gt;=1,G322,0)+SUMIF($H$4:$M$4,"&lt;="&amp;AD322,$H322:$M322)+IF(AD322&gt;=7,N322,0)+O322</f>
        <v>0</v>
      </c>
    </row>
    <row r="323" spans="1:43" x14ac:dyDescent="0.15">
      <c r="A323" s="50"/>
      <c r="B323" s="50"/>
      <c r="C323" s="145">
        <f ca="1">OFFSET(①簡易状況入力!$C$5,MATCH(A320,①簡易状況入力!$C$5:$C$104,0)-1,20)</f>
        <v>0</v>
      </c>
      <c r="D323" s="148" t="s">
        <v>51</v>
      </c>
      <c r="E323" s="56">
        <f t="shared" ref="E323:F323" ca="1" si="1136">E322</f>
        <v>0</v>
      </c>
      <c r="F323" s="56">
        <f t="shared" ca="1" si="1136"/>
        <v>0</v>
      </c>
      <c r="G323" s="104"/>
      <c r="H323" s="104"/>
      <c r="I323" s="104"/>
      <c r="J323" s="104"/>
      <c r="K323" s="104"/>
      <c r="L323" s="104"/>
      <c r="M323" s="104"/>
      <c r="N323" s="104"/>
      <c r="O323" s="106"/>
      <c r="Q323" s="50"/>
      <c r="R323" s="58"/>
      <c r="S323" s="166"/>
      <c r="T323" s="146" t="s">
        <v>34</v>
      </c>
      <c r="U323" s="35">
        <f ca="1">OFFSET(①簡易状況入力!$C$5,MATCH(A320,①簡易状況入力!$C$5:$C$104,0)-1,3)</f>
        <v>0</v>
      </c>
      <c r="V323" s="58"/>
      <c r="W323" s="146" t="s">
        <v>118</v>
      </c>
      <c r="X323" s="37">
        <f ca="1">OFFSET(①簡易状況入力!$C$5,MATCH(A320,①簡易状況入力!$C$5:$C$104,0)-1,7)</f>
        <v>0</v>
      </c>
      <c r="Y323" s="149">
        <f ca="1">OFFSET(①簡易状況入力!$C$5,MATCH(A320,①簡易状況入力!$C$5:$C$104,0)-1,13)</f>
        <v>0</v>
      </c>
      <c r="Z323" s="167">
        <f ca="1">OFFSET(①簡易状況入力!$C$5,MATCH(A320,①簡易状況入力!$C$5:$C$104,0)-1,14)</f>
        <v>0</v>
      </c>
      <c r="AA323" s="168"/>
      <c r="AB323" s="148" t="s">
        <v>51</v>
      </c>
      <c r="AC323" s="56">
        <f t="shared" ref="AC323:AD323" ca="1" si="1137">AC322</f>
        <v>0</v>
      </c>
      <c r="AD323" s="56">
        <f t="shared" ca="1" si="1137"/>
        <v>0</v>
      </c>
      <c r="AE323" s="63">
        <f ca="1">IF($C323="あり",IF(AC323&gt;=1,G323/AQ323,0),IF(AC323&gt;=1,AO323*AC323,0))</f>
        <v>0</v>
      </c>
      <c r="AF323" s="63">
        <f t="shared" ca="1" si="1128"/>
        <v>0</v>
      </c>
      <c r="AG323" s="63">
        <f t="shared" ca="1" si="1129"/>
        <v>0</v>
      </c>
      <c r="AH323" s="63">
        <f t="shared" ca="1" si="1130"/>
        <v>0</v>
      </c>
      <c r="AI323" s="63">
        <f t="shared" ca="1" si="1131"/>
        <v>0</v>
      </c>
      <c r="AJ323" s="63">
        <f t="shared" ca="1" si="1132"/>
        <v>0</v>
      </c>
      <c r="AK323" s="63">
        <f t="shared" ca="1" si="1133"/>
        <v>0</v>
      </c>
      <c r="AL323" s="63">
        <f ca="1">IF($C323="あり",IF($AD323&gt;=7,N323/$AQ323,0),IF($AD323&gt;=7,$AO323*($AD323-6),0))</f>
        <v>0</v>
      </c>
      <c r="AM323" s="65">
        <f ca="1">IF(C323="あり",O323/AQ323,AP323)</f>
        <v>0</v>
      </c>
      <c r="AN323" s="63">
        <f ca="1">SUM(AE323:AM323)</f>
        <v>0</v>
      </c>
      <c r="AO323" s="68" t="e">
        <f ca="1">1/(AC323+AD323)</f>
        <v>#DIV/0!</v>
      </c>
      <c r="AP323" s="67">
        <v>0</v>
      </c>
      <c r="AQ323" s="68">
        <f ca="1">IF(AC323&gt;=1,G323,0)+SUMIF($H$4:$M$4,"&lt;="&amp;AD323,$H323:$M323)+IF(AD323&gt;=7,N323,0)+O323</f>
        <v>0</v>
      </c>
    </row>
    <row r="324" spans="1:43" x14ac:dyDescent="0.15">
      <c r="G324" s="107"/>
      <c r="H324" s="107"/>
      <c r="I324" s="107"/>
      <c r="J324" s="107"/>
      <c r="K324" s="107"/>
      <c r="L324" s="107"/>
      <c r="M324" s="107"/>
      <c r="N324" s="107"/>
      <c r="O324" s="107"/>
    </row>
    <row r="325" spans="1:43" x14ac:dyDescent="0.15">
      <c r="A325" s="59" t="s">
        <v>380</v>
      </c>
      <c r="B325" s="60">
        <f ca="1">OFFSET(①簡易状況入力!$C$5,MATCH(A325,①簡易状況入力!$C$5:$C$104,0)-1,1)</f>
        <v>0</v>
      </c>
      <c r="C325" s="145">
        <f ca="1">OFFSET(①簡易状況入力!$C$5,MATCH(A325,①簡易状況入力!$C$5:$C$104,0)-1,17)</f>
        <v>0</v>
      </c>
      <c r="D325" s="148" t="s">
        <v>47</v>
      </c>
      <c r="E325" s="56">
        <f ca="1">U328</f>
        <v>0</v>
      </c>
      <c r="F325" s="56">
        <f ca="1">U327</f>
        <v>0</v>
      </c>
      <c r="G325" s="102"/>
      <c r="H325" s="103"/>
      <c r="I325" s="103"/>
      <c r="J325" s="103"/>
      <c r="K325" s="103"/>
      <c r="L325" s="103"/>
      <c r="M325" s="103"/>
      <c r="N325" s="103"/>
      <c r="O325" s="103"/>
      <c r="Q325" s="57">
        <f ca="1">OFFSET(①簡易状況入力!$C$5,MATCH(A325,①簡易状況入力!$C$5:$C$104,0)-1,15)</f>
        <v>0</v>
      </c>
      <c r="R325" s="58"/>
      <c r="S325" s="58"/>
      <c r="T325" s="58"/>
      <c r="U325" s="58"/>
      <c r="V325" s="58"/>
      <c r="W325" s="58"/>
      <c r="X325" s="58"/>
      <c r="Y325" s="58"/>
      <c r="Z325" s="58"/>
      <c r="AA325" s="58"/>
      <c r="AB325" s="148" t="s">
        <v>47</v>
      </c>
      <c r="AC325" s="56">
        <f ca="1">U328</f>
        <v>0</v>
      </c>
      <c r="AD325" s="56">
        <f ca="1">U327</f>
        <v>0</v>
      </c>
      <c r="AE325" s="62" t="s">
        <v>46</v>
      </c>
      <c r="AF325" s="62" t="str">
        <f t="shared" ref="AF325" ca="1" si="1138">IF($C325="あり",IF(AF$4&lt;=$AD325,H325,"-"),IF(AF$4&lt;=$AD325,$AO325,"-"))</f>
        <v>-</v>
      </c>
      <c r="AG325" s="62" t="str">
        <f t="shared" ref="AG325" ca="1" si="1139">IF($C325="あり",IF(AG$4&lt;=$AD325,I325,"-"),IF(AG$4&lt;=$AD325,$AO325,"-"))</f>
        <v>-</v>
      </c>
      <c r="AH325" s="62" t="str">
        <f t="shared" ref="AH325" ca="1" si="1140">IF($C325="あり",IF(AH$4&lt;=$AD325,J325,"-"),IF(AH$4&lt;=$AD325,$AO325,"-"))</f>
        <v>-</v>
      </c>
      <c r="AI325" s="62" t="str">
        <f t="shared" ref="AI325" ca="1" si="1141">IF($C325="あり",IF(AI$4&lt;=$AD325,K325,"-"),IF(AI$4&lt;=$AD325,$AO325,"-"))</f>
        <v>-</v>
      </c>
      <c r="AJ325" s="62" t="str">
        <f t="shared" ref="AJ325" ca="1" si="1142">IF($C325="あり",IF(AJ$4&lt;=$AD325,L325,"-"),IF(AJ$4&lt;=$AD325,$AO325,"-"))</f>
        <v>-</v>
      </c>
      <c r="AK325" s="62" t="str">
        <f t="shared" ref="AK325" ca="1" si="1143">IF($C325="あり",IF(AK$4&lt;=$AD325,M325,"-"),IF(AK$4&lt;=$AD325,$AO325,"-"))</f>
        <v>-</v>
      </c>
      <c r="AL325" s="62" t="str">
        <f ca="1">IF($C325="あり",IF(7&lt;=$AD325,N325,"-"),IF(7&lt;=$AD325,$AO325*($AD325-6),"-"))</f>
        <v>-</v>
      </c>
      <c r="AM325" s="62">
        <f ca="1">IF(C325="あり",O325,AP325)</f>
        <v>0</v>
      </c>
      <c r="AN325" s="62">
        <f ca="1">SUM(U326,AF325:AM325)</f>
        <v>0</v>
      </c>
      <c r="AO325" s="42">
        <f ca="1">OFFSET(【DB】被害率係数!$A$4,MATCH(②詳細状況入力!$Y326,【DB】被害率係数!$A$4:$A$19,0)-1,16)</f>
        <v>0</v>
      </c>
      <c r="AP325" s="42">
        <f ca="1">OFFSET(【DB】被害率係数!$A$4,MATCH(②詳細状況入力!$Y326,【DB】被害率係数!$A$4:$A$19,0)-1,17)</f>
        <v>0</v>
      </c>
      <c r="AQ325" s="42"/>
    </row>
    <row r="326" spans="1:43" x14ac:dyDescent="0.15">
      <c r="A326" s="50"/>
      <c r="B326" s="50"/>
      <c r="C326" s="145">
        <f ca="1">OFFSET(①簡易状況入力!$C$5,MATCH(A325,①簡易状況入力!$C$5:$C$104,0)-1,18)</f>
        <v>0</v>
      </c>
      <c r="D326" s="148" t="s">
        <v>52</v>
      </c>
      <c r="E326" s="56">
        <f t="shared" ref="E326:F326" ca="1" si="1144">E325</f>
        <v>0</v>
      </c>
      <c r="F326" s="56">
        <f t="shared" ca="1" si="1144"/>
        <v>0</v>
      </c>
      <c r="G326" s="104"/>
      <c r="H326" s="104"/>
      <c r="I326" s="104"/>
      <c r="J326" s="104"/>
      <c r="K326" s="104"/>
      <c r="L326" s="104"/>
      <c r="M326" s="104"/>
      <c r="N326" s="104"/>
      <c r="O326" s="105"/>
      <c r="Q326" s="57">
        <f ca="1">OFFSET(①簡易状況入力!$C$5,MATCH(A325,①簡易状況入力!$C$5:$C$104,0)-1,16)</f>
        <v>0</v>
      </c>
      <c r="R326" s="58"/>
      <c r="S326" s="146" t="s">
        <v>115</v>
      </c>
      <c r="T326" s="146" t="s">
        <v>116</v>
      </c>
      <c r="U326" s="36">
        <f ca="1">OFFSET(①簡易状況入力!$C$5,MATCH(A325,①簡易状況入力!$C$5:$C$104,0)-1,4)</f>
        <v>0</v>
      </c>
      <c r="V326" s="58"/>
      <c r="W326" s="146" t="s">
        <v>30</v>
      </c>
      <c r="X326" s="37">
        <f ca="1">OFFSET(①簡易状況入力!$C$5,MATCH(A325,①簡易状況入力!$C$5:$C$104,0)-1,5)</f>
        <v>0</v>
      </c>
      <c r="Y326" s="149">
        <f ca="1">OFFSET(①簡易状況入力!$C$5,MATCH(A325,①簡易状況入力!$C$5:$C$104,0)-1,8)</f>
        <v>0</v>
      </c>
      <c r="Z326" s="149">
        <f ca="1">OFFSET(①簡易状況入力!$C$5,MATCH(A325,①簡易状況入力!$C$5:$C$104,0)-1,9)</f>
        <v>0</v>
      </c>
      <c r="AA326" s="149">
        <f ca="1">OFFSET(①簡易状況入力!$C$5,MATCH(A325,①簡易状況入力!$C$5:$C$104,0)-1,10)</f>
        <v>0</v>
      </c>
      <c r="AB326" s="148" t="s">
        <v>52</v>
      </c>
      <c r="AC326" s="56">
        <f t="shared" ref="AC326:AD326" ca="1" si="1145">AC325</f>
        <v>0</v>
      </c>
      <c r="AD326" s="56">
        <f t="shared" ca="1" si="1145"/>
        <v>0</v>
      </c>
      <c r="AE326" s="63">
        <f ca="1">IF($C326="あり",IF(AC326&gt;=1,G326/AQ326,0),IF(AC326&gt;=1,AO326*AC326,0))</f>
        <v>0</v>
      </c>
      <c r="AF326" s="63">
        <f t="shared" ref="AF326:AF328" ca="1" si="1146">IF($C326="あり",IF($AD326&gt;=AF$4,H326/$AQ326,0),IF($AD326&gt;=AF$4,$AO326,0))</f>
        <v>0</v>
      </c>
      <c r="AG326" s="63">
        <f t="shared" ref="AG326:AG328" ca="1" si="1147">IF($C326="あり",IF($AD326&gt;=AG$4,I326/$AQ326,0),IF($AD326&gt;=AG$4,$AO326,0))</f>
        <v>0</v>
      </c>
      <c r="AH326" s="63">
        <f t="shared" ref="AH326:AH328" ca="1" si="1148">IF($C326="あり",IF($AD326&gt;=AH$4,J326/$AQ326,0),IF($AD326&gt;=AH$4,$AO326,0))</f>
        <v>0</v>
      </c>
      <c r="AI326" s="63">
        <f t="shared" ref="AI326:AI328" ca="1" si="1149">IF($C326="あり",IF($AD326&gt;=AI$4,K326/$AQ326,0),IF($AD326&gt;=AI$4,$AO326,0))</f>
        <v>0</v>
      </c>
      <c r="AJ326" s="63">
        <f t="shared" ref="AJ326:AJ328" ca="1" si="1150">IF($C326="あり",IF($AD326&gt;=AJ$4,L326/$AQ326,0),IF($AD326&gt;=AJ$4,$AO326,0))</f>
        <v>0</v>
      </c>
      <c r="AK326" s="63">
        <f t="shared" ref="AK326:AK328" ca="1" si="1151">IF($C326="あり",IF($AD326&gt;=AK$4,M326/$AQ326,0),IF($AD326&gt;=AK$4,$AO326,0))</f>
        <v>0</v>
      </c>
      <c r="AL326" s="63">
        <f ca="1">IF($C326="あり",IF($AD326&gt;=7,N326/$AQ326,0),IF($AD326&gt;=7,$AO326*($AD326-6),0))</f>
        <v>0</v>
      </c>
      <c r="AM326" s="64" t="s">
        <v>46</v>
      </c>
      <c r="AN326" s="63">
        <f ca="1">SUM(AE326:AM326)</f>
        <v>0</v>
      </c>
      <c r="AO326" s="68" t="e">
        <f ca="1">1/(AC326+AD326)</f>
        <v>#DIV/0!</v>
      </c>
      <c r="AP326" s="67">
        <v>0</v>
      </c>
      <c r="AQ326" s="68">
        <f ca="1">IF(AC326&gt;=1,G326,0)+SUMIF($H$4:$M$4,"&lt;="&amp;AD326,$H326:$M326)+IF(AD326&gt;=7,N326,0)</f>
        <v>0</v>
      </c>
    </row>
    <row r="327" spans="1:43" x14ac:dyDescent="0.15">
      <c r="A327" s="50"/>
      <c r="B327" s="50"/>
      <c r="C327" s="145">
        <f ca="1">OFFSET(①簡易状況入力!$C$5,MATCH(A325,①簡易状況入力!$C$5:$C$104,0)-1,19)</f>
        <v>0</v>
      </c>
      <c r="D327" s="148" t="s">
        <v>50</v>
      </c>
      <c r="E327" s="56">
        <f t="shared" ref="E327" ca="1" si="1152">E326</f>
        <v>0</v>
      </c>
      <c r="F327" s="56">
        <f ca="1">F326</f>
        <v>0</v>
      </c>
      <c r="G327" s="104"/>
      <c r="H327" s="104"/>
      <c r="I327" s="104"/>
      <c r="J327" s="104"/>
      <c r="K327" s="104"/>
      <c r="L327" s="104"/>
      <c r="M327" s="104"/>
      <c r="N327" s="104"/>
      <c r="O327" s="106"/>
      <c r="Q327" s="50"/>
      <c r="R327" s="58"/>
      <c r="S327" s="165" t="s">
        <v>28</v>
      </c>
      <c r="T327" s="146" t="s">
        <v>35</v>
      </c>
      <c r="U327" s="35">
        <f ca="1">OFFSET(①簡易状況入力!$C$5,MATCH(A325,①簡易状況入力!$C$5:$C$104,0)-1,2)</f>
        <v>0</v>
      </c>
      <c r="V327" s="58"/>
      <c r="W327" s="146" t="s">
        <v>33</v>
      </c>
      <c r="X327" s="37">
        <f ca="1">OFFSET(①簡易状況入力!$C$5,MATCH(A325,①簡易状況入力!$C$5:$C$104,0)-1,6)</f>
        <v>0</v>
      </c>
      <c r="Y327" s="149">
        <f ca="1">OFFSET(①簡易状況入力!$C$5,MATCH(A325,①簡易状況入力!$C$5:$C$104,0)-1,11)</f>
        <v>0</v>
      </c>
      <c r="Z327" s="167">
        <f ca="1">OFFSET(①簡易状況入力!$C$5,MATCH(A325,①簡易状況入力!$C$5:$C$104,0)-1,12)</f>
        <v>0</v>
      </c>
      <c r="AA327" s="168"/>
      <c r="AB327" s="148" t="s">
        <v>50</v>
      </c>
      <c r="AC327" s="56">
        <f t="shared" ref="AC327:AD327" ca="1" si="1153">AC326</f>
        <v>0</v>
      </c>
      <c r="AD327" s="56">
        <f t="shared" ca="1" si="1153"/>
        <v>0</v>
      </c>
      <c r="AE327" s="63">
        <f ca="1">IF($C327="あり",IF(AC327&gt;=1,G327/AQ327,0),IF(AC327&gt;=1,AO327*AC327,0))</f>
        <v>0</v>
      </c>
      <c r="AF327" s="63">
        <f t="shared" ca="1" si="1146"/>
        <v>0</v>
      </c>
      <c r="AG327" s="63">
        <f t="shared" ca="1" si="1147"/>
        <v>0</v>
      </c>
      <c r="AH327" s="63">
        <f t="shared" ca="1" si="1148"/>
        <v>0</v>
      </c>
      <c r="AI327" s="63">
        <f t="shared" ca="1" si="1149"/>
        <v>0</v>
      </c>
      <c r="AJ327" s="63">
        <f t="shared" ca="1" si="1150"/>
        <v>0</v>
      </c>
      <c r="AK327" s="63">
        <f t="shared" ca="1" si="1151"/>
        <v>0</v>
      </c>
      <c r="AL327" s="63">
        <f ca="1">IF($C327="あり",IF($AD327&gt;=7,N327/$AQ327,0),IF($AD327&gt;=7,$AO327*($AD327-6),0))</f>
        <v>0</v>
      </c>
      <c r="AM327" s="65">
        <f ca="1">IF(C327="あり",O327/AQ327,AP327)</f>
        <v>0</v>
      </c>
      <c r="AN327" s="63">
        <f ca="1">SUM(AE327:AM327)</f>
        <v>0</v>
      </c>
      <c r="AO327" s="68" t="e">
        <f ca="1">1/(AC327+AD327)</f>
        <v>#DIV/0!</v>
      </c>
      <c r="AP327" s="67">
        <v>0</v>
      </c>
      <c r="AQ327" s="68">
        <f ca="1">IF(AC327&gt;=1,G327,0)+SUMIF($H$4:$M$4,"&lt;="&amp;AD327,$H327:$M327)+IF(AD327&gt;=7,N327,0)+O327</f>
        <v>0</v>
      </c>
    </row>
    <row r="328" spans="1:43" x14ac:dyDescent="0.15">
      <c r="A328" s="50"/>
      <c r="B328" s="50"/>
      <c r="C328" s="145">
        <f ca="1">OFFSET(①簡易状況入力!$C$5,MATCH(A325,①簡易状況入力!$C$5:$C$104,0)-1,20)</f>
        <v>0</v>
      </c>
      <c r="D328" s="148" t="s">
        <v>51</v>
      </c>
      <c r="E328" s="56">
        <f t="shared" ref="E328:F328" ca="1" si="1154">E327</f>
        <v>0</v>
      </c>
      <c r="F328" s="56">
        <f t="shared" ca="1" si="1154"/>
        <v>0</v>
      </c>
      <c r="G328" s="104"/>
      <c r="H328" s="104"/>
      <c r="I328" s="104"/>
      <c r="J328" s="104"/>
      <c r="K328" s="104"/>
      <c r="L328" s="104"/>
      <c r="M328" s="104"/>
      <c r="N328" s="104"/>
      <c r="O328" s="106"/>
      <c r="Q328" s="50"/>
      <c r="R328" s="58"/>
      <c r="S328" s="166"/>
      <c r="T328" s="146" t="s">
        <v>34</v>
      </c>
      <c r="U328" s="35">
        <f ca="1">OFFSET(①簡易状況入力!$C$5,MATCH(A325,①簡易状況入力!$C$5:$C$104,0)-1,3)</f>
        <v>0</v>
      </c>
      <c r="V328" s="58"/>
      <c r="W328" s="146" t="s">
        <v>118</v>
      </c>
      <c r="X328" s="37">
        <f ca="1">OFFSET(①簡易状況入力!$C$5,MATCH(A325,①簡易状況入力!$C$5:$C$104,0)-1,7)</f>
        <v>0</v>
      </c>
      <c r="Y328" s="149">
        <f ca="1">OFFSET(①簡易状況入力!$C$5,MATCH(A325,①簡易状況入力!$C$5:$C$104,0)-1,13)</f>
        <v>0</v>
      </c>
      <c r="Z328" s="167">
        <f ca="1">OFFSET(①簡易状況入力!$C$5,MATCH(A325,①簡易状況入力!$C$5:$C$104,0)-1,14)</f>
        <v>0</v>
      </c>
      <c r="AA328" s="168"/>
      <c r="AB328" s="148" t="s">
        <v>51</v>
      </c>
      <c r="AC328" s="56">
        <f t="shared" ref="AC328:AD328" ca="1" si="1155">AC327</f>
        <v>0</v>
      </c>
      <c r="AD328" s="56">
        <f t="shared" ca="1" si="1155"/>
        <v>0</v>
      </c>
      <c r="AE328" s="63">
        <f ca="1">IF($C328="あり",IF(AC328&gt;=1,G328/AQ328,0),IF(AC328&gt;=1,AO328*AC328,0))</f>
        <v>0</v>
      </c>
      <c r="AF328" s="63">
        <f t="shared" ca="1" si="1146"/>
        <v>0</v>
      </c>
      <c r="AG328" s="63">
        <f t="shared" ca="1" si="1147"/>
        <v>0</v>
      </c>
      <c r="AH328" s="63">
        <f t="shared" ca="1" si="1148"/>
        <v>0</v>
      </c>
      <c r="AI328" s="63">
        <f t="shared" ca="1" si="1149"/>
        <v>0</v>
      </c>
      <c r="AJ328" s="63">
        <f t="shared" ca="1" si="1150"/>
        <v>0</v>
      </c>
      <c r="AK328" s="63">
        <f t="shared" ca="1" si="1151"/>
        <v>0</v>
      </c>
      <c r="AL328" s="63">
        <f ca="1">IF($C328="あり",IF($AD328&gt;=7,N328/$AQ328,0),IF($AD328&gt;=7,$AO328*($AD328-6),0))</f>
        <v>0</v>
      </c>
      <c r="AM328" s="65">
        <f ca="1">IF(C328="あり",O328/AQ328,AP328)</f>
        <v>0</v>
      </c>
      <c r="AN328" s="63">
        <f ca="1">SUM(AE328:AM328)</f>
        <v>0</v>
      </c>
      <c r="AO328" s="68" t="e">
        <f ca="1">1/(AC328+AD328)</f>
        <v>#DIV/0!</v>
      </c>
      <c r="AP328" s="67">
        <v>0</v>
      </c>
      <c r="AQ328" s="68">
        <f ca="1">IF(AC328&gt;=1,G328,0)+SUMIF($H$4:$M$4,"&lt;="&amp;AD328,$H328:$M328)+IF(AD328&gt;=7,N328,0)+O328</f>
        <v>0</v>
      </c>
    </row>
    <row r="329" spans="1:43" x14ac:dyDescent="0.15">
      <c r="G329" s="107"/>
      <c r="H329" s="107"/>
      <c r="I329" s="107"/>
      <c r="J329" s="107"/>
      <c r="K329" s="107"/>
      <c r="L329" s="107"/>
      <c r="M329" s="107"/>
      <c r="N329" s="107"/>
      <c r="O329" s="107"/>
    </row>
    <row r="330" spans="1:43" x14ac:dyDescent="0.15">
      <c r="A330" s="59" t="s">
        <v>381</v>
      </c>
      <c r="B330" s="60">
        <f ca="1">OFFSET(①簡易状況入力!$C$5,MATCH(A330,①簡易状況入力!$C$5:$C$104,0)-1,1)</f>
        <v>0</v>
      </c>
      <c r="C330" s="145">
        <f ca="1">OFFSET(①簡易状況入力!$C$5,MATCH(A330,①簡易状況入力!$C$5:$C$104,0)-1,17)</f>
        <v>0</v>
      </c>
      <c r="D330" s="148" t="s">
        <v>47</v>
      </c>
      <c r="E330" s="56">
        <f ca="1">U333</f>
        <v>0</v>
      </c>
      <c r="F330" s="56">
        <f ca="1">U332</f>
        <v>0</v>
      </c>
      <c r="G330" s="102"/>
      <c r="H330" s="103"/>
      <c r="I330" s="103"/>
      <c r="J330" s="103"/>
      <c r="K330" s="103"/>
      <c r="L330" s="103"/>
      <c r="M330" s="103"/>
      <c r="N330" s="103"/>
      <c r="O330" s="103"/>
      <c r="Q330" s="57">
        <f ca="1">OFFSET(①簡易状況入力!$C$5,MATCH(A330,①簡易状況入力!$C$5:$C$104,0)-1,15)</f>
        <v>0</v>
      </c>
      <c r="R330" s="58"/>
      <c r="S330" s="58"/>
      <c r="T330" s="58"/>
      <c r="U330" s="58"/>
      <c r="V330" s="58"/>
      <c r="W330" s="58"/>
      <c r="X330" s="58"/>
      <c r="Y330" s="58"/>
      <c r="Z330" s="58"/>
      <c r="AA330" s="58"/>
      <c r="AB330" s="148" t="s">
        <v>47</v>
      </c>
      <c r="AC330" s="56">
        <f ca="1">U333</f>
        <v>0</v>
      </c>
      <c r="AD330" s="56">
        <f ca="1">U332</f>
        <v>0</v>
      </c>
      <c r="AE330" s="62" t="s">
        <v>46</v>
      </c>
      <c r="AF330" s="62" t="str">
        <f t="shared" ref="AF330" ca="1" si="1156">IF($C330="あり",IF(AF$4&lt;=$AD330,H330,"-"),IF(AF$4&lt;=$AD330,$AO330,"-"))</f>
        <v>-</v>
      </c>
      <c r="AG330" s="62" t="str">
        <f t="shared" ref="AG330" ca="1" si="1157">IF($C330="あり",IF(AG$4&lt;=$AD330,I330,"-"),IF(AG$4&lt;=$AD330,$AO330,"-"))</f>
        <v>-</v>
      </c>
      <c r="AH330" s="62" t="str">
        <f t="shared" ref="AH330" ca="1" si="1158">IF($C330="あり",IF(AH$4&lt;=$AD330,J330,"-"),IF(AH$4&lt;=$AD330,$AO330,"-"))</f>
        <v>-</v>
      </c>
      <c r="AI330" s="62" t="str">
        <f t="shared" ref="AI330" ca="1" si="1159">IF($C330="あり",IF(AI$4&lt;=$AD330,K330,"-"),IF(AI$4&lt;=$AD330,$AO330,"-"))</f>
        <v>-</v>
      </c>
      <c r="AJ330" s="62" t="str">
        <f t="shared" ref="AJ330" ca="1" si="1160">IF($C330="あり",IF(AJ$4&lt;=$AD330,L330,"-"),IF(AJ$4&lt;=$AD330,$AO330,"-"))</f>
        <v>-</v>
      </c>
      <c r="AK330" s="62" t="str">
        <f t="shared" ref="AK330" ca="1" si="1161">IF($C330="あり",IF(AK$4&lt;=$AD330,M330,"-"),IF(AK$4&lt;=$AD330,$AO330,"-"))</f>
        <v>-</v>
      </c>
      <c r="AL330" s="62" t="str">
        <f ca="1">IF($C330="あり",IF(7&lt;=$AD330,N330,"-"),IF(7&lt;=$AD330,$AO330*($AD330-6),"-"))</f>
        <v>-</v>
      </c>
      <c r="AM330" s="62">
        <f ca="1">IF(C330="あり",O330,AP330)</f>
        <v>0</v>
      </c>
      <c r="AN330" s="62">
        <f ca="1">SUM(U331,AF330:AM330)</f>
        <v>0</v>
      </c>
      <c r="AO330" s="42">
        <f ca="1">OFFSET(【DB】被害率係数!$A$4,MATCH(②詳細状況入力!$Y331,【DB】被害率係数!$A$4:$A$19,0)-1,16)</f>
        <v>0</v>
      </c>
      <c r="AP330" s="42">
        <f ca="1">OFFSET(【DB】被害率係数!$A$4,MATCH(②詳細状況入力!$Y331,【DB】被害率係数!$A$4:$A$19,0)-1,17)</f>
        <v>0</v>
      </c>
      <c r="AQ330" s="42"/>
    </row>
    <row r="331" spans="1:43" x14ac:dyDescent="0.15">
      <c r="A331" s="50"/>
      <c r="B331" s="50"/>
      <c r="C331" s="145">
        <f ca="1">OFFSET(①簡易状況入力!$C$5,MATCH(A330,①簡易状況入力!$C$5:$C$104,0)-1,18)</f>
        <v>0</v>
      </c>
      <c r="D331" s="148" t="s">
        <v>52</v>
      </c>
      <c r="E331" s="56">
        <f t="shared" ref="E331:F331" ca="1" si="1162">E330</f>
        <v>0</v>
      </c>
      <c r="F331" s="56">
        <f t="shared" ca="1" si="1162"/>
        <v>0</v>
      </c>
      <c r="G331" s="104"/>
      <c r="H331" s="104"/>
      <c r="I331" s="104"/>
      <c r="J331" s="104"/>
      <c r="K331" s="104"/>
      <c r="L331" s="104"/>
      <c r="M331" s="104"/>
      <c r="N331" s="104"/>
      <c r="O331" s="105"/>
      <c r="Q331" s="57">
        <f ca="1">OFFSET(①簡易状況入力!$C$5,MATCH(A330,①簡易状況入力!$C$5:$C$104,0)-1,16)</f>
        <v>0</v>
      </c>
      <c r="R331" s="58"/>
      <c r="S331" s="146" t="s">
        <v>115</v>
      </c>
      <c r="T331" s="146" t="s">
        <v>116</v>
      </c>
      <c r="U331" s="36">
        <f ca="1">OFFSET(①簡易状況入力!$C$5,MATCH(A330,①簡易状況入力!$C$5:$C$104,0)-1,4)</f>
        <v>0</v>
      </c>
      <c r="V331" s="58"/>
      <c r="W331" s="146" t="s">
        <v>30</v>
      </c>
      <c r="X331" s="37">
        <f ca="1">OFFSET(①簡易状況入力!$C$5,MATCH(A330,①簡易状況入力!$C$5:$C$104,0)-1,5)</f>
        <v>0</v>
      </c>
      <c r="Y331" s="149">
        <f ca="1">OFFSET(①簡易状況入力!$C$5,MATCH(A330,①簡易状況入力!$C$5:$C$104,0)-1,8)</f>
        <v>0</v>
      </c>
      <c r="Z331" s="149">
        <f ca="1">OFFSET(①簡易状況入力!$C$5,MATCH(A330,①簡易状況入力!$C$5:$C$104,0)-1,9)</f>
        <v>0</v>
      </c>
      <c r="AA331" s="149">
        <f ca="1">OFFSET(①簡易状況入力!$C$5,MATCH(A330,①簡易状況入力!$C$5:$C$104,0)-1,10)</f>
        <v>0</v>
      </c>
      <c r="AB331" s="148" t="s">
        <v>52</v>
      </c>
      <c r="AC331" s="56">
        <f t="shared" ref="AC331:AD331" ca="1" si="1163">AC330</f>
        <v>0</v>
      </c>
      <c r="AD331" s="56">
        <f t="shared" ca="1" si="1163"/>
        <v>0</v>
      </c>
      <c r="AE331" s="63">
        <f ca="1">IF($C331="あり",IF(AC331&gt;=1,G331/AQ331,0),IF(AC331&gt;=1,AO331*AC331,0))</f>
        <v>0</v>
      </c>
      <c r="AF331" s="63">
        <f t="shared" ref="AF331:AF333" ca="1" si="1164">IF($C331="あり",IF($AD331&gt;=AF$4,H331/$AQ331,0),IF($AD331&gt;=AF$4,$AO331,0))</f>
        <v>0</v>
      </c>
      <c r="AG331" s="63">
        <f t="shared" ref="AG331:AG333" ca="1" si="1165">IF($C331="あり",IF($AD331&gt;=AG$4,I331/$AQ331,0),IF($AD331&gt;=AG$4,$AO331,0))</f>
        <v>0</v>
      </c>
      <c r="AH331" s="63">
        <f t="shared" ref="AH331:AH333" ca="1" si="1166">IF($C331="あり",IF($AD331&gt;=AH$4,J331/$AQ331,0),IF($AD331&gt;=AH$4,$AO331,0))</f>
        <v>0</v>
      </c>
      <c r="AI331" s="63">
        <f t="shared" ref="AI331:AI333" ca="1" si="1167">IF($C331="あり",IF($AD331&gt;=AI$4,K331/$AQ331,0),IF($AD331&gt;=AI$4,$AO331,0))</f>
        <v>0</v>
      </c>
      <c r="AJ331" s="63">
        <f t="shared" ref="AJ331:AJ333" ca="1" si="1168">IF($C331="あり",IF($AD331&gt;=AJ$4,L331/$AQ331,0),IF($AD331&gt;=AJ$4,$AO331,0))</f>
        <v>0</v>
      </c>
      <c r="AK331" s="63">
        <f t="shared" ref="AK331:AK333" ca="1" si="1169">IF($C331="あり",IF($AD331&gt;=AK$4,M331/$AQ331,0),IF($AD331&gt;=AK$4,$AO331,0))</f>
        <v>0</v>
      </c>
      <c r="AL331" s="63">
        <f ca="1">IF($C331="あり",IF($AD331&gt;=7,N331/$AQ331,0),IF($AD331&gt;=7,$AO331*($AD331-6),0))</f>
        <v>0</v>
      </c>
      <c r="AM331" s="64" t="s">
        <v>46</v>
      </c>
      <c r="AN331" s="63">
        <f ca="1">SUM(AE331:AM331)</f>
        <v>0</v>
      </c>
      <c r="AO331" s="68" t="e">
        <f ca="1">1/(AC331+AD331)</f>
        <v>#DIV/0!</v>
      </c>
      <c r="AP331" s="67">
        <v>0</v>
      </c>
      <c r="AQ331" s="68">
        <f ca="1">IF(AC331&gt;=1,G331,0)+SUMIF($H$4:$M$4,"&lt;="&amp;AD331,$H331:$M331)+IF(AD331&gt;=7,N331,0)</f>
        <v>0</v>
      </c>
    </row>
    <row r="332" spans="1:43" x14ac:dyDescent="0.15">
      <c r="A332" s="50"/>
      <c r="B332" s="50"/>
      <c r="C332" s="145">
        <f ca="1">OFFSET(①簡易状況入力!$C$5,MATCH(A330,①簡易状況入力!$C$5:$C$104,0)-1,19)</f>
        <v>0</v>
      </c>
      <c r="D332" s="148" t="s">
        <v>50</v>
      </c>
      <c r="E332" s="56">
        <f t="shared" ref="E332" ca="1" si="1170">E331</f>
        <v>0</v>
      </c>
      <c r="F332" s="56">
        <f ca="1">F331</f>
        <v>0</v>
      </c>
      <c r="G332" s="104"/>
      <c r="H332" s="104"/>
      <c r="I332" s="104"/>
      <c r="J332" s="104"/>
      <c r="K332" s="104"/>
      <c r="L332" s="104"/>
      <c r="M332" s="104"/>
      <c r="N332" s="104"/>
      <c r="O332" s="106"/>
      <c r="Q332" s="50"/>
      <c r="R332" s="58"/>
      <c r="S332" s="165" t="s">
        <v>28</v>
      </c>
      <c r="T332" s="146" t="s">
        <v>35</v>
      </c>
      <c r="U332" s="35">
        <f ca="1">OFFSET(①簡易状況入力!$C$5,MATCH(A330,①簡易状況入力!$C$5:$C$104,0)-1,2)</f>
        <v>0</v>
      </c>
      <c r="V332" s="58"/>
      <c r="W332" s="146" t="s">
        <v>33</v>
      </c>
      <c r="X332" s="37">
        <f ca="1">OFFSET(①簡易状況入力!$C$5,MATCH(A330,①簡易状況入力!$C$5:$C$104,0)-1,6)</f>
        <v>0</v>
      </c>
      <c r="Y332" s="149">
        <f ca="1">OFFSET(①簡易状況入力!$C$5,MATCH(A330,①簡易状況入力!$C$5:$C$104,0)-1,11)</f>
        <v>0</v>
      </c>
      <c r="Z332" s="167">
        <f ca="1">OFFSET(①簡易状況入力!$C$5,MATCH(A330,①簡易状況入力!$C$5:$C$104,0)-1,12)</f>
        <v>0</v>
      </c>
      <c r="AA332" s="168"/>
      <c r="AB332" s="148" t="s">
        <v>50</v>
      </c>
      <c r="AC332" s="56">
        <f t="shared" ref="AC332:AD332" ca="1" si="1171">AC331</f>
        <v>0</v>
      </c>
      <c r="AD332" s="56">
        <f t="shared" ca="1" si="1171"/>
        <v>0</v>
      </c>
      <c r="AE332" s="63">
        <f ca="1">IF($C332="あり",IF(AC332&gt;=1,G332/AQ332,0),IF(AC332&gt;=1,AO332*AC332,0))</f>
        <v>0</v>
      </c>
      <c r="AF332" s="63">
        <f t="shared" ca="1" si="1164"/>
        <v>0</v>
      </c>
      <c r="AG332" s="63">
        <f t="shared" ca="1" si="1165"/>
        <v>0</v>
      </c>
      <c r="AH332" s="63">
        <f t="shared" ca="1" si="1166"/>
        <v>0</v>
      </c>
      <c r="AI332" s="63">
        <f t="shared" ca="1" si="1167"/>
        <v>0</v>
      </c>
      <c r="AJ332" s="63">
        <f t="shared" ca="1" si="1168"/>
        <v>0</v>
      </c>
      <c r="AK332" s="63">
        <f t="shared" ca="1" si="1169"/>
        <v>0</v>
      </c>
      <c r="AL332" s="63">
        <f ca="1">IF($C332="あり",IF($AD332&gt;=7,N332/$AQ332,0),IF($AD332&gt;=7,$AO332*($AD332-6),0))</f>
        <v>0</v>
      </c>
      <c r="AM332" s="65">
        <f ca="1">IF(C332="あり",O332/AQ332,AP332)</f>
        <v>0</v>
      </c>
      <c r="AN332" s="63">
        <f ca="1">SUM(AE332:AM332)</f>
        <v>0</v>
      </c>
      <c r="AO332" s="68" t="e">
        <f ca="1">1/(AC332+AD332)</f>
        <v>#DIV/0!</v>
      </c>
      <c r="AP332" s="67">
        <v>0</v>
      </c>
      <c r="AQ332" s="68">
        <f ca="1">IF(AC332&gt;=1,G332,0)+SUMIF($H$4:$M$4,"&lt;="&amp;AD332,$H332:$M332)+IF(AD332&gt;=7,N332,0)+O332</f>
        <v>0</v>
      </c>
    </row>
    <row r="333" spans="1:43" x14ac:dyDescent="0.15">
      <c r="A333" s="50"/>
      <c r="B333" s="50"/>
      <c r="C333" s="145">
        <f ca="1">OFFSET(①簡易状況入力!$C$5,MATCH(A330,①簡易状況入力!$C$5:$C$104,0)-1,20)</f>
        <v>0</v>
      </c>
      <c r="D333" s="148" t="s">
        <v>51</v>
      </c>
      <c r="E333" s="56">
        <f t="shared" ref="E333:F333" ca="1" si="1172">E332</f>
        <v>0</v>
      </c>
      <c r="F333" s="56">
        <f t="shared" ca="1" si="1172"/>
        <v>0</v>
      </c>
      <c r="G333" s="104"/>
      <c r="H333" s="104"/>
      <c r="I333" s="104"/>
      <c r="J333" s="104"/>
      <c r="K333" s="104"/>
      <c r="L333" s="104"/>
      <c r="M333" s="104"/>
      <c r="N333" s="104"/>
      <c r="O333" s="106"/>
      <c r="Q333" s="50"/>
      <c r="R333" s="58"/>
      <c r="S333" s="166"/>
      <c r="T333" s="146" t="s">
        <v>34</v>
      </c>
      <c r="U333" s="35">
        <f ca="1">OFFSET(①簡易状況入力!$C$5,MATCH(A330,①簡易状況入力!$C$5:$C$104,0)-1,3)</f>
        <v>0</v>
      </c>
      <c r="V333" s="58"/>
      <c r="W333" s="146" t="s">
        <v>118</v>
      </c>
      <c r="X333" s="37">
        <f ca="1">OFFSET(①簡易状況入力!$C$5,MATCH(A330,①簡易状況入力!$C$5:$C$104,0)-1,7)</f>
        <v>0</v>
      </c>
      <c r="Y333" s="149">
        <f ca="1">OFFSET(①簡易状況入力!$C$5,MATCH(A330,①簡易状況入力!$C$5:$C$104,0)-1,13)</f>
        <v>0</v>
      </c>
      <c r="Z333" s="167">
        <f ca="1">OFFSET(①簡易状況入力!$C$5,MATCH(A330,①簡易状況入力!$C$5:$C$104,0)-1,14)</f>
        <v>0</v>
      </c>
      <c r="AA333" s="168"/>
      <c r="AB333" s="148" t="s">
        <v>51</v>
      </c>
      <c r="AC333" s="56">
        <f t="shared" ref="AC333:AD333" ca="1" si="1173">AC332</f>
        <v>0</v>
      </c>
      <c r="AD333" s="56">
        <f t="shared" ca="1" si="1173"/>
        <v>0</v>
      </c>
      <c r="AE333" s="63">
        <f ca="1">IF($C333="あり",IF(AC333&gt;=1,G333/AQ333,0),IF(AC333&gt;=1,AO333*AC333,0))</f>
        <v>0</v>
      </c>
      <c r="AF333" s="63">
        <f t="shared" ca="1" si="1164"/>
        <v>0</v>
      </c>
      <c r="AG333" s="63">
        <f t="shared" ca="1" si="1165"/>
        <v>0</v>
      </c>
      <c r="AH333" s="63">
        <f t="shared" ca="1" si="1166"/>
        <v>0</v>
      </c>
      <c r="AI333" s="63">
        <f t="shared" ca="1" si="1167"/>
        <v>0</v>
      </c>
      <c r="AJ333" s="63">
        <f t="shared" ca="1" si="1168"/>
        <v>0</v>
      </c>
      <c r="AK333" s="63">
        <f t="shared" ca="1" si="1169"/>
        <v>0</v>
      </c>
      <c r="AL333" s="63">
        <f ca="1">IF($C333="あり",IF($AD333&gt;=7,N333/$AQ333,0),IF($AD333&gt;=7,$AO333*($AD333-6),0))</f>
        <v>0</v>
      </c>
      <c r="AM333" s="65">
        <f ca="1">IF(C333="あり",O333/AQ333,AP333)</f>
        <v>0</v>
      </c>
      <c r="AN333" s="63">
        <f ca="1">SUM(AE333:AM333)</f>
        <v>0</v>
      </c>
      <c r="AO333" s="68" t="e">
        <f ca="1">1/(AC333+AD333)</f>
        <v>#DIV/0!</v>
      </c>
      <c r="AP333" s="67">
        <v>0</v>
      </c>
      <c r="AQ333" s="68">
        <f ca="1">IF(AC333&gt;=1,G333,0)+SUMIF($H$4:$M$4,"&lt;="&amp;AD333,$H333:$M333)+IF(AD333&gt;=7,N333,0)+O333</f>
        <v>0</v>
      </c>
    </row>
    <row r="334" spans="1:43" x14ac:dyDescent="0.15">
      <c r="G334" s="107"/>
      <c r="H334" s="107"/>
      <c r="I334" s="107"/>
      <c r="J334" s="107"/>
      <c r="K334" s="107"/>
      <c r="L334" s="107"/>
      <c r="M334" s="107"/>
      <c r="N334" s="107"/>
      <c r="O334" s="107"/>
    </row>
    <row r="335" spans="1:43" x14ac:dyDescent="0.15">
      <c r="A335" s="59" t="s">
        <v>382</v>
      </c>
      <c r="B335" s="60">
        <f ca="1">OFFSET(①簡易状況入力!$C$5,MATCH(A335,①簡易状況入力!$C$5:$C$104,0)-1,1)</f>
        <v>0</v>
      </c>
      <c r="C335" s="145">
        <f ca="1">OFFSET(①簡易状況入力!$C$5,MATCH(A335,①簡易状況入力!$C$5:$C$104,0)-1,17)</f>
        <v>0</v>
      </c>
      <c r="D335" s="148" t="s">
        <v>47</v>
      </c>
      <c r="E335" s="56">
        <f ca="1">U338</f>
        <v>0</v>
      </c>
      <c r="F335" s="56">
        <f ca="1">U337</f>
        <v>0</v>
      </c>
      <c r="G335" s="102"/>
      <c r="H335" s="103"/>
      <c r="I335" s="103"/>
      <c r="J335" s="103"/>
      <c r="K335" s="103"/>
      <c r="L335" s="103"/>
      <c r="M335" s="103"/>
      <c r="N335" s="103"/>
      <c r="O335" s="103"/>
      <c r="Q335" s="57">
        <f ca="1">OFFSET(①簡易状況入力!$C$5,MATCH(A335,①簡易状況入力!$C$5:$C$104,0)-1,15)</f>
        <v>0</v>
      </c>
      <c r="R335" s="58"/>
      <c r="S335" s="58"/>
      <c r="T335" s="58"/>
      <c r="U335" s="58"/>
      <c r="V335" s="58"/>
      <c r="W335" s="58"/>
      <c r="X335" s="58"/>
      <c r="Y335" s="58"/>
      <c r="Z335" s="58"/>
      <c r="AA335" s="58"/>
      <c r="AB335" s="148" t="s">
        <v>47</v>
      </c>
      <c r="AC335" s="56">
        <f ca="1">U338</f>
        <v>0</v>
      </c>
      <c r="AD335" s="56">
        <f ca="1">U337</f>
        <v>0</v>
      </c>
      <c r="AE335" s="62" t="s">
        <v>46</v>
      </c>
      <c r="AF335" s="62" t="str">
        <f t="shared" ref="AF335" ca="1" si="1174">IF($C335="あり",IF(AF$4&lt;=$AD335,H335,"-"),IF(AF$4&lt;=$AD335,$AO335,"-"))</f>
        <v>-</v>
      </c>
      <c r="AG335" s="62" t="str">
        <f t="shared" ref="AG335" ca="1" si="1175">IF($C335="あり",IF(AG$4&lt;=$AD335,I335,"-"),IF(AG$4&lt;=$AD335,$AO335,"-"))</f>
        <v>-</v>
      </c>
      <c r="AH335" s="62" t="str">
        <f t="shared" ref="AH335" ca="1" si="1176">IF($C335="あり",IF(AH$4&lt;=$AD335,J335,"-"),IF(AH$4&lt;=$AD335,$AO335,"-"))</f>
        <v>-</v>
      </c>
      <c r="AI335" s="62" t="str">
        <f t="shared" ref="AI335" ca="1" si="1177">IF($C335="あり",IF(AI$4&lt;=$AD335,K335,"-"),IF(AI$4&lt;=$AD335,$AO335,"-"))</f>
        <v>-</v>
      </c>
      <c r="AJ335" s="62" t="str">
        <f t="shared" ref="AJ335" ca="1" si="1178">IF($C335="あり",IF(AJ$4&lt;=$AD335,L335,"-"),IF(AJ$4&lt;=$AD335,$AO335,"-"))</f>
        <v>-</v>
      </c>
      <c r="AK335" s="62" t="str">
        <f t="shared" ref="AK335" ca="1" si="1179">IF($C335="あり",IF(AK$4&lt;=$AD335,M335,"-"),IF(AK$4&lt;=$AD335,$AO335,"-"))</f>
        <v>-</v>
      </c>
      <c r="AL335" s="62" t="str">
        <f ca="1">IF($C335="あり",IF(7&lt;=$AD335,N335,"-"),IF(7&lt;=$AD335,$AO335*($AD335-6),"-"))</f>
        <v>-</v>
      </c>
      <c r="AM335" s="62">
        <f ca="1">IF(C335="あり",O335,AP335)</f>
        <v>0</v>
      </c>
      <c r="AN335" s="62">
        <f ca="1">SUM(U336,AF335:AM335)</f>
        <v>0</v>
      </c>
      <c r="AO335" s="42">
        <f ca="1">OFFSET(【DB】被害率係数!$A$4,MATCH(②詳細状況入力!$Y336,【DB】被害率係数!$A$4:$A$19,0)-1,16)</f>
        <v>0</v>
      </c>
      <c r="AP335" s="42">
        <f ca="1">OFFSET(【DB】被害率係数!$A$4,MATCH(②詳細状況入力!$Y336,【DB】被害率係数!$A$4:$A$19,0)-1,17)</f>
        <v>0</v>
      </c>
      <c r="AQ335" s="42"/>
    </row>
    <row r="336" spans="1:43" x14ac:dyDescent="0.15">
      <c r="A336" s="50"/>
      <c r="B336" s="50"/>
      <c r="C336" s="145">
        <f ca="1">OFFSET(①簡易状況入力!$C$5,MATCH(A335,①簡易状況入力!$C$5:$C$104,0)-1,18)</f>
        <v>0</v>
      </c>
      <c r="D336" s="148" t="s">
        <v>52</v>
      </c>
      <c r="E336" s="56">
        <f t="shared" ref="E336:F336" ca="1" si="1180">E335</f>
        <v>0</v>
      </c>
      <c r="F336" s="56">
        <f t="shared" ca="1" si="1180"/>
        <v>0</v>
      </c>
      <c r="G336" s="104"/>
      <c r="H336" s="104"/>
      <c r="I336" s="104"/>
      <c r="J336" s="104"/>
      <c r="K336" s="104"/>
      <c r="L336" s="104"/>
      <c r="M336" s="104"/>
      <c r="N336" s="104"/>
      <c r="O336" s="105"/>
      <c r="Q336" s="57">
        <f ca="1">OFFSET(①簡易状況入力!$C$5,MATCH(A335,①簡易状況入力!$C$5:$C$104,0)-1,16)</f>
        <v>0</v>
      </c>
      <c r="R336" s="58"/>
      <c r="S336" s="146" t="s">
        <v>115</v>
      </c>
      <c r="T336" s="146" t="s">
        <v>116</v>
      </c>
      <c r="U336" s="36">
        <f ca="1">OFFSET(①簡易状況入力!$C$5,MATCH(A335,①簡易状況入力!$C$5:$C$104,0)-1,4)</f>
        <v>0</v>
      </c>
      <c r="V336" s="58"/>
      <c r="W336" s="146" t="s">
        <v>30</v>
      </c>
      <c r="X336" s="37">
        <f ca="1">OFFSET(①簡易状況入力!$C$5,MATCH(A335,①簡易状況入力!$C$5:$C$104,0)-1,5)</f>
        <v>0</v>
      </c>
      <c r="Y336" s="149">
        <f ca="1">OFFSET(①簡易状況入力!$C$5,MATCH(A335,①簡易状況入力!$C$5:$C$104,0)-1,8)</f>
        <v>0</v>
      </c>
      <c r="Z336" s="149">
        <f ca="1">OFFSET(①簡易状況入力!$C$5,MATCH(A335,①簡易状況入力!$C$5:$C$104,0)-1,9)</f>
        <v>0</v>
      </c>
      <c r="AA336" s="149">
        <f ca="1">OFFSET(①簡易状況入力!$C$5,MATCH(A335,①簡易状況入力!$C$5:$C$104,0)-1,10)</f>
        <v>0</v>
      </c>
      <c r="AB336" s="148" t="s">
        <v>52</v>
      </c>
      <c r="AC336" s="56">
        <f t="shared" ref="AC336:AD336" ca="1" si="1181">AC335</f>
        <v>0</v>
      </c>
      <c r="AD336" s="56">
        <f t="shared" ca="1" si="1181"/>
        <v>0</v>
      </c>
      <c r="AE336" s="63">
        <f ca="1">IF($C336="あり",IF(AC336&gt;=1,G336/AQ336,0),IF(AC336&gt;=1,AO336*AC336,0))</f>
        <v>0</v>
      </c>
      <c r="AF336" s="63">
        <f t="shared" ref="AF336:AF338" ca="1" si="1182">IF($C336="あり",IF($AD336&gt;=AF$4,H336/$AQ336,0),IF($AD336&gt;=AF$4,$AO336,0))</f>
        <v>0</v>
      </c>
      <c r="AG336" s="63">
        <f t="shared" ref="AG336:AG338" ca="1" si="1183">IF($C336="あり",IF($AD336&gt;=AG$4,I336/$AQ336,0),IF($AD336&gt;=AG$4,$AO336,0))</f>
        <v>0</v>
      </c>
      <c r="AH336" s="63">
        <f t="shared" ref="AH336:AH338" ca="1" si="1184">IF($C336="あり",IF($AD336&gt;=AH$4,J336/$AQ336,0),IF($AD336&gt;=AH$4,$AO336,0))</f>
        <v>0</v>
      </c>
      <c r="AI336" s="63">
        <f t="shared" ref="AI336:AI338" ca="1" si="1185">IF($C336="あり",IF($AD336&gt;=AI$4,K336/$AQ336,0),IF($AD336&gt;=AI$4,$AO336,0))</f>
        <v>0</v>
      </c>
      <c r="AJ336" s="63">
        <f t="shared" ref="AJ336:AJ338" ca="1" si="1186">IF($C336="あり",IF($AD336&gt;=AJ$4,L336/$AQ336,0),IF($AD336&gt;=AJ$4,$AO336,0))</f>
        <v>0</v>
      </c>
      <c r="AK336" s="63">
        <f t="shared" ref="AK336:AK338" ca="1" si="1187">IF($C336="あり",IF($AD336&gt;=AK$4,M336/$AQ336,0),IF($AD336&gt;=AK$4,$AO336,0))</f>
        <v>0</v>
      </c>
      <c r="AL336" s="63">
        <f ca="1">IF($C336="あり",IF($AD336&gt;=7,N336/$AQ336,0),IF($AD336&gt;=7,$AO336*($AD336-6),0))</f>
        <v>0</v>
      </c>
      <c r="AM336" s="64" t="s">
        <v>46</v>
      </c>
      <c r="AN336" s="63">
        <f ca="1">SUM(AE336:AM336)</f>
        <v>0</v>
      </c>
      <c r="AO336" s="68" t="e">
        <f ca="1">1/(AC336+AD336)</f>
        <v>#DIV/0!</v>
      </c>
      <c r="AP336" s="67">
        <v>0</v>
      </c>
      <c r="AQ336" s="68">
        <f ca="1">IF(AC336&gt;=1,G336,0)+SUMIF($H$4:$M$4,"&lt;="&amp;AD336,$H336:$M336)+IF(AD336&gt;=7,N336,0)</f>
        <v>0</v>
      </c>
    </row>
    <row r="337" spans="1:43" x14ac:dyDescent="0.15">
      <c r="A337" s="50"/>
      <c r="B337" s="50"/>
      <c r="C337" s="145">
        <f ca="1">OFFSET(①簡易状況入力!$C$5,MATCH(A335,①簡易状況入力!$C$5:$C$104,0)-1,19)</f>
        <v>0</v>
      </c>
      <c r="D337" s="148" t="s">
        <v>50</v>
      </c>
      <c r="E337" s="56">
        <f t="shared" ref="E337" ca="1" si="1188">E336</f>
        <v>0</v>
      </c>
      <c r="F337" s="56">
        <f ca="1">F336</f>
        <v>0</v>
      </c>
      <c r="G337" s="104"/>
      <c r="H337" s="104"/>
      <c r="I337" s="104"/>
      <c r="J337" s="104"/>
      <c r="K337" s="104"/>
      <c r="L337" s="104"/>
      <c r="M337" s="104"/>
      <c r="N337" s="104"/>
      <c r="O337" s="106"/>
      <c r="Q337" s="50"/>
      <c r="R337" s="58"/>
      <c r="S337" s="165" t="s">
        <v>28</v>
      </c>
      <c r="T337" s="146" t="s">
        <v>35</v>
      </c>
      <c r="U337" s="35">
        <f ca="1">OFFSET(①簡易状況入力!$C$5,MATCH(A335,①簡易状況入力!$C$5:$C$104,0)-1,2)</f>
        <v>0</v>
      </c>
      <c r="V337" s="58"/>
      <c r="W337" s="146" t="s">
        <v>33</v>
      </c>
      <c r="X337" s="37">
        <f ca="1">OFFSET(①簡易状況入力!$C$5,MATCH(A335,①簡易状況入力!$C$5:$C$104,0)-1,6)</f>
        <v>0</v>
      </c>
      <c r="Y337" s="149">
        <f ca="1">OFFSET(①簡易状況入力!$C$5,MATCH(A335,①簡易状況入力!$C$5:$C$104,0)-1,11)</f>
        <v>0</v>
      </c>
      <c r="Z337" s="167">
        <f ca="1">OFFSET(①簡易状況入力!$C$5,MATCH(A335,①簡易状況入力!$C$5:$C$104,0)-1,12)</f>
        <v>0</v>
      </c>
      <c r="AA337" s="168"/>
      <c r="AB337" s="148" t="s">
        <v>50</v>
      </c>
      <c r="AC337" s="56">
        <f t="shared" ref="AC337:AD337" ca="1" si="1189">AC336</f>
        <v>0</v>
      </c>
      <c r="AD337" s="56">
        <f t="shared" ca="1" si="1189"/>
        <v>0</v>
      </c>
      <c r="AE337" s="63">
        <f ca="1">IF($C337="あり",IF(AC337&gt;=1,G337/AQ337,0),IF(AC337&gt;=1,AO337*AC337,0))</f>
        <v>0</v>
      </c>
      <c r="AF337" s="63">
        <f t="shared" ca="1" si="1182"/>
        <v>0</v>
      </c>
      <c r="AG337" s="63">
        <f t="shared" ca="1" si="1183"/>
        <v>0</v>
      </c>
      <c r="AH337" s="63">
        <f t="shared" ca="1" si="1184"/>
        <v>0</v>
      </c>
      <c r="AI337" s="63">
        <f t="shared" ca="1" si="1185"/>
        <v>0</v>
      </c>
      <c r="AJ337" s="63">
        <f t="shared" ca="1" si="1186"/>
        <v>0</v>
      </c>
      <c r="AK337" s="63">
        <f t="shared" ca="1" si="1187"/>
        <v>0</v>
      </c>
      <c r="AL337" s="63">
        <f ca="1">IF($C337="あり",IF($AD337&gt;=7,N337/$AQ337,0),IF($AD337&gt;=7,$AO337*($AD337-6),0))</f>
        <v>0</v>
      </c>
      <c r="AM337" s="65">
        <f ca="1">IF(C337="あり",O337/AQ337,AP337)</f>
        <v>0</v>
      </c>
      <c r="AN337" s="63">
        <f ca="1">SUM(AE337:AM337)</f>
        <v>0</v>
      </c>
      <c r="AO337" s="68" t="e">
        <f ca="1">1/(AC337+AD337)</f>
        <v>#DIV/0!</v>
      </c>
      <c r="AP337" s="67">
        <v>0</v>
      </c>
      <c r="AQ337" s="68">
        <f ca="1">IF(AC337&gt;=1,G337,0)+SUMIF($H$4:$M$4,"&lt;="&amp;AD337,$H337:$M337)+IF(AD337&gt;=7,N337,0)+O337</f>
        <v>0</v>
      </c>
    </row>
    <row r="338" spans="1:43" x14ac:dyDescent="0.15">
      <c r="A338" s="50"/>
      <c r="B338" s="50"/>
      <c r="C338" s="145">
        <f ca="1">OFFSET(①簡易状況入力!$C$5,MATCH(A335,①簡易状況入力!$C$5:$C$104,0)-1,20)</f>
        <v>0</v>
      </c>
      <c r="D338" s="148" t="s">
        <v>51</v>
      </c>
      <c r="E338" s="56">
        <f t="shared" ref="E338:F338" ca="1" si="1190">E337</f>
        <v>0</v>
      </c>
      <c r="F338" s="56">
        <f t="shared" ca="1" si="1190"/>
        <v>0</v>
      </c>
      <c r="G338" s="104"/>
      <c r="H338" s="104"/>
      <c r="I338" s="104"/>
      <c r="J338" s="104"/>
      <c r="K338" s="104"/>
      <c r="L338" s="104"/>
      <c r="M338" s="104"/>
      <c r="N338" s="104"/>
      <c r="O338" s="106"/>
      <c r="Q338" s="50"/>
      <c r="R338" s="58"/>
      <c r="S338" s="166"/>
      <c r="T338" s="146" t="s">
        <v>34</v>
      </c>
      <c r="U338" s="35">
        <f ca="1">OFFSET(①簡易状況入力!$C$5,MATCH(A335,①簡易状況入力!$C$5:$C$104,0)-1,3)</f>
        <v>0</v>
      </c>
      <c r="V338" s="58"/>
      <c r="W338" s="146" t="s">
        <v>118</v>
      </c>
      <c r="X338" s="37">
        <f ca="1">OFFSET(①簡易状況入力!$C$5,MATCH(A335,①簡易状況入力!$C$5:$C$104,0)-1,7)</f>
        <v>0</v>
      </c>
      <c r="Y338" s="149">
        <f ca="1">OFFSET(①簡易状況入力!$C$5,MATCH(A335,①簡易状況入力!$C$5:$C$104,0)-1,13)</f>
        <v>0</v>
      </c>
      <c r="Z338" s="167">
        <f ca="1">OFFSET(①簡易状況入力!$C$5,MATCH(A335,①簡易状況入力!$C$5:$C$104,0)-1,14)</f>
        <v>0</v>
      </c>
      <c r="AA338" s="168"/>
      <c r="AB338" s="148" t="s">
        <v>51</v>
      </c>
      <c r="AC338" s="56">
        <f t="shared" ref="AC338:AD338" ca="1" si="1191">AC337</f>
        <v>0</v>
      </c>
      <c r="AD338" s="56">
        <f t="shared" ca="1" si="1191"/>
        <v>0</v>
      </c>
      <c r="AE338" s="63">
        <f ca="1">IF($C338="あり",IF(AC338&gt;=1,G338/AQ338,0),IF(AC338&gt;=1,AO338*AC338,0))</f>
        <v>0</v>
      </c>
      <c r="AF338" s="63">
        <f t="shared" ca="1" si="1182"/>
        <v>0</v>
      </c>
      <c r="AG338" s="63">
        <f t="shared" ca="1" si="1183"/>
        <v>0</v>
      </c>
      <c r="AH338" s="63">
        <f t="shared" ca="1" si="1184"/>
        <v>0</v>
      </c>
      <c r="AI338" s="63">
        <f t="shared" ca="1" si="1185"/>
        <v>0</v>
      </c>
      <c r="AJ338" s="63">
        <f t="shared" ca="1" si="1186"/>
        <v>0</v>
      </c>
      <c r="AK338" s="63">
        <f t="shared" ca="1" si="1187"/>
        <v>0</v>
      </c>
      <c r="AL338" s="63">
        <f ca="1">IF($C338="あり",IF($AD338&gt;=7,N338/$AQ338,0),IF($AD338&gt;=7,$AO338*($AD338-6),0))</f>
        <v>0</v>
      </c>
      <c r="AM338" s="65">
        <f ca="1">IF(C338="あり",O338/AQ338,AP338)</f>
        <v>0</v>
      </c>
      <c r="AN338" s="63">
        <f ca="1">SUM(AE338:AM338)</f>
        <v>0</v>
      </c>
      <c r="AO338" s="68" t="e">
        <f ca="1">1/(AC338+AD338)</f>
        <v>#DIV/0!</v>
      </c>
      <c r="AP338" s="67">
        <v>0</v>
      </c>
      <c r="AQ338" s="68">
        <f ca="1">IF(AC338&gt;=1,G338,0)+SUMIF($H$4:$M$4,"&lt;="&amp;AD338,$H338:$M338)+IF(AD338&gt;=7,N338,0)+O338</f>
        <v>0</v>
      </c>
    </row>
    <row r="339" spans="1:43" x14ac:dyDescent="0.15">
      <c r="G339" s="107"/>
      <c r="H339" s="107"/>
      <c r="I339" s="107"/>
      <c r="J339" s="107"/>
      <c r="K339" s="107"/>
      <c r="L339" s="107"/>
      <c r="M339" s="107"/>
      <c r="N339" s="107"/>
      <c r="O339" s="107"/>
    </row>
    <row r="340" spans="1:43" x14ac:dyDescent="0.15">
      <c r="A340" s="59" t="s">
        <v>383</v>
      </c>
      <c r="B340" s="60">
        <f ca="1">OFFSET(①簡易状況入力!$C$5,MATCH(A340,①簡易状況入力!$C$5:$C$104,0)-1,1)</f>
        <v>0</v>
      </c>
      <c r="C340" s="145">
        <f ca="1">OFFSET(①簡易状況入力!$C$5,MATCH(A340,①簡易状況入力!$C$5:$C$104,0)-1,17)</f>
        <v>0</v>
      </c>
      <c r="D340" s="148" t="s">
        <v>47</v>
      </c>
      <c r="E340" s="56">
        <f ca="1">U343</f>
        <v>0</v>
      </c>
      <c r="F340" s="56">
        <f ca="1">U342</f>
        <v>0</v>
      </c>
      <c r="G340" s="102"/>
      <c r="H340" s="103"/>
      <c r="I340" s="103"/>
      <c r="J340" s="103"/>
      <c r="K340" s="103"/>
      <c r="L340" s="103"/>
      <c r="M340" s="103"/>
      <c r="N340" s="103"/>
      <c r="O340" s="103"/>
      <c r="Q340" s="57">
        <f ca="1">OFFSET(①簡易状況入力!$C$5,MATCH(A340,①簡易状況入力!$C$5:$C$104,0)-1,15)</f>
        <v>0</v>
      </c>
      <c r="R340" s="58"/>
      <c r="S340" s="58"/>
      <c r="T340" s="58"/>
      <c r="U340" s="58"/>
      <c r="V340" s="58"/>
      <c r="W340" s="58"/>
      <c r="X340" s="58"/>
      <c r="Y340" s="58"/>
      <c r="Z340" s="58"/>
      <c r="AA340" s="58"/>
      <c r="AB340" s="148" t="s">
        <v>47</v>
      </c>
      <c r="AC340" s="56">
        <f ca="1">U343</f>
        <v>0</v>
      </c>
      <c r="AD340" s="56">
        <f ca="1">U342</f>
        <v>0</v>
      </c>
      <c r="AE340" s="62" t="s">
        <v>46</v>
      </c>
      <c r="AF340" s="62" t="str">
        <f t="shared" ref="AF340" ca="1" si="1192">IF($C340="あり",IF(AF$4&lt;=$AD340,H340,"-"),IF(AF$4&lt;=$AD340,$AO340,"-"))</f>
        <v>-</v>
      </c>
      <c r="AG340" s="62" t="str">
        <f t="shared" ref="AG340" ca="1" si="1193">IF($C340="あり",IF(AG$4&lt;=$AD340,I340,"-"),IF(AG$4&lt;=$AD340,$AO340,"-"))</f>
        <v>-</v>
      </c>
      <c r="AH340" s="62" t="str">
        <f t="shared" ref="AH340" ca="1" si="1194">IF($C340="あり",IF(AH$4&lt;=$AD340,J340,"-"),IF(AH$4&lt;=$AD340,$AO340,"-"))</f>
        <v>-</v>
      </c>
      <c r="AI340" s="62" t="str">
        <f t="shared" ref="AI340" ca="1" si="1195">IF($C340="あり",IF(AI$4&lt;=$AD340,K340,"-"),IF(AI$4&lt;=$AD340,$AO340,"-"))</f>
        <v>-</v>
      </c>
      <c r="AJ340" s="62" t="str">
        <f t="shared" ref="AJ340" ca="1" si="1196">IF($C340="あり",IF(AJ$4&lt;=$AD340,L340,"-"),IF(AJ$4&lt;=$AD340,$AO340,"-"))</f>
        <v>-</v>
      </c>
      <c r="AK340" s="62" t="str">
        <f t="shared" ref="AK340" ca="1" si="1197">IF($C340="あり",IF(AK$4&lt;=$AD340,M340,"-"),IF(AK$4&lt;=$AD340,$AO340,"-"))</f>
        <v>-</v>
      </c>
      <c r="AL340" s="62" t="str">
        <f ca="1">IF($C340="あり",IF(7&lt;=$AD340,N340,"-"),IF(7&lt;=$AD340,$AO340*($AD340-6),"-"))</f>
        <v>-</v>
      </c>
      <c r="AM340" s="62">
        <f ca="1">IF(C340="あり",O340,AP340)</f>
        <v>0</v>
      </c>
      <c r="AN340" s="62">
        <f ca="1">SUM(U341,AF340:AM340)</f>
        <v>0</v>
      </c>
      <c r="AO340" s="42">
        <f ca="1">OFFSET(【DB】被害率係数!$A$4,MATCH(②詳細状況入力!$Y341,【DB】被害率係数!$A$4:$A$19,0)-1,16)</f>
        <v>0</v>
      </c>
      <c r="AP340" s="42">
        <f ca="1">OFFSET(【DB】被害率係数!$A$4,MATCH(②詳細状況入力!$Y341,【DB】被害率係数!$A$4:$A$19,0)-1,17)</f>
        <v>0</v>
      </c>
      <c r="AQ340" s="42"/>
    </row>
    <row r="341" spans="1:43" x14ac:dyDescent="0.15">
      <c r="A341" s="50"/>
      <c r="B341" s="50"/>
      <c r="C341" s="145">
        <f ca="1">OFFSET(①簡易状況入力!$C$5,MATCH(A340,①簡易状況入力!$C$5:$C$104,0)-1,18)</f>
        <v>0</v>
      </c>
      <c r="D341" s="148" t="s">
        <v>52</v>
      </c>
      <c r="E341" s="56">
        <f t="shared" ref="E341:F341" ca="1" si="1198">E340</f>
        <v>0</v>
      </c>
      <c r="F341" s="56">
        <f t="shared" ca="1" si="1198"/>
        <v>0</v>
      </c>
      <c r="G341" s="104"/>
      <c r="H341" s="104"/>
      <c r="I341" s="104"/>
      <c r="J341" s="104"/>
      <c r="K341" s="104"/>
      <c r="L341" s="104"/>
      <c r="M341" s="104"/>
      <c r="N341" s="104"/>
      <c r="O341" s="105"/>
      <c r="Q341" s="57">
        <f ca="1">OFFSET(①簡易状況入力!$C$5,MATCH(A340,①簡易状況入力!$C$5:$C$104,0)-1,16)</f>
        <v>0</v>
      </c>
      <c r="R341" s="58"/>
      <c r="S341" s="146" t="s">
        <v>115</v>
      </c>
      <c r="T341" s="146" t="s">
        <v>116</v>
      </c>
      <c r="U341" s="36">
        <f ca="1">OFFSET(①簡易状況入力!$C$5,MATCH(A340,①簡易状況入力!$C$5:$C$104,0)-1,4)</f>
        <v>0</v>
      </c>
      <c r="V341" s="58"/>
      <c r="W341" s="146" t="s">
        <v>30</v>
      </c>
      <c r="X341" s="37">
        <f ca="1">OFFSET(①簡易状況入力!$C$5,MATCH(A340,①簡易状況入力!$C$5:$C$104,0)-1,5)</f>
        <v>0</v>
      </c>
      <c r="Y341" s="149">
        <f ca="1">OFFSET(①簡易状況入力!$C$5,MATCH(A340,①簡易状況入力!$C$5:$C$104,0)-1,8)</f>
        <v>0</v>
      </c>
      <c r="Z341" s="149">
        <f ca="1">OFFSET(①簡易状況入力!$C$5,MATCH(A340,①簡易状況入力!$C$5:$C$104,0)-1,9)</f>
        <v>0</v>
      </c>
      <c r="AA341" s="149">
        <f ca="1">OFFSET(①簡易状況入力!$C$5,MATCH(A340,①簡易状況入力!$C$5:$C$104,0)-1,10)</f>
        <v>0</v>
      </c>
      <c r="AB341" s="148" t="s">
        <v>52</v>
      </c>
      <c r="AC341" s="56">
        <f t="shared" ref="AC341:AD341" ca="1" si="1199">AC340</f>
        <v>0</v>
      </c>
      <c r="AD341" s="56">
        <f t="shared" ca="1" si="1199"/>
        <v>0</v>
      </c>
      <c r="AE341" s="63">
        <f ca="1">IF($C341="あり",IF(AC341&gt;=1,G341/AQ341,0),IF(AC341&gt;=1,AO341*AC341,0))</f>
        <v>0</v>
      </c>
      <c r="AF341" s="63">
        <f t="shared" ref="AF341:AF343" ca="1" si="1200">IF($C341="あり",IF($AD341&gt;=AF$4,H341/$AQ341,0),IF($AD341&gt;=AF$4,$AO341,0))</f>
        <v>0</v>
      </c>
      <c r="AG341" s="63">
        <f t="shared" ref="AG341:AG343" ca="1" si="1201">IF($C341="あり",IF($AD341&gt;=AG$4,I341/$AQ341,0),IF($AD341&gt;=AG$4,$AO341,0))</f>
        <v>0</v>
      </c>
      <c r="AH341" s="63">
        <f t="shared" ref="AH341:AH343" ca="1" si="1202">IF($C341="あり",IF($AD341&gt;=AH$4,J341/$AQ341,0),IF($AD341&gt;=AH$4,$AO341,0))</f>
        <v>0</v>
      </c>
      <c r="AI341" s="63">
        <f t="shared" ref="AI341:AI343" ca="1" si="1203">IF($C341="あり",IF($AD341&gt;=AI$4,K341/$AQ341,0),IF($AD341&gt;=AI$4,$AO341,0))</f>
        <v>0</v>
      </c>
      <c r="AJ341" s="63">
        <f t="shared" ref="AJ341:AJ343" ca="1" si="1204">IF($C341="あり",IF($AD341&gt;=AJ$4,L341/$AQ341,0),IF($AD341&gt;=AJ$4,$AO341,0))</f>
        <v>0</v>
      </c>
      <c r="AK341" s="63">
        <f t="shared" ref="AK341:AK343" ca="1" si="1205">IF($C341="あり",IF($AD341&gt;=AK$4,M341/$AQ341,0),IF($AD341&gt;=AK$4,$AO341,0))</f>
        <v>0</v>
      </c>
      <c r="AL341" s="63">
        <f ca="1">IF($C341="あり",IF($AD341&gt;=7,N341/$AQ341,0),IF($AD341&gt;=7,$AO341*($AD341-6),0))</f>
        <v>0</v>
      </c>
      <c r="AM341" s="64" t="s">
        <v>46</v>
      </c>
      <c r="AN341" s="63">
        <f ca="1">SUM(AE341:AM341)</f>
        <v>0</v>
      </c>
      <c r="AO341" s="68" t="e">
        <f ca="1">1/(AC341+AD341)</f>
        <v>#DIV/0!</v>
      </c>
      <c r="AP341" s="67">
        <v>0</v>
      </c>
      <c r="AQ341" s="68">
        <f ca="1">IF(AC341&gt;=1,G341,0)+SUMIF($H$4:$M$4,"&lt;="&amp;AD341,$H341:$M341)+IF(AD341&gt;=7,N341,0)</f>
        <v>0</v>
      </c>
    </row>
    <row r="342" spans="1:43" x14ac:dyDescent="0.15">
      <c r="A342" s="50"/>
      <c r="B342" s="50"/>
      <c r="C342" s="145">
        <f ca="1">OFFSET(①簡易状況入力!$C$5,MATCH(A340,①簡易状況入力!$C$5:$C$104,0)-1,19)</f>
        <v>0</v>
      </c>
      <c r="D342" s="148" t="s">
        <v>50</v>
      </c>
      <c r="E342" s="56">
        <f t="shared" ref="E342" ca="1" si="1206">E341</f>
        <v>0</v>
      </c>
      <c r="F342" s="56">
        <f ca="1">F341</f>
        <v>0</v>
      </c>
      <c r="G342" s="104"/>
      <c r="H342" s="104"/>
      <c r="I342" s="104"/>
      <c r="J342" s="104"/>
      <c r="K342" s="104"/>
      <c r="L342" s="104"/>
      <c r="M342" s="104"/>
      <c r="N342" s="104"/>
      <c r="O342" s="106"/>
      <c r="Q342" s="50"/>
      <c r="R342" s="58"/>
      <c r="S342" s="165" t="s">
        <v>28</v>
      </c>
      <c r="T342" s="146" t="s">
        <v>35</v>
      </c>
      <c r="U342" s="35">
        <f ca="1">OFFSET(①簡易状況入力!$C$5,MATCH(A340,①簡易状況入力!$C$5:$C$104,0)-1,2)</f>
        <v>0</v>
      </c>
      <c r="V342" s="58"/>
      <c r="W342" s="146" t="s">
        <v>33</v>
      </c>
      <c r="X342" s="37">
        <f ca="1">OFFSET(①簡易状況入力!$C$5,MATCH(A340,①簡易状況入力!$C$5:$C$104,0)-1,6)</f>
        <v>0</v>
      </c>
      <c r="Y342" s="149">
        <f ca="1">OFFSET(①簡易状況入力!$C$5,MATCH(A340,①簡易状況入力!$C$5:$C$104,0)-1,11)</f>
        <v>0</v>
      </c>
      <c r="Z342" s="167">
        <f ca="1">OFFSET(①簡易状況入力!$C$5,MATCH(A340,①簡易状況入力!$C$5:$C$104,0)-1,12)</f>
        <v>0</v>
      </c>
      <c r="AA342" s="168"/>
      <c r="AB342" s="148" t="s">
        <v>50</v>
      </c>
      <c r="AC342" s="56">
        <f t="shared" ref="AC342:AD342" ca="1" si="1207">AC341</f>
        <v>0</v>
      </c>
      <c r="AD342" s="56">
        <f t="shared" ca="1" si="1207"/>
        <v>0</v>
      </c>
      <c r="AE342" s="63">
        <f ca="1">IF($C342="あり",IF(AC342&gt;=1,G342/AQ342,0),IF(AC342&gt;=1,AO342*AC342,0))</f>
        <v>0</v>
      </c>
      <c r="AF342" s="63">
        <f t="shared" ca="1" si="1200"/>
        <v>0</v>
      </c>
      <c r="AG342" s="63">
        <f t="shared" ca="1" si="1201"/>
        <v>0</v>
      </c>
      <c r="AH342" s="63">
        <f t="shared" ca="1" si="1202"/>
        <v>0</v>
      </c>
      <c r="AI342" s="63">
        <f t="shared" ca="1" si="1203"/>
        <v>0</v>
      </c>
      <c r="AJ342" s="63">
        <f t="shared" ca="1" si="1204"/>
        <v>0</v>
      </c>
      <c r="AK342" s="63">
        <f t="shared" ca="1" si="1205"/>
        <v>0</v>
      </c>
      <c r="AL342" s="63">
        <f ca="1">IF($C342="あり",IF($AD342&gt;=7,N342/$AQ342,0),IF($AD342&gt;=7,$AO342*($AD342-6),0))</f>
        <v>0</v>
      </c>
      <c r="AM342" s="65">
        <f ca="1">IF(C342="あり",O342/AQ342,AP342)</f>
        <v>0</v>
      </c>
      <c r="AN342" s="63">
        <f ca="1">SUM(AE342:AM342)</f>
        <v>0</v>
      </c>
      <c r="AO342" s="68" t="e">
        <f ca="1">1/(AC342+AD342)</f>
        <v>#DIV/0!</v>
      </c>
      <c r="AP342" s="67">
        <v>0</v>
      </c>
      <c r="AQ342" s="68">
        <f ca="1">IF(AC342&gt;=1,G342,0)+SUMIF($H$4:$M$4,"&lt;="&amp;AD342,$H342:$M342)+IF(AD342&gt;=7,N342,0)+O342</f>
        <v>0</v>
      </c>
    </row>
    <row r="343" spans="1:43" x14ac:dyDescent="0.15">
      <c r="A343" s="50"/>
      <c r="B343" s="50"/>
      <c r="C343" s="145">
        <f ca="1">OFFSET(①簡易状況入力!$C$5,MATCH(A340,①簡易状況入力!$C$5:$C$104,0)-1,20)</f>
        <v>0</v>
      </c>
      <c r="D343" s="148" t="s">
        <v>51</v>
      </c>
      <c r="E343" s="56">
        <f t="shared" ref="E343:F343" ca="1" si="1208">E342</f>
        <v>0</v>
      </c>
      <c r="F343" s="56">
        <f t="shared" ca="1" si="1208"/>
        <v>0</v>
      </c>
      <c r="G343" s="104"/>
      <c r="H343" s="104"/>
      <c r="I343" s="104"/>
      <c r="J343" s="104"/>
      <c r="K343" s="104"/>
      <c r="L343" s="104"/>
      <c r="M343" s="104"/>
      <c r="N343" s="104"/>
      <c r="O343" s="106"/>
      <c r="Q343" s="50"/>
      <c r="R343" s="58"/>
      <c r="S343" s="166"/>
      <c r="T343" s="146" t="s">
        <v>34</v>
      </c>
      <c r="U343" s="35">
        <f ca="1">OFFSET(①簡易状況入力!$C$5,MATCH(A340,①簡易状況入力!$C$5:$C$104,0)-1,3)</f>
        <v>0</v>
      </c>
      <c r="V343" s="58"/>
      <c r="W343" s="146" t="s">
        <v>118</v>
      </c>
      <c r="X343" s="37">
        <f ca="1">OFFSET(①簡易状況入力!$C$5,MATCH(A340,①簡易状況入力!$C$5:$C$104,0)-1,7)</f>
        <v>0</v>
      </c>
      <c r="Y343" s="149">
        <f ca="1">OFFSET(①簡易状況入力!$C$5,MATCH(A340,①簡易状況入力!$C$5:$C$104,0)-1,13)</f>
        <v>0</v>
      </c>
      <c r="Z343" s="167">
        <f ca="1">OFFSET(①簡易状況入力!$C$5,MATCH(A340,①簡易状況入力!$C$5:$C$104,0)-1,14)</f>
        <v>0</v>
      </c>
      <c r="AA343" s="168"/>
      <c r="AB343" s="148" t="s">
        <v>51</v>
      </c>
      <c r="AC343" s="56">
        <f t="shared" ref="AC343:AD343" ca="1" si="1209">AC342</f>
        <v>0</v>
      </c>
      <c r="AD343" s="56">
        <f t="shared" ca="1" si="1209"/>
        <v>0</v>
      </c>
      <c r="AE343" s="63">
        <f ca="1">IF($C343="あり",IF(AC343&gt;=1,G343/AQ343,0),IF(AC343&gt;=1,AO343*AC343,0))</f>
        <v>0</v>
      </c>
      <c r="AF343" s="63">
        <f t="shared" ca="1" si="1200"/>
        <v>0</v>
      </c>
      <c r="AG343" s="63">
        <f t="shared" ca="1" si="1201"/>
        <v>0</v>
      </c>
      <c r="AH343" s="63">
        <f t="shared" ca="1" si="1202"/>
        <v>0</v>
      </c>
      <c r="AI343" s="63">
        <f t="shared" ca="1" si="1203"/>
        <v>0</v>
      </c>
      <c r="AJ343" s="63">
        <f t="shared" ca="1" si="1204"/>
        <v>0</v>
      </c>
      <c r="AK343" s="63">
        <f t="shared" ca="1" si="1205"/>
        <v>0</v>
      </c>
      <c r="AL343" s="63">
        <f ca="1">IF($C343="あり",IF($AD343&gt;=7,N343/$AQ343,0),IF($AD343&gt;=7,$AO343*($AD343-6),0))</f>
        <v>0</v>
      </c>
      <c r="AM343" s="65">
        <f ca="1">IF(C343="あり",O343/AQ343,AP343)</f>
        <v>0</v>
      </c>
      <c r="AN343" s="63">
        <f ca="1">SUM(AE343:AM343)</f>
        <v>0</v>
      </c>
      <c r="AO343" s="68" t="e">
        <f ca="1">1/(AC343+AD343)</f>
        <v>#DIV/0!</v>
      </c>
      <c r="AP343" s="67">
        <v>0</v>
      </c>
      <c r="AQ343" s="68">
        <f ca="1">IF(AC343&gt;=1,G343,0)+SUMIF($H$4:$M$4,"&lt;="&amp;AD343,$H343:$M343)+IF(AD343&gt;=7,N343,0)+O343</f>
        <v>0</v>
      </c>
    </row>
    <row r="344" spans="1:43" x14ac:dyDescent="0.15">
      <c r="G344" s="107"/>
      <c r="H344" s="107"/>
      <c r="I344" s="107"/>
      <c r="J344" s="107"/>
      <c r="K344" s="107"/>
      <c r="L344" s="107"/>
      <c r="M344" s="107"/>
      <c r="N344" s="107"/>
      <c r="O344" s="107"/>
    </row>
    <row r="345" spans="1:43" x14ac:dyDescent="0.15">
      <c r="A345" s="59" t="s">
        <v>384</v>
      </c>
      <c r="B345" s="60">
        <f ca="1">OFFSET(①簡易状況入力!$C$5,MATCH(A345,①簡易状況入力!$C$5:$C$104,0)-1,1)</f>
        <v>0</v>
      </c>
      <c r="C345" s="145">
        <f ca="1">OFFSET(①簡易状況入力!$C$5,MATCH(A345,①簡易状況入力!$C$5:$C$104,0)-1,17)</f>
        <v>0</v>
      </c>
      <c r="D345" s="148" t="s">
        <v>47</v>
      </c>
      <c r="E345" s="56">
        <f ca="1">U348</f>
        <v>0</v>
      </c>
      <c r="F345" s="56">
        <f ca="1">U347</f>
        <v>0</v>
      </c>
      <c r="G345" s="102"/>
      <c r="H345" s="103"/>
      <c r="I345" s="103"/>
      <c r="J345" s="103"/>
      <c r="K345" s="103"/>
      <c r="L345" s="103"/>
      <c r="M345" s="103"/>
      <c r="N345" s="103"/>
      <c r="O345" s="103"/>
      <c r="Q345" s="57">
        <f ca="1">OFFSET(①簡易状況入力!$C$5,MATCH(A345,①簡易状況入力!$C$5:$C$104,0)-1,15)</f>
        <v>0</v>
      </c>
      <c r="R345" s="58"/>
      <c r="S345" s="58"/>
      <c r="T345" s="58"/>
      <c r="U345" s="58"/>
      <c r="V345" s="58"/>
      <c r="W345" s="58"/>
      <c r="X345" s="58"/>
      <c r="Y345" s="58"/>
      <c r="Z345" s="58"/>
      <c r="AA345" s="58"/>
      <c r="AB345" s="148" t="s">
        <v>47</v>
      </c>
      <c r="AC345" s="56">
        <f ca="1">U348</f>
        <v>0</v>
      </c>
      <c r="AD345" s="56">
        <f ca="1">U347</f>
        <v>0</v>
      </c>
      <c r="AE345" s="62" t="s">
        <v>46</v>
      </c>
      <c r="AF345" s="62" t="str">
        <f t="shared" ref="AF345" ca="1" si="1210">IF($C345="あり",IF(AF$4&lt;=$AD345,H345,"-"),IF(AF$4&lt;=$AD345,$AO345,"-"))</f>
        <v>-</v>
      </c>
      <c r="AG345" s="62" t="str">
        <f t="shared" ref="AG345" ca="1" si="1211">IF($C345="あり",IF(AG$4&lt;=$AD345,I345,"-"),IF(AG$4&lt;=$AD345,$AO345,"-"))</f>
        <v>-</v>
      </c>
      <c r="AH345" s="62" t="str">
        <f t="shared" ref="AH345" ca="1" si="1212">IF($C345="あり",IF(AH$4&lt;=$AD345,J345,"-"),IF(AH$4&lt;=$AD345,$AO345,"-"))</f>
        <v>-</v>
      </c>
      <c r="AI345" s="62" t="str">
        <f t="shared" ref="AI345" ca="1" si="1213">IF($C345="あり",IF(AI$4&lt;=$AD345,K345,"-"),IF(AI$4&lt;=$AD345,$AO345,"-"))</f>
        <v>-</v>
      </c>
      <c r="AJ345" s="62" t="str">
        <f t="shared" ref="AJ345" ca="1" si="1214">IF($C345="あり",IF(AJ$4&lt;=$AD345,L345,"-"),IF(AJ$4&lt;=$AD345,$AO345,"-"))</f>
        <v>-</v>
      </c>
      <c r="AK345" s="62" t="str">
        <f t="shared" ref="AK345" ca="1" si="1215">IF($C345="あり",IF(AK$4&lt;=$AD345,M345,"-"),IF(AK$4&lt;=$AD345,$AO345,"-"))</f>
        <v>-</v>
      </c>
      <c r="AL345" s="62" t="str">
        <f ca="1">IF($C345="あり",IF(7&lt;=$AD345,N345,"-"),IF(7&lt;=$AD345,$AO345*($AD345-6),"-"))</f>
        <v>-</v>
      </c>
      <c r="AM345" s="62">
        <f ca="1">IF(C345="あり",O345,AP345)</f>
        <v>0</v>
      </c>
      <c r="AN345" s="62">
        <f ca="1">SUM(U346,AF345:AM345)</f>
        <v>0</v>
      </c>
      <c r="AO345" s="42">
        <f ca="1">OFFSET(【DB】被害率係数!$A$4,MATCH(②詳細状況入力!$Y346,【DB】被害率係数!$A$4:$A$19,0)-1,16)</f>
        <v>0</v>
      </c>
      <c r="AP345" s="42">
        <f ca="1">OFFSET(【DB】被害率係数!$A$4,MATCH(②詳細状況入力!$Y346,【DB】被害率係数!$A$4:$A$19,0)-1,17)</f>
        <v>0</v>
      </c>
      <c r="AQ345" s="42"/>
    </row>
    <row r="346" spans="1:43" x14ac:dyDescent="0.15">
      <c r="A346" s="50"/>
      <c r="B346" s="50"/>
      <c r="C346" s="145">
        <f ca="1">OFFSET(①簡易状況入力!$C$5,MATCH(A345,①簡易状況入力!$C$5:$C$104,0)-1,18)</f>
        <v>0</v>
      </c>
      <c r="D346" s="148" t="s">
        <v>52</v>
      </c>
      <c r="E346" s="56">
        <f t="shared" ref="E346:F346" ca="1" si="1216">E345</f>
        <v>0</v>
      </c>
      <c r="F346" s="56">
        <f t="shared" ca="1" si="1216"/>
        <v>0</v>
      </c>
      <c r="G346" s="104"/>
      <c r="H346" s="104"/>
      <c r="I346" s="104"/>
      <c r="J346" s="104"/>
      <c r="K346" s="104"/>
      <c r="L346" s="104"/>
      <c r="M346" s="104"/>
      <c r="N346" s="104"/>
      <c r="O346" s="105"/>
      <c r="Q346" s="57">
        <f ca="1">OFFSET(①簡易状況入力!$C$5,MATCH(A345,①簡易状況入力!$C$5:$C$104,0)-1,16)</f>
        <v>0</v>
      </c>
      <c r="R346" s="58"/>
      <c r="S346" s="146" t="s">
        <v>115</v>
      </c>
      <c r="T346" s="146" t="s">
        <v>116</v>
      </c>
      <c r="U346" s="36">
        <f ca="1">OFFSET(①簡易状況入力!$C$5,MATCH(A345,①簡易状況入力!$C$5:$C$104,0)-1,4)</f>
        <v>0</v>
      </c>
      <c r="V346" s="58"/>
      <c r="W346" s="146" t="s">
        <v>30</v>
      </c>
      <c r="X346" s="37">
        <f ca="1">OFFSET(①簡易状況入力!$C$5,MATCH(A345,①簡易状況入力!$C$5:$C$104,0)-1,5)</f>
        <v>0</v>
      </c>
      <c r="Y346" s="149">
        <f ca="1">OFFSET(①簡易状況入力!$C$5,MATCH(A345,①簡易状況入力!$C$5:$C$104,0)-1,8)</f>
        <v>0</v>
      </c>
      <c r="Z346" s="149">
        <f ca="1">OFFSET(①簡易状況入力!$C$5,MATCH(A345,①簡易状況入力!$C$5:$C$104,0)-1,9)</f>
        <v>0</v>
      </c>
      <c r="AA346" s="149">
        <f ca="1">OFFSET(①簡易状況入力!$C$5,MATCH(A345,①簡易状況入力!$C$5:$C$104,0)-1,10)</f>
        <v>0</v>
      </c>
      <c r="AB346" s="148" t="s">
        <v>52</v>
      </c>
      <c r="AC346" s="56">
        <f t="shared" ref="AC346:AD346" ca="1" si="1217">AC345</f>
        <v>0</v>
      </c>
      <c r="AD346" s="56">
        <f t="shared" ca="1" si="1217"/>
        <v>0</v>
      </c>
      <c r="AE346" s="63">
        <f ca="1">IF($C346="あり",IF(AC346&gt;=1,G346/AQ346,0),IF(AC346&gt;=1,AO346*AC346,0))</f>
        <v>0</v>
      </c>
      <c r="AF346" s="63">
        <f t="shared" ref="AF346:AF348" ca="1" si="1218">IF($C346="あり",IF($AD346&gt;=AF$4,H346/$AQ346,0),IF($AD346&gt;=AF$4,$AO346,0))</f>
        <v>0</v>
      </c>
      <c r="AG346" s="63">
        <f t="shared" ref="AG346:AG348" ca="1" si="1219">IF($C346="あり",IF($AD346&gt;=AG$4,I346/$AQ346,0),IF($AD346&gt;=AG$4,$AO346,0))</f>
        <v>0</v>
      </c>
      <c r="AH346" s="63">
        <f t="shared" ref="AH346:AH348" ca="1" si="1220">IF($C346="あり",IF($AD346&gt;=AH$4,J346/$AQ346,0),IF($AD346&gt;=AH$4,$AO346,0))</f>
        <v>0</v>
      </c>
      <c r="AI346" s="63">
        <f t="shared" ref="AI346:AI348" ca="1" si="1221">IF($C346="あり",IF($AD346&gt;=AI$4,K346/$AQ346,0),IF($AD346&gt;=AI$4,$AO346,0))</f>
        <v>0</v>
      </c>
      <c r="AJ346" s="63">
        <f t="shared" ref="AJ346:AJ348" ca="1" si="1222">IF($C346="あり",IF($AD346&gt;=AJ$4,L346/$AQ346,0),IF($AD346&gt;=AJ$4,$AO346,0))</f>
        <v>0</v>
      </c>
      <c r="AK346" s="63">
        <f t="shared" ref="AK346:AK348" ca="1" si="1223">IF($C346="あり",IF($AD346&gt;=AK$4,M346/$AQ346,0),IF($AD346&gt;=AK$4,$AO346,0))</f>
        <v>0</v>
      </c>
      <c r="AL346" s="63">
        <f ca="1">IF($C346="あり",IF($AD346&gt;=7,N346/$AQ346,0),IF($AD346&gt;=7,$AO346*($AD346-6),0))</f>
        <v>0</v>
      </c>
      <c r="AM346" s="64" t="s">
        <v>46</v>
      </c>
      <c r="AN346" s="63">
        <f ca="1">SUM(AE346:AM346)</f>
        <v>0</v>
      </c>
      <c r="AO346" s="68" t="e">
        <f ca="1">1/(AC346+AD346)</f>
        <v>#DIV/0!</v>
      </c>
      <c r="AP346" s="67">
        <v>0</v>
      </c>
      <c r="AQ346" s="68">
        <f ca="1">IF(AC346&gt;=1,G346,0)+SUMIF($H$4:$M$4,"&lt;="&amp;AD346,$H346:$M346)+IF(AD346&gt;=7,N346,0)</f>
        <v>0</v>
      </c>
    </row>
    <row r="347" spans="1:43" x14ac:dyDescent="0.15">
      <c r="A347" s="50"/>
      <c r="B347" s="50"/>
      <c r="C347" s="145">
        <f ca="1">OFFSET(①簡易状況入力!$C$5,MATCH(A345,①簡易状況入力!$C$5:$C$104,0)-1,19)</f>
        <v>0</v>
      </c>
      <c r="D347" s="148" t="s">
        <v>50</v>
      </c>
      <c r="E347" s="56">
        <f t="shared" ref="E347" ca="1" si="1224">E346</f>
        <v>0</v>
      </c>
      <c r="F347" s="56">
        <f ca="1">F346</f>
        <v>0</v>
      </c>
      <c r="G347" s="104"/>
      <c r="H347" s="104"/>
      <c r="I347" s="104"/>
      <c r="J347" s="104"/>
      <c r="K347" s="104"/>
      <c r="L347" s="104"/>
      <c r="M347" s="104"/>
      <c r="N347" s="104"/>
      <c r="O347" s="106"/>
      <c r="Q347" s="50"/>
      <c r="R347" s="58"/>
      <c r="S347" s="165" t="s">
        <v>28</v>
      </c>
      <c r="T347" s="146" t="s">
        <v>35</v>
      </c>
      <c r="U347" s="35">
        <f ca="1">OFFSET(①簡易状況入力!$C$5,MATCH(A345,①簡易状況入力!$C$5:$C$104,0)-1,2)</f>
        <v>0</v>
      </c>
      <c r="V347" s="58"/>
      <c r="W347" s="146" t="s">
        <v>33</v>
      </c>
      <c r="X347" s="37">
        <f ca="1">OFFSET(①簡易状況入力!$C$5,MATCH(A345,①簡易状況入力!$C$5:$C$104,0)-1,6)</f>
        <v>0</v>
      </c>
      <c r="Y347" s="149">
        <f ca="1">OFFSET(①簡易状況入力!$C$5,MATCH(A345,①簡易状況入力!$C$5:$C$104,0)-1,11)</f>
        <v>0</v>
      </c>
      <c r="Z347" s="167">
        <f ca="1">OFFSET(①簡易状況入力!$C$5,MATCH(A345,①簡易状況入力!$C$5:$C$104,0)-1,12)</f>
        <v>0</v>
      </c>
      <c r="AA347" s="168"/>
      <c r="AB347" s="148" t="s">
        <v>50</v>
      </c>
      <c r="AC347" s="56">
        <f t="shared" ref="AC347:AD347" ca="1" si="1225">AC346</f>
        <v>0</v>
      </c>
      <c r="AD347" s="56">
        <f t="shared" ca="1" si="1225"/>
        <v>0</v>
      </c>
      <c r="AE347" s="63">
        <f ca="1">IF($C347="あり",IF(AC347&gt;=1,G347/AQ347,0),IF(AC347&gt;=1,AO347*AC347,0))</f>
        <v>0</v>
      </c>
      <c r="AF347" s="63">
        <f t="shared" ca="1" si="1218"/>
        <v>0</v>
      </c>
      <c r="AG347" s="63">
        <f t="shared" ca="1" si="1219"/>
        <v>0</v>
      </c>
      <c r="AH347" s="63">
        <f t="shared" ca="1" si="1220"/>
        <v>0</v>
      </c>
      <c r="AI347" s="63">
        <f t="shared" ca="1" si="1221"/>
        <v>0</v>
      </c>
      <c r="AJ347" s="63">
        <f t="shared" ca="1" si="1222"/>
        <v>0</v>
      </c>
      <c r="AK347" s="63">
        <f t="shared" ca="1" si="1223"/>
        <v>0</v>
      </c>
      <c r="AL347" s="63">
        <f ca="1">IF($C347="あり",IF($AD347&gt;=7,N347/$AQ347,0),IF($AD347&gt;=7,$AO347*($AD347-6),0))</f>
        <v>0</v>
      </c>
      <c r="AM347" s="65">
        <f ca="1">IF(C347="あり",O347/AQ347,AP347)</f>
        <v>0</v>
      </c>
      <c r="AN347" s="63">
        <f ca="1">SUM(AE347:AM347)</f>
        <v>0</v>
      </c>
      <c r="AO347" s="68" t="e">
        <f ca="1">1/(AC347+AD347)</f>
        <v>#DIV/0!</v>
      </c>
      <c r="AP347" s="67">
        <v>0</v>
      </c>
      <c r="AQ347" s="68">
        <f ca="1">IF(AC347&gt;=1,G347,0)+SUMIF($H$4:$M$4,"&lt;="&amp;AD347,$H347:$M347)+IF(AD347&gt;=7,N347,0)+O347</f>
        <v>0</v>
      </c>
    </row>
    <row r="348" spans="1:43" x14ac:dyDescent="0.15">
      <c r="A348" s="50"/>
      <c r="B348" s="50"/>
      <c r="C348" s="145">
        <f ca="1">OFFSET(①簡易状況入力!$C$5,MATCH(A345,①簡易状況入力!$C$5:$C$104,0)-1,20)</f>
        <v>0</v>
      </c>
      <c r="D348" s="148" t="s">
        <v>51</v>
      </c>
      <c r="E348" s="56">
        <f t="shared" ref="E348:F348" ca="1" si="1226">E347</f>
        <v>0</v>
      </c>
      <c r="F348" s="56">
        <f t="shared" ca="1" si="1226"/>
        <v>0</v>
      </c>
      <c r="G348" s="104"/>
      <c r="H348" s="104"/>
      <c r="I348" s="104"/>
      <c r="J348" s="104"/>
      <c r="K348" s="104"/>
      <c r="L348" s="104"/>
      <c r="M348" s="104"/>
      <c r="N348" s="104"/>
      <c r="O348" s="106"/>
      <c r="Q348" s="50"/>
      <c r="R348" s="58"/>
      <c r="S348" s="166"/>
      <c r="T348" s="146" t="s">
        <v>34</v>
      </c>
      <c r="U348" s="35">
        <f ca="1">OFFSET(①簡易状況入力!$C$5,MATCH(A345,①簡易状況入力!$C$5:$C$104,0)-1,3)</f>
        <v>0</v>
      </c>
      <c r="V348" s="58"/>
      <c r="W348" s="146" t="s">
        <v>118</v>
      </c>
      <c r="X348" s="37">
        <f ca="1">OFFSET(①簡易状況入力!$C$5,MATCH(A345,①簡易状況入力!$C$5:$C$104,0)-1,7)</f>
        <v>0</v>
      </c>
      <c r="Y348" s="149">
        <f ca="1">OFFSET(①簡易状況入力!$C$5,MATCH(A345,①簡易状況入力!$C$5:$C$104,0)-1,13)</f>
        <v>0</v>
      </c>
      <c r="Z348" s="167">
        <f ca="1">OFFSET(①簡易状況入力!$C$5,MATCH(A345,①簡易状況入力!$C$5:$C$104,0)-1,14)</f>
        <v>0</v>
      </c>
      <c r="AA348" s="168"/>
      <c r="AB348" s="148" t="s">
        <v>51</v>
      </c>
      <c r="AC348" s="56">
        <f t="shared" ref="AC348:AD348" ca="1" si="1227">AC347</f>
        <v>0</v>
      </c>
      <c r="AD348" s="56">
        <f t="shared" ca="1" si="1227"/>
        <v>0</v>
      </c>
      <c r="AE348" s="63">
        <f ca="1">IF($C348="あり",IF(AC348&gt;=1,G348/AQ348,0),IF(AC348&gt;=1,AO348*AC348,0))</f>
        <v>0</v>
      </c>
      <c r="AF348" s="63">
        <f t="shared" ca="1" si="1218"/>
        <v>0</v>
      </c>
      <c r="AG348" s="63">
        <f t="shared" ca="1" si="1219"/>
        <v>0</v>
      </c>
      <c r="AH348" s="63">
        <f t="shared" ca="1" si="1220"/>
        <v>0</v>
      </c>
      <c r="AI348" s="63">
        <f t="shared" ca="1" si="1221"/>
        <v>0</v>
      </c>
      <c r="AJ348" s="63">
        <f t="shared" ca="1" si="1222"/>
        <v>0</v>
      </c>
      <c r="AK348" s="63">
        <f t="shared" ca="1" si="1223"/>
        <v>0</v>
      </c>
      <c r="AL348" s="63">
        <f ca="1">IF($C348="あり",IF($AD348&gt;=7,N348/$AQ348,0),IF($AD348&gt;=7,$AO348*($AD348-6),0))</f>
        <v>0</v>
      </c>
      <c r="AM348" s="65">
        <f ca="1">IF(C348="あり",O348/AQ348,AP348)</f>
        <v>0</v>
      </c>
      <c r="AN348" s="63">
        <f ca="1">SUM(AE348:AM348)</f>
        <v>0</v>
      </c>
      <c r="AO348" s="68" t="e">
        <f ca="1">1/(AC348+AD348)</f>
        <v>#DIV/0!</v>
      </c>
      <c r="AP348" s="67">
        <v>0</v>
      </c>
      <c r="AQ348" s="68">
        <f ca="1">IF(AC348&gt;=1,G348,0)+SUMIF($H$4:$M$4,"&lt;="&amp;AD348,$H348:$M348)+IF(AD348&gt;=7,N348,0)+O348</f>
        <v>0</v>
      </c>
    </row>
    <row r="349" spans="1:43" x14ac:dyDescent="0.15">
      <c r="G349" s="107"/>
      <c r="H349" s="107"/>
      <c r="I349" s="107"/>
      <c r="J349" s="107"/>
      <c r="K349" s="107"/>
      <c r="L349" s="107"/>
      <c r="M349" s="107"/>
      <c r="N349" s="107"/>
      <c r="O349" s="107"/>
    </row>
    <row r="350" spans="1:43" x14ac:dyDescent="0.15">
      <c r="A350" s="59" t="s">
        <v>385</v>
      </c>
      <c r="B350" s="60">
        <f ca="1">OFFSET(①簡易状況入力!$C$5,MATCH(A350,①簡易状況入力!$C$5:$C$104,0)-1,1)</f>
        <v>0</v>
      </c>
      <c r="C350" s="145">
        <f ca="1">OFFSET(①簡易状況入力!$C$5,MATCH(A350,①簡易状況入力!$C$5:$C$104,0)-1,17)</f>
        <v>0</v>
      </c>
      <c r="D350" s="148" t="s">
        <v>47</v>
      </c>
      <c r="E350" s="56">
        <f ca="1">U353</f>
        <v>0</v>
      </c>
      <c r="F350" s="56">
        <f ca="1">U352</f>
        <v>0</v>
      </c>
      <c r="G350" s="102"/>
      <c r="H350" s="103"/>
      <c r="I350" s="103"/>
      <c r="J350" s="103"/>
      <c r="K350" s="103"/>
      <c r="L350" s="103"/>
      <c r="M350" s="103"/>
      <c r="N350" s="103"/>
      <c r="O350" s="103"/>
      <c r="Q350" s="57">
        <f ca="1">OFFSET(①簡易状況入力!$C$5,MATCH(A350,①簡易状況入力!$C$5:$C$104,0)-1,15)</f>
        <v>0</v>
      </c>
      <c r="R350" s="58"/>
      <c r="S350" s="58"/>
      <c r="T350" s="58"/>
      <c r="U350" s="58"/>
      <c r="V350" s="58"/>
      <c r="W350" s="58"/>
      <c r="X350" s="58"/>
      <c r="Y350" s="58"/>
      <c r="Z350" s="58"/>
      <c r="AA350" s="58"/>
      <c r="AB350" s="148" t="s">
        <v>47</v>
      </c>
      <c r="AC350" s="56">
        <f ca="1">U353</f>
        <v>0</v>
      </c>
      <c r="AD350" s="56">
        <f ca="1">U352</f>
        <v>0</v>
      </c>
      <c r="AE350" s="62" t="s">
        <v>46</v>
      </c>
      <c r="AF350" s="62" t="str">
        <f t="shared" ref="AF350" ca="1" si="1228">IF($C350="あり",IF(AF$4&lt;=$AD350,H350,"-"),IF(AF$4&lt;=$AD350,$AO350,"-"))</f>
        <v>-</v>
      </c>
      <c r="AG350" s="62" t="str">
        <f t="shared" ref="AG350" ca="1" si="1229">IF($C350="あり",IF(AG$4&lt;=$AD350,I350,"-"),IF(AG$4&lt;=$AD350,$AO350,"-"))</f>
        <v>-</v>
      </c>
      <c r="AH350" s="62" t="str">
        <f t="shared" ref="AH350" ca="1" si="1230">IF($C350="あり",IF(AH$4&lt;=$AD350,J350,"-"),IF(AH$4&lt;=$AD350,$AO350,"-"))</f>
        <v>-</v>
      </c>
      <c r="AI350" s="62" t="str">
        <f t="shared" ref="AI350" ca="1" si="1231">IF($C350="あり",IF(AI$4&lt;=$AD350,K350,"-"),IF(AI$4&lt;=$AD350,$AO350,"-"))</f>
        <v>-</v>
      </c>
      <c r="AJ350" s="62" t="str">
        <f t="shared" ref="AJ350" ca="1" si="1232">IF($C350="あり",IF(AJ$4&lt;=$AD350,L350,"-"),IF(AJ$4&lt;=$AD350,$AO350,"-"))</f>
        <v>-</v>
      </c>
      <c r="AK350" s="62" t="str">
        <f t="shared" ref="AK350" ca="1" si="1233">IF($C350="あり",IF(AK$4&lt;=$AD350,M350,"-"),IF(AK$4&lt;=$AD350,$AO350,"-"))</f>
        <v>-</v>
      </c>
      <c r="AL350" s="62" t="str">
        <f ca="1">IF($C350="あり",IF(7&lt;=$AD350,N350,"-"),IF(7&lt;=$AD350,$AO350*($AD350-6),"-"))</f>
        <v>-</v>
      </c>
      <c r="AM350" s="62">
        <f ca="1">IF(C350="あり",O350,AP350)</f>
        <v>0</v>
      </c>
      <c r="AN350" s="62">
        <f ca="1">SUM(U351,AF350:AM350)</f>
        <v>0</v>
      </c>
      <c r="AO350" s="42">
        <f ca="1">OFFSET(【DB】被害率係数!$A$4,MATCH(②詳細状況入力!$Y351,【DB】被害率係数!$A$4:$A$19,0)-1,16)</f>
        <v>0</v>
      </c>
      <c r="AP350" s="42">
        <f ca="1">OFFSET(【DB】被害率係数!$A$4,MATCH(②詳細状況入力!$Y351,【DB】被害率係数!$A$4:$A$19,0)-1,17)</f>
        <v>0</v>
      </c>
      <c r="AQ350" s="42"/>
    </row>
    <row r="351" spans="1:43" x14ac:dyDescent="0.15">
      <c r="A351" s="50"/>
      <c r="B351" s="50"/>
      <c r="C351" s="145">
        <f ca="1">OFFSET(①簡易状況入力!$C$5,MATCH(A350,①簡易状況入力!$C$5:$C$104,0)-1,18)</f>
        <v>0</v>
      </c>
      <c r="D351" s="148" t="s">
        <v>52</v>
      </c>
      <c r="E351" s="56">
        <f t="shared" ref="E351:F351" ca="1" si="1234">E350</f>
        <v>0</v>
      </c>
      <c r="F351" s="56">
        <f t="shared" ca="1" si="1234"/>
        <v>0</v>
      </c>
      <c r="G351" s="104"/>
      <c r="H351" s="104"/>
      <c r="I351" s="104"/>
      <c r="J351" s="104"/>
      <c r="K351" s="104"/>
      <c r="L351" s="104"/>
      <c r="M351" s="104"/>
      <c r="N351" s="104"/>
      <c r="O351" s="105"/>
      <c r="Q351" s="57">
        <f ca="1">OFFSET(①簡易状況入力!$C$5,MATCH(A350,①簡易状況入力!$C$5:$C$104,0)-1,16)</f>
        <v>0</v>
      </c>
      <c r="R351" s="58"/>
      <c r="S351" s="146" t="s">
        <v>115</v>
      </c>
      <c r="T351" s="146" t="s">
        <v>116</v>
      </c>
      <c r="U351" s="36">
        <f ca="1">OFFSET(①簡易状況入力!$C$5,MATCH(A350,①簡易状況入力!$C$5:$C$104,0)-1,4)</f>
        <v>0</v>
      </c>
      <c r="V351" s="58"/>
      <c r="W351" s="146" t="s">
        <v>30</v>
      </c>
      <c r="X351" s="37">
        <f ca="1">OFFSET(①簡易状況入力!$C$5,MATCH(A350,①簡易状況入力!$C$5:$C$104,0)-1,5)</f>
        <v>0</v>
      </c>
      <c r="Y351" s="149">
        <f ca="1">OFFSET(①簡易状況入力!$C$5,MATCH(A350,①簡易状況入力!$C$5:$C$104,0)-1,8)</f>
        <v>0</v>
      </c>
      <c r="Z351" s="149">
        <f ca="1">OFFSET(①簡易状況入力!$C$5,MATCH(A350,①簡易状況入力!$C$5:$C$104,0)-1,9)</f>
        <v>0</v>
      </c>
      <c r="AA351" s="149">
        <f ca="1">OFFSET(①簡易状況入力!$C$5,MATCH(A350,①簡易状況入力!$C$5:$C$104,0)-1,10)</f>
        <v>0</v>
      </c>
      <c r="AB351" s="148" t="s">
        <v>52</v>
      </c>
      <c r="AC351" s="56">
        <f t="shared" ref="AC351:AD351" ca="1" si="1235">AC350</f>
        <v>0</v>
      </c>
      <c r="AD351" s="56">
        <f t="shared" ca="1" si="1235"/>
        <v>0</v>
      </c>
      <c r="AE351" s="63">
        <f ca="1">IF($C351="あり",IF(AC351&gt;=1,G351/AQ351,0),IF(AC351&gt;=1,AO351*AC351,0))</f>
        <v>0</v>
      </c>
      <c r="AF351" s="63">
        <f t="shared" ref="AF351:AF353" ca="1" si="1236">IF($C351="あり",IF($AD351&gt;=AF$4,H351/$AQ351,0),IF($AD351&gt;=AF$4,$AO351,0))</f>
        <v>0</v>
      </c>
      <c r="AG351" s="63">
        <f t="shared" ref="AG351:AG353" ca="1" si="1237">IF($C351="あり",IF($AD351&gt;=AG$4,I351/$AQ351,0),IF($AD351&gt;=AG$4,$AO351,0))</f>
        <v>0</v>
      </c>
      <c r="AH351" s="63">
        <f t="shared" ref="AH351:AH353" ca="1" si="1238">IF($C351="あり",IF($AD351&gt;=AH$4,J351/$AQ351,0),IF($AD351&gt;=AH$4,$AO351,0))</f>
        <v>0</v>
      </c>
      <c r="AI351" s="63">
        <f t="shared" ref="AI351:AI353" ca="1" si="1239">IF($C351="あり",IF($AD351&gt;=AI$4,K351/$AQ351,0),IF($AD351&gt;=AI$4,$AO351,0))</f>
        <v>0</v>
      </c>
      <c r="AJ351" s="63">
        <f t="shared" ref="AJ351:AJ353" ca="1" si="1240">IF($C351="あり",IF($AD351&gt;=AJ$4,L351/$AQ351,0),IF($AD351&gt;=AJ$4,$AO351,0))</f>
        <v>0</v>
      </c>
      <c r="AK351" s="63">
        <f t="shared" ref="AK351:AK353" ca="1" si="1241">IF($C351="あり",IF($AD351&gt;=AK$4,M351/$AQ351,0),IF($AD351&gt;=AK$4,$AO351,0))</f>
        <v>0</v>
      </c>
      <c r="AL351" s="63">
        <f ca="1">IF($C351="あり",IF($AD351&gt;=7,N351/$AQ351,0),IF($AD351&gt;=7,$AO351*($AD351-6),0))</f>
        <v>0</v>
      </c>
      <c r="AM351" s="64" t="s">
        <v>46</v>
      </c>
      <c r="AN351" s="63">
        <f ca="1">SUM(AE351:AM351)</f>
        <v>0</v>
      </c>
      <c r="AO351" s="68" t="e">
        <f ca="1">1/(AC351+AD351)</f>
        <v>#DIV/0!</v>
      </c>
      <c r="AP351" s="67">
        <v>0</v>
      </c>
      <c r="AQ351" s="68">
        <f ca="1">IF(AC351&gt;=1,G351,0)+SUMIF($H$4:$M$4,"&lt;="&amp;AD351,$H351:$M351)+IF(AD351&gt;=7,N351,0)</f>
        <v>0</v>
      </c>
    </row>
    <row r="352" spans="1:43" x14ac:dyDescent="0.15">
      <c r="A352" s="50"/>
      <c r="B352" s="50"/>
      <c r="C352" s="145">
        <f ca="1">OFFSET(①簡易状況入力!$C$5,MATCH(A350,①簡易状況入力!$C$5:$C$104,0)-1,19)</f>
        <v>0</v>
      </c>
      <c r="D352" s="148" t="s">
        <v>50</v>
      </c>
      <c r="E352" s="56">
        <f t="shared" ref="E352" ca="1" si="1242">E351</f>
        <v>0</v>
      </c>
      <c r="F352" s="56">
        <f ca="1">F351</f>
        <v>0</v>
      </c>
      <c r="G352" s="104"/>
      <c r="H352" s="104"/>
      <c r="I352" s="104"/>
      <c r="J352" s="104"/>
      <c r="K352" s="104"/>
      <c r="L352" s="104"/>
      <c r="M352" s="104"/>
      <c r="N352" s="104"/>
      <c r="O352" s="106"/>
      <c r="Q352" s="50"/>
      <c r="R352" s="58"/>
      <c r="S352" s="165" t="s">
        <v>28</v>
      </c>
      <c r="T352" s="146" t="s">
        <v>35</v>
      </c>
      <c r="U352" s="35">
        <f ca="1">OFFSET(①簡易状況入力!$C$5,MATCH(A350,①簡易状況入力!$C$5:$C$104,0)-1,2)</f>
        <v>0</v>
      </c>
      <c r="V352" s="58"/>
      <c r="W352" s="146" t="s">
        <v>33</v>
      </c>
      <c r="X352" s="37">
        <f ca="1">OFFSET(①簡易状況入力!$C$5,MATCH(A350,①簡易状況入力!$C$5:$C$104,0)-1,6)</f>
        <v>0</v>
      </c>
      <c r="Y352" s="149">
        <f ca="1">OFFSET(①簡易状況入力!$C$5,MATCH(A350,①簡易状況入力!$C$5:$C$104,0)-1,11)</f>
        <v>0</v>
      </c>
      <c r="Z352" s="167">
        <f ca="1">OFFSET(①簡易状況入力!$C$5,MATCH(A350,①簡易状況入力!$C$5:$C$104,0)-1,12)</f>
        <v>0</v>
      </c>
      <c r="AA352" s="168"/>
      <c r="AB352" s="148" t="s">
        <v>50</v>
      </c>
      <c r="AC352" s="56">
        <f t="shared" ref="AC352:AD352" ca="1" si="1243">AC351</f>
        <v>0</v>
      </c>
      <c r="AD352" s="56">
        <f t="shared" ca="1" si="1243"/>
        <v>0</v>
      </c>
      <c r="AE352" s="63">
        <f ca="1">IF($C352="あり",IF(AC352&gt;=1,G352/AQ352,0),IF(AC352&gt;=1,AO352*AC352,0))</f>
        <v>0</v>
      </c>
      <c r="AF352" s="63">
        <f t="shared" ca="1" si="1236"/>
        <v>0</v>
      </c>
      <c r="AG352" s="63">
        <f t="shared" ca="1" si="1237"/>
        <v>0</v>
      </c>
      <c r="AH352" s="63">
        <f t="shared" ca="1" si="1238"/>
        <v>0</v>
      </c>
      <c r="AI352" s="63">
        <f t="shared" ca="1" si="1239"/>
        <v>0</v>
      </c>
      <c r="AJ352" s="63">
        <f t="shared" ca="1" si="1240"/>
        <v>0</v>
      </c>
      <c r="AK352" s="63">
        <f t="shared" ca="1" si="1241"/>
        <v>0</v>
      </c>
      <c r="AL352" s="63">
        <f ca="1">IF($C352="あり",IF($AD352&gt;=7,N352/$AQ352,0),IF($AD352&gt;=7,$AO352*($AD352-6),0))</f>
        <v>0</v>
      </c>
      <c r="AM352" s="65">
        <f ca="1">IF(C352="あり",O352/AQ352,AP352)</f>
        <v>0</v>
      </c>
      <c r="AN352" s="63">
        <f ca="1">SUM(AE352:AM352)</f>
        <v>0</v>
      </c>
      <c r="AO352" s="68" t="e">
        <f ca="1">1/(AC352+AD352)</f>
        <v>#DIV/0!</v>
      </c>
      <c r="AP352" s="67">
        <v>0</v>
      </c>
      <c r="AQ352" s="68">
        <f ca="1">IF(AC352&gt;=1,G352,0)+SUMIF($H$4:$M$4,"&lt;="&amp;AD352,$H352:$M352)+IF(AD352&gt;=7,N352,0)+O352</f>
        <v>0</v>
      </c>
    </row>
    <row r="353" spans="1:43" x14ac:dyDescent="0.15">
      <c r="A353" s="50"/>
      <c r="B353" s="50"/>
      <c r="C353" s="145">
        <f ca="1">OFFSET(①簡易状況入力!$C$5,MATCH(A350,①簡易状況入力!$C$5:$C$104,0)-1,20)</f>
        <v>0</v>
      </c>
      <c r="D353" s="148" t="s">
        <v>51</v>
      </c>
      <c r="E353" s="56">
        <f t="shared" ref="E353:F353" ca="1" si="1244">E352</f>
        <v>0</v>
      </c>
      <c r="F353" s="56">
        <f t="shared" ca="1" si="1244"/>
        <v>0</v>
      </c>
      <c r="G353" s="104"/>
      <c r="H353" s="104"/>
      <c r="I353" s="104"/>
      <c r="J353" s="104"/>
      <c r="K353" s="104"/>
      <c r="L353" s="104"/>
      <c r="M353" s="104"/>
      <c r="N353" s="104"/>
      <c r="O353" s="106"/>
      <c r="Q353" s="50"/>
      <c r="R353" s="58"/>
      <c r="S353" s="166"/>
      <c r="T353" s="146" t="s">
        <v>34</v>
      </c>
      <c r="U353" s="35">
        <f ca="1">OFFSET(①簡易状況入力!$C$5,MATCH(A350,①簡易状況入力!$C$5:$C$104,0)-1,3)</f>
        <v>0</v>
      </c>
      <c r="V353" s="58"/>
      <c r="W353" s="146" t="s">
        <v>118</v>
      </c>
      <c r="X353" s="37">
        <f ca="1">OFFSET(①簡易状況入力!$C$5,MATCH(A350,①簡易状況入力!$C$5:$C$104,0)-1,7)</f>
        <v>0</v>
      </c>
      <c r="Y353" s="149">
        <f ca="1">OFFSET(①簡易状況入力!$C$5,MATCH(A350,①簡易状況入力!$C$5:$C$104,0)-1,13)</f>
        <v>0</v>
      </c>
      <c r="Z353" s="167">
        <f ca="1">OFFSET(①簡易状況入力!$C$5,MATCH(A350,①簡易状況入力!$C$5:$C$104,0)-1,14)</f>
        <v>0</v>
      </c>
      <c r="AA353" s="168"/>
      <c r="AB353" s="148" t="s">
        <v>51</v>
      </c>
      <c r="AC353" s="56">
        <f t="shared" ref="AC353:AD353" ca="1" si="1245">AC352</f>
        <v>0</v>
      </c>
      <c r="AD353" s="56">
        <f t="shared" ca="1" si="1245"/>
        <v>0</v>
      </c>
      <c r="AE353" s="63">
        <f ca="1">IF($C353="あり",IF(AC353&gt;=1,G353/AQ353,0),IF(AC353&gt;=1,AO353*AC353,0))</f>
        <v>0</v>
      </c>
      <c r="AF353" s="63">
        <f t="shared" ca="1" si="1236"/>
        <v>0</v>
      </c>
      <c r="AG353" s="63">
        <f t="shared" ca="1" si="1237"/>
        <v>0</v>
      </c>
      <c r="AH353" s="63">
        <f t="shared" ca="1" si="1238"/>
        <v>0</v>
      </c>
      <c r="AI353" s="63">
        <f t="shared" ca="1" si="1239"/>
        <v>0</v>
      </c>
      <c r="AJ353" s="63">
        <f t="shared" ca="1" si="1240"/>
        <v>0</v>
      </c>
      <c r="AK353" s="63">
        <f t="shared" ca="1" si="1241"/>
        <v>0</v>
      </c>
      <c r="AL353" s="63">
        <f ca="1">IF($C353="あり",IF($AD353&gt;=7,N353/$AQ353,0),IF($AD353&gt;=7,$AO353*($AD353-6),0))</f>
        <v>0</v>
      </c>
      <c r="AM353" s="65">
        <f ca="1">IF(C353="あり",O353/AQ353,AP353)</f>
        <v>0</v>
      </c>
      <c r="AN353" s="63">
        <f ca="1">SUM(AE353:AM353)</f>
        <v>0</v>
      </c>
      <c r="AO353" s="68" t="e">
        <f ca="1">1/(AC353+AD353)</f>
        <v>#DIV/0!</v>
      </c>
      <c r="AP353" s="67">
        <v>0</v>
      </c>
      <c r="AQ353" s="68">
        <f ca="1">IF(AC353&gt;=1,G353,0)+SUMIF($H$4:$M$4,"&lt;="&amp;AD353,$H353:$M353)+IF(AD353&gt;=7,N353,0)+O353</f>
        <v>0</v>
      </c>
    </row>
    <row r="354" spans="1:43" x14ac:dyDescent="0.15">
      <c r="G354" s="107"/>
      <c r="H354" s="107"/>
      <c r="I354" s="107"/>
      <c r="J354" s="107"/>
      <c r="K354" s="107"/>
      <c r="L354" s="107"/>
      <c r="M354" s="107"/>
      <c r="N354" s="107"/>
      <c r="O354" s="107"/>
    </row>
    <row r="355" spans="1:43" x14ac:dyDescent="0.15">
      <c r="A355" s="59" t="s">
        <v>386</v>
      </c>
      <c r="B355" s="60">
        <f ca="1">OFFSET(①簡易状況入力!$C$5,MATCH(A355,①簡易状況入力!$C$5:$C$104,0)-1,1)</f>
        <v>0</v>
      </c>
      <c r="C355" s="145">
        <f ca="1">OFFSET(①簡易状況入力!$C$5,MATCH(A355,①簡易状況入力!$C$5:$C$104,0)-1,17)</f>
        <v>0</v>
      </c>
      <c r="D355" s="148" t="s">
        <v>47</v>
      </c>
      <c r="E355" s="56">
        <f ca="1">U358</f>
        <v>0</v>
      </c>
      <c r="F355" s="56">
        <f ca="1">U357</f>
        <v>0</v>
      </c>
      <c r="G355" s="102"/>
      <c r="H355" s="103"/>
      <c r="I355" s="103"/>
      <c r="J355" s="103"/>
      <c r="K355" s="103"/>
      <c r="L355" s="103"/>
      <c r="M355" s="103"/>
      <c r="N355" s="103"/>
      <c r="O355" s="103"/>
      <c r="Q355" s="57">
        <f ca="1">OFFSET(①簡易状況入力!$C$5,MATCH(A355,①簡易状況入力!$C$5:$C$104,0)-1,15)</f>
        <v>0</v>
      </c>
      <c r="R355" s="58"/>
      <c r="S355" s="58"/>
      <c r="T355" s="58"/>
      <c r="U355" s="58"/>
      <c r="V355" s="58"/>
      <c r="W355" s="58"/>
      <c r="X355" s="58"/>
      <c r="Y355" s="58"/>
      <c r="Z355" s="58"/>
      <c r="AA355" s="58"/>
      <c r="AB355" s="148" t="s">
        <v>47</v>
      </c>
      <c r="AC355" s="56">
        <f ca="1">U358</f>
        <v>0</v>
      </c>
      <c r="AD355" s="56">
        <f ca="1">U357</f>
        <v>0</v>
      </c>
      <c r="AE355" s="62" t="s">
        <v>46</v>
      </c>
      <c r="AF355" s="62" t="str">
        <f t="shared" ref="AF355" ca="1" si="1246">IF($C355="あり",IF(AF$4&lt;=$AD355,H355,"-"),IF(AF$4&lt;=$AD355,$AO355,"-"))</f>
        <v>-</v>
      </c>
      <c r="AG355" s="62" t="str">
        <f t="shared" ref="AG355" ca="1" si="1247">IF($C355="あり",IF(AG$4&lt;=$AD355,I355,"-"),IF(AG$4&lt;=$AD355,$AO355,"-"))</f>
        <v>-</v>
      </c>
      <c r="AH355" s="62" t="str">
        <f t="shared" ref="AH355" ca="1" si="1248">IF($C355="あり",IF(AH$4&lt;=$AD355,J355,"-"),IF(AH$4&lt;=$AD355,$AO355,"-"))</f>
        <v>-</v>
      </c>
      <c r="AI355" s="62" t="str">
        <f t="shared" ref="AI355" ca="1" si="1249">IF($C355="あり",IF(AI$4&lt;=$AD355,K355,"-"),IF(AI$4&lt;=$AD355,$AO355,"-"))</f>
        <v>-</v>
      </c>
      <c r="AJ355" s="62" t="str">
        <f t="shared" ref="AJ355" ca="1" si="1250">IF($C355="あり",IF(AJ$4&lt;=$AD355,L355,"-"),IF(AJ$4&lt;=$AD355,$AO355,"-"))</f>
        <v>-</v>
      </c>
      <c r="AK355" s="62" t="str">
        <f t="shared" ref="AK355" ca="1" si="1251">IF($C355="あり",IF(AK$4&lt;=$AD355,M355,"-"),IF(AK$4&lt;=$AD355,$AO355,"-"))</f>
        <v>-</v>
      </c>
      <c r="AL355" s="62" t="str">
        <f ca="1">IF($C355="あり",IF(7&lt;=$AD355,N355,"-"),IF(7&lt;=$AD355,$AO355*($AD355-6),"-"))</f>
        <v>-</v>
      </c>
      <c r="AM355" s="62">
        <f ca="1">IF(C355="あり",O355,AP355)</f>
        <v>0</v>
      </c>
      <c r="AN355" s="62">
        <f ca="1">SUM(U356,AF355:AM355)</f>
        <v>0</v>
      </c>
      <c r="AO355" s="42">
        <f ca="1">OFFSET(【DB】被害率係数!$A$4,MATCH(②詳細状況入力!$Y356,【DB】被害率係数!$A$4:$A$19,0)-1,16)</f>
        <v>0</v>
      </c>
      <c r="AP355" s="42">
        <f ca="1">OFFSET(【DB】被害率係数!$A$4,MATCH(②詳細状況入力!$Y356,【DB】被害率係数!$A$4:$A$19,0)-1,17)</f>
        <v>0</v>
      </c>
      <c r="AQ355" s="42"/>
    </row>
    <row r="356" spans="1:43" x14ac:dyDescent="0.15">
      <c r="A356" s="50"/>
      <c r="B356" s="50"/>
      <c r="C356" s="145">
        <f ca="1">OFFSET(①簡易状況入力!$C$5,MATCH(A355,①簡易状況入力!$C$5:$C$104,0)-1,18)</f>
        <v>0</v>
      </c>
      <c r="D356" s="148" t="s">
        <v>52</v>
      </c>
      <c r="E356" s="56">
        <f t="shared" ref="E356:F356" ca="1" si="1252">E355</f>
        <v>0</v>
      </c>
      <c r="F356" s="56">
        <f t="shared" ca="1" si="1252"/>
        <v>0</v>
      </c>
      <c r="G356" s="104"/>
      <c r="H356" s="104"/>
      <c r="I356" s="104"/>
      <c r="J356" s="104"/>
      <c r="K356" s="104"/>
      <c r="L356" s="104"/>
      <c r="M356" s="104"/>
      <c r="N356" s="104"/>
      <c r="O356" s="105"/>
      <c r="Q356" s="57">
        <f ca="1">OFFSET(①簡易状況入力!$C$5,MATCH(A355,①簡易状況入力!$C$5:$C$104,0)-1,16)</f>
        <v>0</v>
      </c>
      <c r="R356" s="58"/>
      <c r="S356" s="146" t="s">
        <v>115</v>
      </c>
      <c r="T356" s="146" t="s">
        <v>116</v>
      </c>
      <c r="U356" s="36">
        <f ca="1">OFFSET(①簡易状況入力!$C$5,MATCH(A355,①簡易状況入力!$C$5:$C$104,0)-1,4)</f>
        <v>0</v>
      </c>
      <c r="V356" s="58"/>
      <c r="W356" s="146" t="s">
        <v>30</v>
      </c>
      <c r="X356" s="37">
        <f ca="1">OFFSET(①簡易状況入力!$C$5,MATCH(A355,①簡易状況入力!$C$5:$C$104,0)-1,5)</f>
        <v>0</v>
      </c>
      <c r="Y356" s="149">
        <f ca="1">OFFSET(①簡易状況入力!$C$5,MATCH(A355,①簡易状況入力!$C$5:$C$104,0)-1,8)</f>
        <v>0</v>
      </c>
      <c r="Z356" s="149">
        <f ca="1">OFFSET(①簡易状況入力!$C$5,MATCH(A355,①簡易状況入力!$C$5:$C$104,0)-1,9)</f>
        <v>0</v>
      </c>
      <c r="AA356" s="149">
        <f ca="1">OFFSET(①簡易状況入力!$C$5,MATCH(A355,①簡易状況入力!$C$5:$C$104,0)-1,10)</f>
        <v>0</v>
      </c>
      <c r="AB356" s="148" t="s">
        <v>52</v>
      </c>
      <c r="AC356" s="56">
        <f t="shared" ref="AC356:AD356" ca="1" si="1253">AC355</f>
        <v>0</v>
      </c>
      <c r="AD356" s="56">
        <f t="shared" ca="1" si="1253"/>
        <v>0</v>
      </c>
      <c r="AE356" s="63">
        <f ca="1">IF($C356="あり",IF(AC356&gt;=1,G356/AQ356,0),IF(AC356&gt;=1,AO356*AC356,0))</f>
        <v>0</v>
      </c>
      <c r="AF356" s="63">
        <f t="shared" ref="AF356:AF358" ca="1" si="1254">IF($C356="あり",IF($AD356&gt;=AF$4,H356/$AQ356,0),IF($AD356&gt;=AF$4,$AO356,0))</f>
        <v>0</v>
      </c>
      <c r="AG356" s="63">
        <f t="shared" ref="AG356:AG358" ca="1" si="1255">IF($C356="あり",IF($AD356&gt;=AG$4,I356/$AQ356,0),IF($AD356&gt;=AG$4,$AO356,0))</f>
        <v>0</v>
      </c>
      <c r="AH356" s="63">
        <f t="shared" ref="AH356:AH358" ca="1" si="1256">IF($C356="あり",IF($AD356&gt;=AH$4,J356/$AQ356,0),IF($AD356&gt;=AH$4,$AO356,0))</f>
        <v>0</v>
      </c>
      <c r="AI356" s="63">
        <f t="shared" ref="AI356:AI358" ca="1" si="1257">IF($C356="あり",IF($AD356&gt;=AI$4,K356/$AQ356,0),IF($AD356&gt;=AI$4,$AO356,0))</f>
        <v>0</v>
      </c>
      <c r="AJ356" s="63">
        <f t="shared" ref="AJ356:AJ358" ca="1" si="1258">IF($C356="あり",IF($AD356&gt;=AJ$4,L356/$AQ356,0),IF($AD356&gt;=AJ$4,$AO356,0))</f>
        <v>0</v>
      </c>
      <c r="AK356" s="63">
        <f t="shared" ref="AK356:AK358" ca="1" si="1259">IF($C356="あり",IF($AD356&gt;=AK$4,M356/$AQ356,0),IF($AD356&gt;=AK$4,$AO356,0))</f>
        <v>0</v>
      </c>
      <c r="AL356" s="63">
        <f ca="1">IF($C356="あり",IF($AD356&gt;=7,N356/$AQ356,0),IF($AD356&gt;=7,$AO356*($AD356-6),0))</f>
        <v>0</v>
      </c>
      <c r="AM356" s="64" t="s">
        <v>46</v>
      </c>
      <c r="AN356" s="63">
        <f ca="1">SUM(AE356:AM356)</f>
        <v>0</v>
      </c>
      <c r="AO356" s="68" t="e">
        <f ca="1">1/(AC356+AD356)</f>
        <v>#DIV/0!</v>
      </c>
      <c r="AP356" s="67">
        <v>0</v>
      </c>
      <c r="AQ356" s="68">
        <f ca="1">IF(AC356&gt;=1,G356,0)+SUMIF($H$4:$M$4,"&lt;="&amp;AD356,$H356:$M356)+IF(AD356&gt;=7,N356,0)</f>
        <v>0</v>
      </c>
    </row>
    <row r="357" spans="1:43" x14ac:dyDescent="0.15">
      <c r="A357" s="50"/>
      <c r="B357" s="50"/>
      <c r="C357" s="145">
        <f ca="1">OFFSET(①簡易状況入力!$C$5,MATCH(A355,①簡易状況入力!$C$5:$C$104,0)-1,19)</f>
        <v>0</v>
      </c>
      <c r="D357" s="148" t="s">
        <v>50</v>
      </c>
      <c r="E357" s="56">
        <f t="shared" ref="E357" ca="1" si="1260">E356</f>
        <v>0</v>
      </c>
      <c r="F357" s="56">
        <f ca="1">F356</f>
        <v>0</v>
      </c>
      <c r="G357" s="104"/>
      <c r="H357" s="104"/>
      <c r="I357" s="104"/>
      <c r="J357" s="104"/>
      <c r="K357" s="104"/>
      <c r="L357" s="104"/>
      <c r="M357" s="104"/>
      <c r="N357" s="104"/>
      <c r="O357" s="106"/>
      <c r="Q357" s="50"/>
      <c r="R357" s="58"/>
      <c r="S357" s="165" t="s">
        <v>28</v>
      </c>
      <c r="T357" s="146" t="s">
        <v>35</v>
      </c>
      <c r="U357" s="35">
        <f ca="1">OFFSET(①簡易状況入力!$C$5,MATCH(A355,①簡易状況入力!$C$5:$C$104,0)-1,2)</f>
        <v>0</v>
      </c>
      <c r="V357" s="58"/>
      <c r="W357" s="146" t="s">
        <v>33</v>
      </c>
      <c r="X357" s="37">
        <f ca="1">OFFSET(①簡易状況入力!$C$5,MATCH(A355,①簡易状況入力!$C$5:$C$104,0)-1,6)</f>
        <v>0</v>
      </c>
      <c r="Y357" s="149">
        <f ca="1">OFFSET(①簡易状況入力!$C$5,MATCH(A355,①簡易状況入力!$C$5:$C$104,0)-1,11)</f>
        <v>0</v>
      </c>
      <c r="Z357" s="167">
        <f ca="1">OFFSET(①簡易状況入力!$C$5,MATCH(A355,①簡易状況入力!$C$5:$C$104,0)-1,12)</f>
        <v>0</v>
      </c>
      <c r="AA357" s="168"/>
      <c r="AB357" s="148" t="s">
        <v>50</v>
      </c>
      <c r="AC357" s="56">
        <f t="shared" ref="AC357:AD357" ca="1" si="1261">AC356</f>
        <v>0</v>
      </c>
      <c r="AD357" s="56">
        <f t="shared" ca="1" si="1261"/>
        <v>0</v>
      </c>
      <c r="AE357" s="63">
        <f ca="1">IF($C357="あり",IF(AC357&gt;=1,G357/AQ357,0),IF(AC357&gt;=1,AO357*AC357,0))</f>
        <v>0</v>
      </c>
      <c r="AF357" s="63">
        <f t="shared" ca="1" si="1254"/>
        <v>0</v>
      </c>
      <c r="AG357" s="63">
        <f t="shared" ca="1" si="1255"/>
        <v>0</v>
      </c>
      <c r="AH357" s="63">
        <f t="shared" ca="1" si="1256"/>
        <v>0</v>
      </c>
      <c r="AI357" s="63">
        <f t="shared" ca="1" si="1257"/>
        <v>0</v>
      </c>
      <c r="AJ357" s="63">
        <f t="shared" ca="1" si="1258"/>
        <v>0</v>
      </c>
      <c r="AK357" s="63">
        <f t="shared" ca="1" si="1259"/>
        <v>0</v>
      </c>
      <c r="AL357" s="63">
        <f ca="1">IF($C357="あり",IF($AD357&gt;=7,N357/$AQ357,0),IF($AD357&gt;=7,$AO357*($AD357-6),0))</f>
        <v>0</v>
      </c>
      <c r="AM357" s="65">
        <f ca="1">IF(C357="あり",O357/AQ357,AP357)</f>
        <v>0</v>
      </c>
      <c r="AN357" s="63">
        <f ca="1">SUM(AE357:AM357)</f>
        <v>0</v>
      </c>
      <c r="AO357" s="68" t="e">
        <f ca="1">1/(AC357+AD357)</f>
        <v>#DIV/0!</v>
      </c>
      <c r="AP357" s="67">
        <v>0</v>
      </c>
      <c r="AQ357" s="68">
        <f ca="1">IF(AC357&gt;=1,G357,0)+SUMIF($H$4:$M$4,"&lt;="&amp;AD357,$H357:$M357)+IF(AD357&gt;=7,N357,0)+O357</f>
        <v>0</v>
      </c>
    </row>
    <row r="358" spans="1:43" x14ac:dyDescent="0.15">
      <c r="A358" s="50"/>
      <c r="B358" s="50"/>
      <c r="C358" s="145">
        <f ca="1">OFFSET(①簡易状況入力!$C$5,MATCH(A355,①簡易状況入力!$C$5:$C$104,0)-1,20)</f>
        <v>0</v>
      </c>
      <c r="D358" s="148" t="s">
        <v>51</v>
      </c>
      <c r="E358" s="56">
        <f t="shared" ref="E358:F358" ca="1" si="1262">E357</f>
        <v>0</v>
      </c>
      <c r="F358" s="56">
        <f t="shared" ca="1" si="1262"/>
        <v>0</v>
      </c>
      <c r="G358" s="104"/>
      <c r="H358" s="104"/>
      <c r="I358" s="104"/>
      <c r="J358" s="104"/>
      <c r="K358" s="104"/>
      <c r="L358" s="104"/>
      <c r="M358" s="104"/>
      <c r="N358" s="104"/>
      <c r="O358" s="106"/>
      <c r="Q358" s="50"/>
      <c r="R358" s="58"/>
      <c r="S358" s="166"/>
      <c r="T358" s="146" t="s">
        <v>34</v>
      </c>
      <c r="U358" s="35">
        <f ca="1">OFFSET(①簡易状況入力!$C$5,MATCH(A355,①簡易状況入力!$C$5:$C$104,0)-1,3)</f>
        <v>0</v>
      </c>
      <c r="V358" s="58"/>
      <c r="W358" s="146" t="s">
        <v>118</v>
      </c>
      <c r="X358" s="37">
        <f ca="1">OFFSET(①簡易状況入力!$C$5,MATCH(A355,①簡易状況入力!$C$5:$C$104,0)-1,7)</f>
        <v>0</v>
      </c>
      <c r="Y358" s="149">
        <f ca="1">OFFSET(①簡易状況入力!$C$5,MATCH(A355,①簡易状況入力!$C$5:$C$104,0)-1,13)</f>
        <v>0</v>
      </c>
      <c r="Z358" s="167">
        <f ca="1">OFFSET(①簡易状況入力!$C$5,MATCH(A355,①簡易状況入力!$C$5:$C$104,0)-1,14)</f>
        <v>0</v>
      </c>
      <c r="AA358" s="168"/>
      <c r="AB358" s="148" t="s">
        <v>51</v>
      </c>
      <c r="AC358" s="56">
        <f t="shared" ref="AC358:AD358" ca="1" si="1263">AC357</f>
        <v>0</v>
      </c>
      <c r="AD358" s="56">
        <f t="shared" ca="1" si="1263"/>
        <v>0</v>
      </c>
      <c r="AE358" s="63">
        <f ca="1">IF($C358="あり",IF(AC358&gt;=1,G358/AQ358,0),IF(AC358&gt;=1,AO358*AC358,0))</f>
        <v>0</v>
      </c>
      <c r="AF358" s="63">
        <f t="shared" ca="1" si="1254"/>
        <v>0</v>
      </c>
      <c r="AG358" s="63">
        <f t="shared" ca="1" si="1255"/>
        <v>0</v>
      </c>
      <c r="AH358" s="63">
        <f t="shared" ca="1" si="1256"/>
        <v>0</v>
      </c>
      <c r="AI358" s="63">
        <f t="shared" ca="1" si="1257"/>
        <v>0</v>
      </c>
      <c r="AJ358" s="63">
        <f t="shared" ca="1" si="1258"/>
        <v>0</v>
      </c>
      <c r="AK358" s="63">
        <f t="shared" ca="1" si="1259"/>
        <v>0</v>
      </c>
      <c r="AL358" s="63">
        <f ca="1">IF($C358="あり",IF($AD358&gt;=7,N358/$AQ358,0),IF($AD358&gt;=7,$AO358*($AD358-6),0))</f>
        <v>0</v>
      </c>
      <c r="AM358" s="65">
        <f ca="1">IF(C358="あり",O358/AQ358,AP358)</f>
        <v>0</v>
      </c>
      <c r="AN358" s="63">
        <f ca="1">SUM(AE358:AM358)</f>
        <v>0</v>
      </c>
      <c r="AO358" s="68" t="e">
        <f ca="1">1/(AC358+AD358)</f>
        <v>#DIV/0!</v>
      </c>
      <c r="AP358" s="67">
        <v>0</v>
      </c>
      <c r="AQ358" s="68">
        <f ca="1">IF(AC358&gt;=1,G358,0)+SUMIF($H$4:$M$4,"&lt;="&amp;AD358,$H358:$M358)+IF(AD358&gt;=7,N358,0)+O358</f>
        <v>0</v>
      </c>
    </row>
    <row r="359" spans="1:43" x14ac:dyDescent="0.15">
      <c r="G359" s="107"/>
      <c r="H359" s="107"/>
      <c r="I359" s="107"/>
      <c r="J359" s="107"/>
      <c r="K359" s="107"/>
      <c r="L359" s="107"/>
      <c r="M359" s="107"/>
      <c r="N359" s="107"/>
      <c r="O359" s="107"/>
    </row>
    <row r="360" spans="1:43" x14ac:dyDescent="0.15">
      <c r="A360" s="59" t="s">
        <v>387</v>
      </c>
      <c r="B360" s="60">
        <f ca="1">OFFSET(①簡易状況入力!$C$5,MATCH(A360,①簡易状況入力!$C$5:$C$104,0)-1,1)</f>
        <v>0</v>
      </c>
      <c r="C360" s="145">
        <f ca="1">OFFSET(①簡易状況入力!$C$5,MATCH(A360,①簡易状況入力!$C$5:$C$104,0)-1,17)</f>
        <v>0</v>
      </c>
      <c r="D360" s="148" t="s">
        <v>47</v>
      </c>
      <c r="E360" s="56">
        <f ca="1">U363</f>
        <v>0</v>
      </c>
      <c r="F360" s="56">
        <f ca="1">U362</f>
        <v>0</v>
      </c>
      <c r="G360" s="102"/>
      <c r="H360" s="103"/>
      <c r="I360" s="103"/>
      <c r="J360" s="103"/>
      <c r="K360" s="103"/>
      <c r="L360" s="103"/>
      <c r="M360" s="103"/>
      <c r="N360" s="103"/>
      <c r="O360" s="103"/>
      <c r="Q360" s="57">
        <f ca="1">OFFSET(①簡易状況入力!$C$5,MATCH(A360,①簡易状況入力!$C$5:$C$104,0)-1,15)</f>
        <v>0</v>
      </c>
      <c r="R360" s="58"/>
      <c r="S360" s="58"/>
      <c r="T360" s="58"/>
      <c r="U360" s="58"/>
      <c r="V360" s="58"/>
      <c r="W360" s="58"/>
      <c r="X360" s="58"/>
      <c r="Y360" s="58"/>
      <c r="Z360" s="58"/>
      <c r="AA360" s="58"/>
      <c r="AB360" s="148" t="s">
        <v>47</v>
      </c>
      <c r="AC360" s="56">
        <f ca="1">U363</f>
        <v>0</v>
      </c>
      <c r="AD360" s="56">
        <f ca="1">U362</f>
        <v>0</v>
      </c>
      <c r="AE360" s="62" t="s">
        <v>46</v>
      </c>
      <c r="AF360" s="62" t="str">
        <f t="shared" ref="AF360" ca="1" si="1264">IF($C360="あり",IF(AF$4&lt;=$AD360,H360,"-"),IF(AF$4&lt;=$AD360,$AO360,"-"))</f>
        <v>-</v>
      </c>
      <c r="AG360" s="62" t="str">
        <f t="shared" ref="AG360" ca="1" si="1265">IF($C360="あり",IF(AG$4&lt;=$AD360,I360,"-"),IF(AG$4&lt;=$AD360,$AO360,"-"))</f>
        <v>-</v>
      </c>
      <c r="AH360" s="62" t="str">
        <f t="shared" ref="AH360" ca="1" si="1266">IF($C360="あり",IF(AH$4&lt;=$AD360,J360,"-"),IF(AH$4&lt;=$AD360,$AO360,"-"))</f>
        <v>-</v>
      </c>
      <c r="AI360" s="62" t="str">
        <f t="shared" ref="AI360" ca="1" si="1267">IF($C360="あり",IF(AI$4&lt;=$AD360,K360,"-"),IF(AI$4&lt;=$AD360,$AO360,"-"))</f>
        <v>-</v>
      </c>
      <c r="AJ360" s="62" t="str">
        <f t="shared" ref="AJ360" ca="1" si="1268">IF($C360="あり",IF(AJ$4&lt;=$AD360,L360,"-"),IF(AJ$4&lt;=$AD360,$AO360,"-"))</f>
        <v>-</v>
      </c>
      <c r="AK360" s="62" t="str">
        <f t="shared" ref="AK360" ca="1" si="1269">IF($C360="あり",IF(AK$4&lt;=$AD360,M360,"-"),IF(AK$4&lt;=$AD360,$AO360,"-"))</f>
        <v>-</v>
      </c>
      <c r="AL360" s="62" t="str">
        <f ca="1">IF($C360="あり",IF(7&lt;=$AD360,N360,"-"),IF(7&lt;=$AD360,$AO360*($AD360-6),"-"))</f>
        <v>-</v>
      </c>
      <c r="AM360" s="62">
        <f ca="1">IF(C360="あり",O360,AP360)</f>
        <v>0</v>
      </c>
      <c r="AN360" s="62">
        <f ca="1">SUM(U361,AF360:AM360)</f>
        <v>0</v>
      </c>
      <c r="AO360" s="42">
        <f ca="1">OFFSET(【DB】被害率係数!$A$4,MATCH(②詳細状況入力!$Y361,【DB】被害率係数!$A$4:$A$19,0)-1,16)</f>
        <v>0</v>
      </c>
      <c r="AP360" s="42">
        <f ca="1">OFFSET(【DB】被害率係数!$A$4,MATCH(②詳細状況入力!$Y361,【DB】被害率係数!$A$4:$A$19,0)-1,17)</f>
        <v>0</v>
      </c>
      <c r="AQ360" s="42"/>
    </row>
    <row r="361" spans="1:43" x14ac:dyDescent="0.15">
      <c r="A361" s="50"/>
      <c r="B361" s="50"/>
      <c r="C361" s="145">
        <f ca="1">OFFSET(①簡易状況入力!$C$5,MATCH(A360,①簡易状況入力!$C$5:$C$104,0)-1,18)</f>
        <v>0</v>
      </c>
      <c r="D361" s="148" t="s">
        <v>52</v>
      </c>
      <c r="E361" s="56">
        <f t="shared" ref="E361:F361" ca="1" si="1270">E360</f>
        <v>0</v>
      </c>
      <c r="F361" s="56">
        <f t="shared" ca="1" si="1270"/>
        <v>0</v>
      </c>
      <c r="G361" s="104"/>
      <c r="H361" s="104"/>
      <c r="I361" s="104"/>
      <c r="J361" s="104"/>
      <c r="K361" s="104"/>
      <c r="L361" s="104"/>
      <c r="M361" s="104"/>
      <c r="N361" s="104"/>
      <c r="O361" s="105"/>
      <c r="Q361" s="57">
        <f ca="1">OFFSET(①簡易状況入力!$C$5,MATCH(A360,①簡易状況入力!$C$5:$C$104,0)-1,16)</f>
        <v>0</v>
      </c>
      <c r="R361" s="58"/>
      <c r="S361" s="146" t="s">
        <v>115</v>
      </c>
      <c r="T361" s="146" t="s">
        <v>116</v>
      </c>
      <c r="U361" s="36">
        <f ca="1">OFFSET(①簡易状況入力!$C$5,MATCH(A360,①簡易状況入力!$C$5:$C$104,0)-1,4)</f>
        <v>0</v>
      </c>
      <c r="V361" s="58"/>
      <c r="W361" s="146" t="s">
        <v>30</v>
      </c>
      <c r="X361" s="37">
        <f ca="1">OFFSET(①簡易状況入力!$C$5,MATCH(A360,①簡易状況入力!$C$5:$C$104,0)-1,5)</f>
        <v>0</v>
      </c>
      <c r="Y361" s="149">
        <f ca="1">OFFSET(①簡易状況入力!$C$5,MATCH(A360,①簡易状況入力!$C$5:$C$104,0)-1,8)</f>
        <v>0</v>
      </c>
      <c r="Z361" s="149">
        <f ca="1">OFFSET(①簡易状況入力!$C$5,MATCH(A360,①簡易状況入力!$C$5:$C$104,0)-1,9)</f>
        <v>0</v>
      </c>
      <c r="AA361" s="149">
        <f ca="1">OFFSET(①簡易状況入力!$C$5,MATCH(A360,①簡易状況入力!$C$5:$C$104,0)-1,10)</f>
        <v>0</v>
      </c>
      <c r="AB361" s="148" t="s">
        <v>52</v>
      </c>
      <c r="AC361" s="56">
        <f t="shared" ref="AC361:AD361" ca="1" si="1271">AC360</f>
        <v>0</v>
      </c>
      <c r="AD361" s="56">
        <f t="shared" ca="1" si="1271"/>
        <v>0</v>
      </c>
      <c r="AE361" s="63">
        <f ca="1">IF($C361="あり",IF(AC361&gt;=1,G361/AQ361,0),IF(AC361&gt;=1,AO361*AC361,0))</f>
        <v>0</v>
      </c>
      <c r="AF361" s="63">
        <f t="shared" ref="AF361:AF363" ca="1" si="1272">IF($C361="あり",IF($AD361&gt;=AF$4,H361/$AQ361,0),IF($AD361&gt;=AF$4,$AO361,0))</f>
        <v>0</v>
      </c>
      <c r="AG361" s="63">
        <f t="shared" ref="AG361:AG363" ca="1" si="1273">IF($C361="あり",IF($AD361&gt;=AG$4,I361/$AQ361,0),IF($AD361&gt;=AG$4,$AO361,0))</f>
        <v>0</v>
      </c>
      <c r="AH361" s="63">
        <f t="shared" ref="AH361:AH363" ca="1" si="1274">IF($C361="あり",IF($AD361&gt;=AH$4,J361/$AQ361,0),IF($AD361&gt;=AH$4,$AO361,0))</f>
        <v>0</v>
      </c>
      <c r="AI361" s="63">
        <f t="shared" ref="AI361:AI363" ca="1" si="1275">IF($C361="あり",IF($AD361&gt;=AI$4,K361/$AQ361,0),IF($AD361&gt;=AI$4,$AO361,0))</f>
        <v>0</v>
      </c>
      <c r="AJ361" s="63">
        <f t="shared" ref="AJ361:AJ363" ca="1" si="1276">IF($C361="あり",IF($AD361&gt;=AJ$4,L361/$AQ361,0),IF($AD361&gt;=AJ$4,$AO361,0))</f>
        <v>0</v>
      </c>
      <c r="AK361" s="63">
        <f t="shared" ref="AK361:AK363" ca="1" si="1277">IF($C361="あり",IF($AD361&gt;=AK$4,M361/$AQ361,0),IF($AD361&gt;=AK$4,$AO361,0))</f>
        <v>0</v>
      </c>
      <c r="AL361" s="63">
        <f ca="1">IF($C361="あり",IF($AD361&gt;=7,N361/$AQ361,0),IF($AD361&gt;=7,$AO361*($AD361-6),0))</f>
        <v>0</v>
      </c>
      <c r="AM361" s="64" t="s">
        <v>46</v>
      </c>
      <c r="AN361" s="63">
        <f ca="1">SUM(AE361:AM361)</f>
        <v>0</v>
      </c>
      <c r="AO361" s="68" t="e">
        <f ca="1">1/(AC361+AD361)</f>
        <v>#DIV/0!</v>
      </c>
      <c r="AP361" s="67">
        <v>0</v>
      </c>
      <c r="AQ361" s="68">
        <f ca="1">IF(AC361&gt;=1,G361,0)+SUMIF($H$4:$M$4,"&lt;="&amp;AD361,$H361:$M361)+IF(AD361&gt;=7,N361,0)</f>
        <v>0</v>
      </c>
    </row>
    <row r="362" spans="1:43" x14ac:dyDescent="0.15">
      <c r="A362" s="50"/>
      <c r="B362" s="50"/>
      <c r="C362" s="145">
        <f ca="1">OFFSET(①簡易状況入力!$C$5,MATCH(A360,①簡易状況入力!$C$5:$C$104,0)-1,19)</f>
        <v>0</v>
      </c>
      <c r="D362" s="148" t="s">
        <v>50</v>
      </c>
      <c r="E362" s="56">
        <f t="shared" ref="E362" ca="1" si="1278">E361</f>
        <v>0</v>
      </c>
      <c r="F362" s="56">
        <f ca="1">F361</f>
        <v>0</v>
      </c>
      <c r="G362" s="104"/>
      <c r="H362" s="104"/>
      <c r="I362" s="104"/>
      <c r="J362" s="104"/>
      <c r="K362" s="104"/>
      <c r="L362" s="104"/>
      <c r="M362" s="104"/>
      <c r="N362" s="104"/>
      <c r="O362" s="106"/>
      <c r="Q362" s="50"/>
      <c r="R362" s="58"/>
      <c r="S362" s="165" t="s">
        <v>28</v>
      </c>
      <c r="T362" s="146" t="s">
        <v>35</v>
      </c>
      <c r="U362" s="35">
        <f ca="1">OFFSET(①簡易状況入力!$C$5,MATCH(A360,①簡易状況入力!$C$5:$C$104,0)-1,2)</f>
        <v>0</v>
      </c>
      <c r="V362" s="58"/>
      <c r="W362" s="146" t="s">
        <v>33</v>
      </c>
      <c r="X362" s="37">
        <f ca="1">OFFSET(①簡易状況入力!$C$5,MATCH(A360,①簡易状況入力!$C$5:$C$104,0)-1,6)</f>
        <v>0</v>
      </c>
      <c r="Y362" s="149">
        <f ca="1">OFFSET(①簡易状況入力!$C$5,MATCH(A360,①簡易状況入力!$C$5:$C$104,0)-1,11)</f>
        <v>0</v>
      </c>
      <c r="Z362" s="167">
        <f ca="1">OFFSET(①簡易状況入力!$C$5,MATCH(A360,①簡易状況入力!$C$5:$C$104,0)-1,12)</f>
        <v>0</v>
      </c>
      <c r="AA362" s="168"/>
      <c r="AB362" s="148" t="s">
        <v>50</v>
      </c>
      <c r="AC362" s="56">
        <f t="shared" ref="AC362:AD362" ca="1" si="1279">AC361</f>
        <v>0</v>
      </c>
      <c r="AD362" s="56">
        <f t="shared" ca="1" si="1279"/>
        <v>0</v>
      </c>
      <c r="AE362" s="63">
        <f ca="1">IF($C362="あり",IF(AC362&gt;=1,G362/AQ362,0),IF(AC362&gt;=1,AO362*AC362,0))</f>
        <v>0</v>
      </c>
      <c r="AF362" s="63">
        <f t="shared" ca="1" si="1272"/>
        <v>0</v>
      </c>
      <c r="AG362" s="63">
        <f t="shared" ca="1" si="1273"/>
        <v>0</v>
      </c>
      <c r="AH362" s="63">
        <f t="shared" ca="1" si="1274"/>
        <v>0</v>
      </c>
      <c r="AI362" s="63">
        <f t="shared" ca="1" si="1275"/>
        <v>0</v>
      </c>
      <c r="AJ362" s="63">
        <f t="shared" ca="1" si="1276"/>
        <v>0</v>
      </c>
      <c r="AK362" s="63">
        <f t="shared" ca="1" si="1277"/>
        <v>0</v>
      </c>
      <c r="AL362" s="63">
        <f ca="1">IF($C362="あり",IF($AD362&gt;=7,N362/$AQ362,0),IF($AD362&gt;=7,$AO362*($AD362-6),0))</f>
        <v>0</v>
      </c>
      <c r="AM362" s="65">
        <f ca="1">IF(C362="あり",O362/AQ362,AP362)</f>
        <v>0</v>
      </c>
      <c r="AN362" s="63">
        <f ca="1">SUM(AE362:AM362)</f>
        <v>0</v>
      </c>
      <c r="AO362" s="68" t="e">
        <f ca="1">1/(AC362+AD362)</f>
        <v>#DIV/0!</v>
      </c>
      <c r="AP362" s="67">
        <v>0</v>
      </c>
      <c r="AQ362" s="68">
        <f ca="1">IF(AC362&gt;=1,G362,0)+SUMIF($H$4:$M$4,"&lt;="&amp;AD362,$H362:$M362)+IF(AD362&gt;=7,N362,0)+O362</f>
        <v>0</v>
      </c>
    </row>
    <row r="363" spans="1:43" x14ac:dyDescent="0.15">
      <c r="A363" s="50"/>
      <c r="B363" s="50"/>
      <c r="C363" s="145">
        <f ca="1">OFFSET(①簡易状況入力!$C$5,MATCH(A360,①簡易状況入力!$C$5:$C$104,0)-1,20)</f>
        <v>0</v>
      </c>
      <c r="D363" s="148" t="s">
        <v>51</v>
      </c>
      <c r="E363" s="56">
        <f t="shared" ref="E363:F363" ca="1" si="1280">E362</f>
        <v>0</v>
      </c>
      <c r="F363" s="56">
        <f t="shared" ca="1" si="1280"/>
        <v>0</v>
      </c>
      <c r="G363" s="104"/>
      <c r="H363" s="104"/>
      <c r="I363" s="104"/>
      <c r="J363" s="104"/>
      <c r="K363" s="104"/>
      <c r="L363" s="104"/>
      <c r="M363" s="104"/>
      <c r="N363" s="104"/>
      <c r="O363" s="106"/>
      <c r="Q363" s="50"/>
      <c r="R363" s="58"/>
      <c r="S363" s="166"/>
      <c r="T363" s="146" t="s">
        <v>34</v>
      </c>
      <c r="U363" s="35">
        <f ca="1">OFFSET(①簡易状況入力!$C$5,MATCH(A360,①簡易状況入力!$C$5:$C$104,0)-1,3)</f>
        <v>0</v>
      </c>
      <c r="V363" s="58"/>
      <c r="W363" s="146" t="s">
        <v>118</v>
      </c>
      <c r="X363" s="37">
        <f ca="1">OFFSET(①簡易状況入力!$C$5,MATCH(A360,①簡易状況入力!$C$5:$C$104,0)-1,7)</f>
        <v>0</v>
      </c>
      <c r="Y363" s="149">
        <f ca="1">OFFSET(①簡易状況入力!$C$5,MATCH(A360,①簡易状況入力!$C$5:$C$104,0)-1,13)</f>
        <v>0</v>
      </c>
      <c r="Z363" s="167">
        <f ca="1">OFFSET(①簡易状況入力!$C$5,MATCH(A360,①簡易状況入力!$C$5:$C$104,0)-1,14)</f>
        <v>0</v>
      </c>
      <c r="AA363" s="168"/>
      <c r="AB363" s="148" t="s">
        <v>51</v>
      </c>
      <c r="AC363" s="56">
        <f t="shared" ref="AC363:AD363" ca="1" si="1281">AC362</f>
        <v>0</v>
      </c>
      <c r="AD363" s="56">
        <f t="shared" ca="1" si="1281"/>
        <v>0</v>
      </c>
      <c r="AE363" s="63">
        <f ca="1">IF($C363="あり",IF(AC363&gt;=1,G363/AQ363,0),IF(AC363&gt;=1,AO363*AC363,0))</f>
        <v>0</v>
      </c>
      <c r="AF363" s="63">
        <f t="shared" ca="1" si="1272"/>
        <v>0</v>
      </c>
      <c r="AG363" s="63">
        <f t="shared" ca="1" si="1273"/>
        <v>0</v>
      </c>
      <c r="AH363" s="63">
        <f t="shared" ca="1" si="1274"/>
        <v>0</v>
      </c>
      <c r="AI363" s="63">
        <f t="shared" ca="1" si="1275"/>
        <v>0</v>
      </c>
      <c r="AJ363" s="63">
        <f t="shared" ca="1" si="1276"/>
        <v>0</v>
      </c>
      <c r="AK363" s="63">
        <f t="shared" ca="1" si="1277"/>
        <v>0</v>
      </c>
      <c r="AL363" s="63">
        <f ca="1">IF($C363="あり",IF($AD363&gt;=7,N363/$AQ363,0),IF($AD363&gt;=7,$AO363*($AD363-6),0))</f>
        <v>0</v>
      </c>
      <c r="AM363" s="65">
        <f ca="1">IF(C363="あり",O363/AQ363,AP363)</f>
        <v>0</v>
      </c>
      <c r="AN363" s="63">
        <f ca="1">SUM(AE363:AM363)</f>
        <v>0</v>
      </c>
      <c r="AO363" s="68" t="e">
        <f ca="1">1/(AC363+AD363)</f>
        <v>#DIV/0!</v>
      </c>
      <c r="AP363" s="67">
        <v>0</v>
      </c>
      <c r="AQ363" s="68">
        <f ca="1">IF(AC363&gt;=1,G363,0)+SUMIF($H$4:$M$4,"&lt;="&amp;AD363,$H363:$M363)+IF(AD363&gt;=7,N363,0)+O363</f>
        <v>0</v>
      </c>
    </row>
    <row r="364" spans="1:43" x14ac:dyDescent="0.15">
      <c r="G364" s="107"/>
      <c r="H364" s="107"/>
      <c r="I364" s="107"/>
      <c r="J364" s="107"/>
      <c r="K364" s="107"/>
      <c r="L364" s="107"/>
      <c r="M364" s="107"/>
      <c r="N364" s="107"/>
      <c r="O364" s="107"/>
    </row>
    <row r="365" spans="1:43" x14ac:dyDescent="0.15">
      <c r="A365" s="59" t="s">
        <v>388</v>
      </c>
      <c r="B365" s="60">
        <f ca="1">OFFSET(①簡易状況入力!$C$5,MATCH(A365,①簡易状況入力!$C$5:$C$104,0)-1,1)</f>
        <v>0</v>
      </c>
      <c r="C365" s="145">
        <f ca="1">OFFSET(①簡易状況入力!$C$5,MATCH(A365,①簡易状況入力!$C$5:$C$104,0)-1,17)</f>
        <v>0</v>
      </c>
      <c r="D365" s="148" t="s">
        <v>47</v>
      </c>
      <c r="E365" s="56">
        <f ca="1">U368</f>
        <v>0</v>
      </c>
      <c r="F365" s="56">
        <f ca="1">U367</f>
        <v>0</v>
      </c>
      <c r="G365" s="102"/>
      <c r="H365" s="103"/>
      <c r="I365" s="103"/>
      <c r="J365" s="103"/>
      <c r="K365" s="103"/>
      <c r="L365" s="103"/>
      <c r="M365" s="103"/>
      <c r="N365" s="103"/>
      <c r="O365" s="103"/>
      <c r="Q365" s="57">
        <f ca="1">OFFSET(①簡易状況入力!$C$5,MATCH(A365,①簡易状況入力!$C$5:$C$104,0)-1,15)</f>
        <v>0</v>
      </c>
      <c r="R365" s="58"/>
      <c r="S365" s="58"/>
      <c r="T365" s="58"/>
      <c r="U365" s="58"/>
      <c r="V365" s="58"/>
      <c r="W365" s="58"/>
      <c r="X365" s="58"/>
      <c r="Y365" s="58"/>
      <c r="Z365" s="58"/>
      <c r="AA365" s="58"/>
      <c r="AB365" s="148" t="s">
        <v>47</v>
      </c>
      <c r="AC365" s="56">
        <f ca="1">U368</f>
        <v>0</v>
      </c>
      <c r="AD365" s="56">
        <f ca="1">U367</f>
        <v>0</v>
      </c>
      <c r="AE365" s="62" t="s">
        <v>46</v>
      </c>
      <c r="AF365" s="62" t="str">
        <f t="shared" ref="AF365" ca="1" si="1282">IF($C365="あり",IF(AF$4&lt;=$AD365,H365,"-"),IF(AF$4&lt;=$AD365,$AO365,"-"))</f>
        <v>-</v>
      </c>
      <c r="AG365" s="62" t="str">
        <f t="shared" ref="AG365" ca="1" si="1283">IF($C365="あり",IF(AG$4&lt;=$AD365,I365,"-"),IF(AG$4&lt;=$AD365,$AO365,"-"))</f>
        <v>-</v>
      </c>
      <c r="AH365" s="62" t="str">
        <f t="shared" ref="AH365" ca="1" si="1284">IF($C365="あり",IF(AH$4&lt;=$AD365,J365,"-"),IF(AH$4&lt;=$AD365,$AO365,"-"))</f>
        <v>-</v>
      </c>
      <c r="AI365" s="62" t="str">
        <f t="shared" ref="AI365" ca="1" si="1285">IF($C365="あり",IF(AI$4&lt;=$AD365,K365,"-"),IF(AI$4&lt;=$AD365,$AO365,"-"))</f>
        <v>-</v>
      </c>
      <c r="AJ365" s="62" t="str">
        <f t="shared" ref="AJ365" ca="1" si="1286">IF($C365="あり",IF(AJ$4&lt;=$AD365,L365,"-"),IF(AJ$4&lt;=$AD365,$AO365,"-"))</f>
        <v>-</v>
      </c>
      <c r="AK365" s="62" t="str">
        <f t="shared" ref="AK365" ca="1" si="1287">IF($C365="あり",IF(AK$4&lt;=$AD365,M365,"-"),IF(AK$4&lt;=$AD365,$AO365,"-"))</f>
        <v>-</v>
      </c>
      <c r="AL365" s="62" t="str">
        <f ca="1">IF($C365="あり",IF(7&lt;=$AD365,N365,"-"),IF(7&lt;=$AD365,$AO365*($AD365-6),"-"))</f>
        <v>-</v>
      </c>
      <c r="AM365" s="62">
        <f ca="1">IF(C365="あり",O365,AP365)</f>
        <v>0</v>
      </c>
      <c r="AN365" s="62">
        <f ca="1">SUM(U366,AF365:AM365)</f>
        <v>0</v>
      </c>
      <c r="AO365" s="42">
        <f ca="1">OFFSET(【DB】被害率係数!$A$4,MATCH(②詳細状況入力!$Y366,【DB】被害率係数!$A$4:$A$19,0)-1,16)</f>
        <v>0</v>
      </c>
      <c r="AP365" s="42">
        <f ca="1">OFFSET(【DB】被害率係数!$A$4,MATCH(②詳細状況入力!$Y366,【DB】被害率係数!$A$4:$A$19,0)-1,17)</f>
        <v>0</v>
      </c>
      <c r="AQ365" s="42"/>
    </row>
    <row r="366" spans="1:43" x14ac:dyDescent="0.15">
      <c r="A366" s="50"/>
      <c r="B366" s="50"/>
      <c r="C366" s="145">
        <f ca="1">OFFSET(①簡易状況入力!$C$5,MATCH(A365,①簡易状況入力!$C$5:$C$104,0)-1,18)</f>
        <v>0</v>
      </c>
      <c r="D366" s="148" t="s">
        <v>52</v>
      </c>
      <c r="E366" s="56">
        <f t="shared" ref="E366:F366" ca="1" si="1288">E365</f>
        <v>0</v>
      </c>
      <c r="F366" s="56">
        <f t="shared" ca="1" si="1288"/>
        <v>0</v>
      </c>
      <c r="G366" s="104"/>
      <c r="H366" s="104"/>
      <c r="I366" s="104"/>
      <c r="J366" s="104"/>
      <c r="K366" s="104"/>
      <c r="L366" s="104"/>
      <c r="M366" s="104"/>
      <c r="N366" s="104"/>
      <c r="O366" s="105"/>
      <c r="Q366" s="57">
        <f ca="1">OFFSET(①簡易状況入力!$C$5,MATCH(A365,①簡易状況入力!$C$5:$C$104,0)-1,16)</f>
        <v>0</v>
      </c>
      <c r="R366" s="58"/>
      <c r="S366" s="146" t="s">
        <v>115</v>
      </c>
      <c r="T366" s="146" t="s">
        <v>116</v>
      </c>
      <c r="U366" s="36">
        <f ca="1">OFFSET(①簡易状況入力!$C$5,MATCH(A365,①簡易状況入力!$C$5:$C$104,0)-1,4)</f>
        <v>0</v>
      </c>
      <c r="V366" s="58"/>
      <c r="W366" s="146" t="s">
        <v>30</v>
      </c>
      <c r="X366" s="37">
        <f ca="1">OFFSET(①簡易状況入力!$C$5,MATCH(A365,①簡易状況入力!$C$5:$C$104,0)-1,5)</f>
        <v>0</v>
      </c>
      <c r="Y366" s="149">
        <f ca="1">OFFSET(①簡易状況入力!$C$5,MATCH(A365,①簡易状況入力!$C$5:$C$104,0)-1,8)</f>
        <v>0</v>
      </c>
      <c r="Z366" s="149">
        <f ca="1">OFFSET(①簡易状況入力!$C$5,MATCH(A365,①簡易状況入力!$C$5:$C$104,0)-1,9)</f>
        <v>0</v>
      </c>
      <c r="AA366" s="149">
        <f ca="1">OFFSET(①簡易状況入力!$C$5,MATCH(A365,①簡易状況入力!$C$5:$C$104,0)-1,10)</f>
        <v>0</v>
      </c>
      <c r="AB366" s="148" t="s">
        <v>52</v>
      </c>
      <c r="AC366" s="56">
        <f t="shared" ref="AC366:AD366" ca="1" si="1289">AC365</f>
        <v>0</v>
      </c>
      <c r="AD366" s="56">
        <f t="shared" ca="1" si="1289"/>
        <v>0</v>
      </c>
      <c r="AE366" s="63">
        <f ca="1">IF($C366="あり",IF(AC366&gt;=1,G366/AQ366,0),IF(AC366&gt;=1,AO366*AC366,0))</f>
        <v>0</v>
      </c>
      <c r="AF366" s="63">
        <f t="shared" ref="AF366:AF368" ca="1" si="1290">IF($C366="あり",IF($AD366&gt;=AF$4,H366/$AQ366,0),IF($AD366&gt;=AF$4,$AO366,0))</f>
        <v>0</v>
      </c>
      <c r="AG366" s="63">
        <f t="shared" ref="AG366:AG368" ca="1" si="1291">IF($C366="あり",IF($AD366&gt;=AG$4,I366/$AQ366,0),IF($AD366&gt;=AG$4,$AO366,0))</f>
        <v>0</v>
      </c>
      <c r="AH366" s="63">
        <f t="shared" ref="AH366:AH368" ca="1" si="1292">IF($C366="あり",IF($AD366&gt;=AH$4,J366/$AQ366,0),IF($AD366&gt;=AH$4,$AO366,0))</f>
        <v>0</v>
      </c>
      <c r="AI366" s="63">
        <f t="shared" ref="AI366:AI368" ca="1" si="1293">IF($C366="あり",IF($AD366&gt;=AI$4,K366/$AQ366,0),IF($AD366&gt;=AI$4,$AO366,0))</f>
        <v>0</v>
      </c>
      <c r="AJ366" s="63">
        <f t="shared" ref="AJ366:AJ368" ca="1" si="1294">IF($C366="あり",IF($AD366&gt;=AJ$4,L366/$AQ366,0),IF($AD366&gt;=AJ$4,$AO366,0))</f>
        <v>0</v>
      </c>
      <c r="AK366" s="63">
        <f t="shared" ref="AK366:AK368" ca="1" si="1295">IF($C366="あり",IF($AD366&gt;=AK$4,M366/$AQ366,0),IF($AD366&gt;=AK$4,$AO366,0))</f>
        <v>0</v>
      </c>
      <c r="AL366" s="63">
        <f ca="1">IF($C366="あり",IF($AD366&gt;=7,N366/$AQ366,0),IF($AD366&gt;=7,$AO366*($AD366-6),0))</f>
        <v>0</v>
      </c>
      <c r="AM366" s="64" t="s">
        <v>46</v>
      </c>
      <c r="AN366" s="63">
        <f ca="1">SUM(AE366:AM366)</f>
        <v>0</v>
      </c>
      <c r="AO366" s="68" t="e">
        <f ca="1">1/(AC366+AD366)</f>
        <v>#DIV/0!</v>
      </c>
      <c r="AP366" s="67">
        <v>0</v>
      </c>
      <c r="AQ366" s="68">
        <f ca="1">IF(AC366&gt;=1,G366,0)+SUMIF($H$4:$M$4,"&lt;="&amp;AD366,$H366:$M366)+IF(AD366&gt;=7,N366,0)</f>
        <v>0</v>
      </c>
    </row>
    <row r="367" spans="1:43" x14ac:dyDescent="0.15">
      <c r="A367" s="50"/>
      <c r="B367" s="50"/>
      <c r="C367" s="145">
        <f ca="1">OFFSET(①簡易状況入力!$C$5,MATCH(A365,①簡易状況入力!$C$5:$C$104,0)-1,19)</f>
        <v>0</v>
      </c>
      <c r="D367" s="148" t="s">
        <v>50</v>
      </c>
      <c r="E367" s="56">
        <f t="shared" ref="E367" ca="1" si="1296">E366</f>
        <v>0</v>
      </c>
      <c r="F367" s="56">
        <f ca="1">F366</f>
        <v>0</v>
      </c>
      <c r="G367" s="104"/>
      <c r="H367" s="104"/>
      <c r="I367" s="104"/>
      <c r="J367" s="104"/>
      <c r="K367" s="104"/>
      <c r="L367" s="104"/>
      <c r="M367" s="104"/>
      <c r="N367" s="104"/>
      <c r="O367" s="106"/>
      <c r="Q367" s="50"/>
      <c r="R367" s="58"/>
      <c r="S367" s="165" t="s">
        <v>28</v>
      </c>
      <c r="T367" s="146" t="s">
        <v>35</v>
      </c>
      <c r="U367" s="35">
        <f ca="1">OFFSET(①簡易状況入力!$C$5,MATCH(A365,①簡易状況入力!$C$5:$C$104,0)-1,2)</f>
        <v>0</v>
      </c>
      <c r="V367" s="58"/>
      <c r="W367" s="146" t="s">
        <v>33</v>
      </c>
      <c r="X367" s="37">
        <f ca="1">OFFSET(①簡易状況入力!$C$5,MATCH(A365,①簡易状況入力!$C$5:$C$104,0)-1,6)</f>
        <v>0</v>
      </c>
      <c r="Y367" s="149">
        <f ca="1">OFFSET(①簡易状況入力!$C$5,MATCH(A365,①簡易状況入力!$C$5:$C$104,0)-1,11)</f>
        <v>0</v>
      </c>
      <c r="Z367" s="167">
        <f ca="1">OFFSET(①簡易状況入力!$C$5,MATCH(A365,①簡易状況入力!$C$5:$C$104,0)-1,12)</f>
        <v>0</v>
      </c>
      <c r="AA367" s="168"/>
      <c r="AB367" s="148" t="s">
        <v>50</v>
      </c>
      <c r="AC367" s="56">
        <f t="shared" ref="AC367:AD367" ca="1" si="1297">AC366</f>
        <v>0</v>
      </c>
      <c r="AD367" s="56">
        <f t="shared" ca="1" si="1297"/>
        <v>0</v>
      </c>
      <c r="AE367" s="63">
        <f ca="1">IF($C367="あり",IF(AC367&gt;=1,G367/AQ367,0),IF(AC367&gt;=1,AO367*AC367,0))</f>
        <v>0</v>
      </c>
      <c r="AF367" s="63">
        <f t="shared" ca="1" si="1290"/>
        <v>0</v>
      </c>
      <c r="AG367" s="63">
        <f t="shared" ca="1" si="1291"/>
        <v>0</v>
      </c>
      <c r="AH367" s="63">
        <f t="shared" ca="1" si="1292"/>
        <v>0</v>
      </c>
      <c r="AI367" s="63">
        <f t="shared" ca="1" si="1293"/>
        <v>0</v>
      </c>
      <c r="AJ367" s="63">
        <f t="shared" ca="1" si="1294"/>
        <v>0</v>
      </c>
      <c r="AK367" s="63">
        <f t="shared" ca="1" si="1295"/>
        <v>0</v>
      </c>
      <c r="AL367" s="63">
        <f ca="1">IF($C367="あり",IF($AD367&gt;=7,N367/$AQ367,0),IF($AD367&gt;=7,$AO367*($AD367-6),0))</f>
        <v>0</v>
      </c>
      <c r="AM367" s="65">
        <f ca="1">IF(C367="あり",O367/AQ367,AP367)</f>
        <v>0</v>
      </c>
      <c r="AN367" s="63">
        <f ca="1">SUM(AE367:AM367)</f>
        <v>0</v>
      </c>
      <c r="AO367" s="68" t="e">
        <f ca="1">1/(AC367+AD367)</f>
        <v>#DIV/0!</v>
      </c>
      <c r="AP367" s="67">
        <v>0</v>
      </c>
      <c r="AQ367" s="68">
        <f ca="1">IF(AC367&gt;=1,G367,0)+SUMIF($H$4:$M$4,"&lt;="&amp;AD367,$H367:$M367)+IF(AD367&gt;=7,N367,0)+O367</f>
        <v>0</v>
      </c>
    </row>
    <row r="368" spans="1:43" x14ac:dyDescent="0.15">
      <c r="A368" s="50"/>
      <c r="B368" s="50"/>
      <c r="C368" s="145">
        <f ca="1">OFFSET(①簡易状況入力!$C$5,MATCH(A365,①簡易状況入力!$C$5:$C$104,0)-1,20)</f>
        <v>0</v>
      </c>
      <c r="D368" s="148" t="s">
        <v>51</v>
      </c>
      <c r="E368" s="56">
        <f t="shared" ref="E368:F368" ca="1" si="1298">E367</f>
        <v>0</v>
      </c>
      <c r="F368" s="56">
        <f t="shared" ca="1" si="1298"/>
        <v>0</v>
      </c>
      <c r="G368" s="104"/>
      <c r="H368" s="104"/>
      <c r="I368" s="104"/>
      <c r="J368" s="104"/>
      <c r="K368" s="104"/>
      <c r="L368" s="104"/>
      <c r="M368" s="104"/>
      <c r="N368" s="104"/>
      <c r="O368" s="106"/>
      <c r="Q368" s="50"/>
      <c r="R368" s="58"/>
      <c r="S368" s="166"/>
      <c r="T368" s="146" t="s">
        <v>34</v>
      </c>
      <c r="U368" s="35">
        <f ca="1">OFFSET(①簡易状況入力!$C$5,MATCH(A365,①簡易状況入力!$C$5:$C$104,0)-1,3)</f>
        <v>0</v>
      </c>
      <c r="V368" s="58"/>
      <c r="W368" s="146" t="s">
        <v>118</v>
      </c>
      <c r="X368" s="37">
        <f ca="1">OFFSET(①簡易状況入力!$C$5,MATCH(A365,①簡易状況入力!$C$5:$C$104,0)-1,7)</f>
        <v>0</v>
      </c>
      <c r="Y368" s="149">
        <f ca="1">OFFSET(①簡易状況入力!$C$5,MATCH(A365,①簡易状況入力!$C$5:$C$104,0)-1,13)</f>
        <v>0</v>
      </c>
      <c r="Z368" s="167">
        <f ca="1">OFFSET(①簡易状況入力!$C$5,MATCH(A365,①簡易状況入力!$C$5:$C$104,0)-1,14)</f>
        <v>0</v>
      </c>
      <c r="AA368" s="168"/>
      <c r="AB368" s="148" t="s">
        <v>51</v>
      </c>
      <c r="AC368" s="56">
        <f t="shared" ref="AC368:AD368" ca="1" si="1299">AC367</f>
        <v>0</v>
      </c>
      <c r="AD368" s="56">
        <f t="shared" ca="1" si="1299"/>
        <v>0</v>
      </c>
      <c r="AE368" s="63">
        <f ca="1">IF($C368="あり",IF(AC368&gt;=1,G368/AQ368,0),IF(AC368&gt;=1,AO368*AC368,0))</f>
        <v>0</v>
      </c>
      <c r="AF368" s="63">
        <f t="shared" ca="1" si="1290"/>
        <v>0</v>
      </c>
      <c r="AG368" s="63">
        <f t="shared" ca="1" si="1291"/>
        <v>0</v>
      </c>
      <c r="AH368" s="63">
        <f t="shared" ca="1" si="1292"/>
        <v>0</v>
      </c>
      <c r="AI368" s="63">
        <f t="shared" ca="1" si="1293"/>
        <v>0</v>
      </c>
      <c r="AJ368" s="63">
        <f t="shared" ca="1" si="1294"/>
        <v>0</v>
      </c>
      <c r="AK368" s="63">
        <f t="shared" ca="1" si="1295"/>
        <v>0</v>
      </c>
      <c r="AL368" s="63">
        <f ca="1">IF($C368="あり",IF($AD368&gt;=7,N368/$AQ368,0),IF($AD368&gt;=7,$AO368*($AD368-6),0))</f>
        <v>0</v>
      </c>
      <c r="AM368" s="65">
        <f ca="1">IF(C368="あり",O368/AQ368,AP368)</f>
        <v>0</v>
      </c>
      <c r="AN368" s="63">
        <f ca="1">SUM(AE368:AM368)</f>
        <v>0</v>
      </c>
      <c r="AO368" s="68" t="e">
        <f ca="1">1/(AC368+AD368)</f>
        <v>#DIV/0!</v>
      </c>
      <c r="AP368" s="67">
        <v>0</v>
      </c>
      <c r="AQ368" s="68">
        <f ca="1">IF(AC368&gt;=1,G368,0)+SUMIF($H$4:$M$4,"&lt;="&amp;AD368,$H368:$M368)+IF(AD368&gt;=7,N368,0)+O368</f>
        <v>0</v>
      </c>
    </row>
    <row r="369" spans="1:43" x14ac:dyDescent="0.15">
      <c r="G369" s="107"/>
      <c r="H369" s="107"/>
      <c r="I369" s="107"/>
      <c r="J369" s="107"/>
      <c r="K369" s="107"/>
      <c r="L369" s="107"/>
      <c r="M369" s="107"/>
      <c r="N369" s="107"/>
      <c r="O369" s="107"/>
    </row>
    <row r="370" spans="1:43" x14ac:dyDescent="0.15">
      <c r="A370" s="59" t="s">
        <v>389</v>
      </c>
      <c r="B370" s="60">
        <f ca="1">OFFSET(①簡易状況入力!$C$5,MATCH(A370,①簡易状況入力!$C$5:$C$104,0)-1,1)</f>
        <v>0</v>
      </c>
      <c r="C370" s="145">
        <f ca="1">OFFSET(①簡易状況入力!$C$5,MATCH(A370,①簡易状況入力!$C$5:$C$104,0)-1,17)</f>
        <v>0</v>
      </c>
      <c r="D370" s="148" t="s">
        <v>47</v>
      </c>
      <c r="E370" s="56">
        <f ca="1">U373</f>
        <v>0</v>
      </c>
      <c r="F370" s="56">
        <f ca="1">U372</f>
        <v>0</v>
      </c>
      <c r="G370" s="102"/>
      <c r="H370" s="103"/>
      <c r="I370" s="103"/>
      <c r="J370" s="103"/>
      <c r="K370" s="103"/>
      <c r="L370" s="103"/>
      <c r="M370" s="103"/>
      <c r="N370" s="103"/>
      <c r="O370" s="103"/>
      <c r="Q370" s="57">
        <f ca="1">OFFSET(①簡易状況入力!$C$5,MATCH(A370,①簡易状況入力!$C$5:$C$104,0)-1,15)</f>
        <v>0</v>
      </c>
      <c r="R370" s="58"/>
      <c r="S370" s="58"/>
      <c r="T370" s="58"/>
      <c r="U370" s="58"/>
      <c r="V370" s="58"/>
      <c r="W370" s="58"/>
      <c r="X370" s="58"/>
      <c r="Y370" s="58"/>
      <c r="Z370" s="58"/>
      <c r="AA370" s="58"/>
      <c r="AB370" s="148" t="s">
        <v>47</v>
      </c>
      <c r="AC370" s="56">
        <f ca="1">U373</f>
        <v>0</v>
      </c>
      <c r="AD370" s="56">
        <f ca="1">U372</f>
        <v>0</v>
      </c>
      <c r="AE370" s="62" t="s">
        <v>46</v>
      </c>
      <c r="AF370" s="62" t="str">
        <f t="shared" ref="AF370" ca="1" si="1300">IF($C370="あり",IF(AF$4&lt;=$AD370,H370,"-"),IF(AF$4&lt;=$AD370,$AO370,"-"))</f>
        <v>-</v>
      </c>
      <c r="AG370" s="62" t="str">
        <f t="shared" ref="AG370" ca="1" si="1301">IF($C370="あり",IF(AG$4&lt;=$AD370,I370,"-"),IF(AG$4&lt;=$AD370,$AO370,"-"))</f>
        <v>-</v>
      </c>
      <c r="AH370" s="62" t="str">
        <f t="shared" ref="AH370" ca="1" si="1302">IF($C370="あり",IF(AH$4&lt;=$AD370,J370,"-"),IF(AH$4&lt;=$AD370,$AO370,"-"))</f>
        <v>-</v>
      </c>
      <c r="AI370" s="62" t="str">
        <f t="shared" ref="AI370" ca="1" si="1303">IF($C370="あり",IF(AI$4&lt;=$AD370,K370,"-"),IF(AI$4&lt;=$AD370,$AO370,"-"))</f>
        <v>-</v>
      </c>
      <c r="AJ370" s="62" t="str">
        <f t="shared" ref="AJ370" ca="1" si="1304">IF($C370="あり",IF(AJ$4&lt;=$AD370,L370,"-"),IF(AJ$4&lt;=$AD370,$AO370,"-"))</f>
        <v>-</v>
      </c>
      <c r="AK370" s="62" t="str">
        <f t="shared" ref="AK370" ca="1" si="1305">IF($C370="あり",IF(AK$4&lt;=$AD370,M370,"-"),IF(AK$4&lt;=$AD370,$AO370,"-"))</f>
        <v>-</v>
      </c>
      <c r="AL370" s="62" t="str">
        <f ca="1">IF($C370="あり",IF(7&lt;=$AD370,N370,"-"),IF(7&lt;=$AD370,$AO370*($AD370-6),"-"))</f>
        <v>-</v>
      </c>
      <c r="AM370" s="62">
        <f ca="1">IF(C370="あり",O370,AP370)</f>
        <v>0</v>
      </c>
      <c r="AN370" s="62">
        <f ca="1">SUM(U371,AF370:AM370)</f>
        <v>0</v>
      </c>
      <c r="AO370" s="42">
        <f ca="1">OFFSET(【DB】被害率係数!$A$4,MATCH(②詳細状況入力!$Y371,【DB】被害率係数!$A$4:$A$19,0)-1,16)</f>
        <v>0</v>
      </c>
      <c r="AP370" s="42">
        <f ca="1">OFFSET(【DB】被害率係数!$A$4,MATCH(②詳細状況入力!$Y371,【DB】被害率係数!$A$4:$A$19,0)-1,17)</f>
        <v>0</v>
      </c>
      <c r="AQ370" s="42"/>
    </row>
    <row r="371" spans="1:43" x14ac:dyDescent="0.15">
      <c r="A371" s="50"/>
      <c r="B371" s="50"/>
      <c r="C371" s="145">
        <f ca="1">OFFSET(①簡易状況入力!$C$5,MATCH(A370,①簡易状況入力!$C$5:$C$104,0)-1,18)</f>
        <v>0</v>
      </c>
      <c r="D371" s="148" t="s">
        <v>52</v>
      </c>
      <c r="E371" s="56">
        <f t="shared" ref="E371:F371" ca="1" si="1306">E370</f>
        <v>0</v>
      </c>
      <c r="F371" s="56">
        <f t="shared" ca="1" si="1306"/>
        <v>0</v>
      </c>
      <c r="G371" s="104"/>
      <c r="H371" s="104"/>
      <c r="I371" s="104"/>
      <c r="J371" s="104"/>
      <c r="K371" s="104"/>
      <c r="L371" s="104"/>
      <c r="M371" s="104"/>
      <c r="N371" s="104"/>
      <c r="O371" s="105"/>
      <c r="Q371" s="57">
        <f ca="1">OFFSET(①簡易状況入力!$C$5,MATCH(A370,①簡易状況入力!$C$5:$C$104,0)-1,16)</f>
        <v>0</v>
      </c>
      <c r="R371" s="58"/>
      <c r="S371" s="146" t="s">
        <v>115</v>
      </c>
      <c r="T371" s="146" t="s">
        <v>116</v>
      </c>
      <c r="U371" s="36">
        <f ca="1">OFFSET(①簡易状況入力!$C$5,MATCH(A370,①簡易状況入力!$C$5:$C$104,0)-1,4)</f>
        <v>0</v>
      </c>
      <c r="V371" s="58"/>
      <c r="W371" s="146" t="s">
        <v>30</v>
      </c>
      <c r="X371" s="37">
        <f ca="1">OFFSET(①簡易状況入力!$C$5,MATCH(A370,①簡易状況入力!$C$5:$C$104,0)-1,5)</f>
        <v>0</v>
      </c>
      <c r="Y371" s="149">
        <f ca="1">OFFSET(①簡易状況入力!$C$5,MATCH(A370,①簡易状況入力!$C$5:$C$104,0)-1,8)</f>
        <v>0</v>
      </c>
      <c r="Z371" s="149">
        <f ca="1">OFFSET(①簡易状況入力!$C$5,MATCH(A370,①簡易状況入力!$C$5:$C$104,0)-1,9)</f>
        <v>0</v>
      </c>
      <c r="AA371" s="149">
        <f ca="1">OFFSET(①簡易状況入力!$C$5,MATCH(A370,①簡易状況入力!$C$5:$C$104,0)-1,10)</f>
        <v>0</v>
      </c>
      <c r="AB371" s="148" t="s">
        <v>52</v>
      </c>
      <c r="AC371" s="56">
        <f t="shared" ref="AC371:AD371" ca="1" si="1307">AC370</f>
        <v>0</v>
      </c>
      <c r="AD371" s="56">
        <f t="shared" ca="1" si="1307"/>
        <v>0</v>
      </c>
      <c r="AE371" s="63">
        <f ca="1">IF($C371="あり",IF(AC371&gt;=1,G371/AQ371,0),IF(AC371&gt;=1,AO371*AC371,0))</f>
        <v>0</v>
      </c>
      <c r="AF371" s="63">
        <f t="shared" ref="AF371:AF373" ca="1" si="1308">IF($C371="あり",IF($AD371&gt;=AF$4,H371/$AQ371,0),IF($AD371&gt;=AF$4,$AO371,0))</f>
        <v>0</v>
      </c>
      <c r="AG371" s="63">
        <f t="shared" ref="AG371:AG373" ca="1" si="1309">IF($C371="あり",IF($AD371&gt;=AG$4,I371/$AQ371,0),IF($AD371&gt;=AG$4,$AO371,0))</f>
        <v>0</v>
      </c>
      <c r="AH371" s="63">
        <f t="shared" ref="AH371:AH373" ca="1" si="1310">IF($C371="あり",IF($AD371&gt;=AH$4,J371/$AQ371,0),IF($AD371&gt;=AH$4,$AO371,0))</f>
        <v>0</v>
      </c>
      <c r="AI371" s="63">
        <f t="shared" ref="AI371:AI373" ca="1" si="1311">IF($C371="あり",IF($AD371&gt;=AI$4,K371/$AQ371,0),IF($AD371&gt;=AI$4,$AO371,0))</f>
        <v>0</v>
      </c>
      <c r="AJ371" s="63">
        <f t="shared" ref="AJ371:AJ373" ca="1" si="1312">IF($C371="あり",IF($AD371&gt;=AJ$4,L371/$AQ371,0),IF($AD371&gt;=AJ$4,$AO371,0))</f>
        <v>0</v>
      </c>
      <c r="AK371" s="63">
        <f t="shared" ref="AK371:AK373" ca="1" si="1313">IF($C371="あり",IF($AD371&gt;=AK$4,M371/$AQ371,0),IF($AD371&gt;=AK$4,$AO371,0))</f>
        <v>0</v>
      </c>
      <c r="AL371" s="63">
        <f ca="1">IF($C371="あり",IF($AD371&gt;=7,N371/$AQ371,0),IF($AD371&gt;=7,$AO371*($AD371-6),0))</f>
        <v>0</v>
      </c>
      <c r="AM371" s="64" t="s">
        <v>46</v>
      </c>
      <c r="AN371" s="63">
        <f ca="1">SUM(AE371:AM371)</f>
        <v>0</v>
      </c>
      <c r="AO371" s="68" t="e">
        <f ca="1">1/(AC371+AD371)</f>
        <v>#DIV/0!</v>
      </c>
      <c r="AP371" s="67">
        <v>0</v>
      </c>
      <c r="AQ371" s="68">
        <f ca="1">IF(AC371&gt;=1,G371,0)+SUMIF($H$4:$M$4,"&lt;="&amp;AD371,$H371:$M371)+IF(AD371&gt;=7,N371,0)</f>
        <v>0</v>
      </c>
    </row>
    <row r="372" spans="1:43" x14ac:dyDescent="0.15">
      <c r="A372" s="50"/>
      <c r="B372" s="50"/>
      <c r="C372" s="145">
        <f ca="1">OFFSET(①簡易状況入力!$C$5,MATCH(A370,①簡易状況入力!$C$5:$C$104,0)-1,19)</f>
        <v>0</v>
      </c>
      <c r="D372" s="148" t="s">
        <v>50</v>
      </c>
      <c r="E372" s="56">
        <f t="shared" ref="E372" ca="1" si="1314">E371</f>
        <v>0</v>
      </c>
      <c r="F372" s="56">
        <f ca="1">F371</f>
        <v>0</v>
      </c>
      <c r="G372" s="104"/>
      <c r="H372" s="104"/>
      <c r="I372" s="104"/>
      <c r="J372" s="104"/>
      <c r="K372" s="104"/>
      <c r="L372" s="104"/>
      <c r="M372" s="104"/>
      <c r="N372" s="104"/>
      <c r="O372" s="106"/>
      <c r="Q372" s="50"/>
      <c r="R372" s="58"/>
      <c r="S372" s="165" t="s">
        <v>28</v>
      </c>
      <c r="T372" s="146" t="s">
        <v>35</v>
      </c>
      <c r="U372" s="35">
        <f ca="1">OFFSET(①簡易状況入力!$C$5,MATCH(A370,①簡易状況入力!$C$5:$C$104,0)-1,2)</f>
        <v>0</v>
      </c>
      <c r="V372" s="58"/>
      <c r="W372" s="146" t="s">
        <v>33</v>
      </c>
      <c r="X372" s="37">
        <f ca="1">OFFSET(①簡易状況入力!$C$5,MATCH(A370,①簡易状況入力!$C$5:$C$104,0)-1,6)</f>
        <v>0</v>
      </c>
      <c r="Y372" s="149">
        <f ca="1">OFFSET(①簡易状況入力!$C$5,MATCH(A370,①簡易状況入力!$C$5:$C$104,0)-1,11)</f>
        <v>0</v>
      </c>
      <c r="Z372" s="167">
        <f ca="1">OFFSET(①簡易状況入力!$C$5,MATCH(A370,①簡易状況入力!$C$5:$C$104,0)-1,12)</f>
        <v>0</v>
      </c>
      <c r="AA372" s="168"/>
      <c r="AB372" s="148" t="s">
        <v>50</v>
      </c>
      <c r="AC372" s="56">
        <f t="shared" ref="AC372:AD372" ca="1" si="1315">AC371</f>
        <v>0</v>
      </c>
      <c r="AD372" s="56">
        <f t="shared" ca="1" si="1315"/>
        <v>0</v>
      </c>
      <c r="AE372" s="63">
        <f ca="1">IF($C372="あり",IF(AC372&gt;=1,G372/AQ372,0),IF(AC372&gt;=1,AO372*AC372,0))</f>
        <v>0</v>
      </c>
      <c r="AF372" s="63">
        <f t="shared" ca="1" si="1308"/>
        <v>0</v>
      </c>
      <c r="AG372" s="63">
        <f t="shared" ca="1" si="1309"/>
        <v>0</v>
      </c>
      <c r="AH372" s="63">
        <f t="shared" ca="1" si="1310"/>
        <v>0</v>
      </c>
      <c r="AI372" s="63">
        <f t="shared" ca="1" si="1311"/>
        <v>0</v>
      </c>
      <c r="AJ372" s="63">
        <f t="shared" ca="1" si="1312"/>
        <v>0</v>
      </c>
      <c r="AK372" s="63">
        <f t="shared" ca="1" si="1313"/>
        <v>0</v>
      </c>
      <c r="AL372" s="63">
        <f ca="1">IF($C372="あり",IF($AD372&gt;=7,N372/$AQ372,0),IF($AD372&gt;=7,$AO372*($AD372-6),0))</f>
        <v>0</v>
      </c>
      <c r="AM372" s="65">
        <f ca="1">IF(C372="あり",O372/AQ372,AP372)</f>
        <v>0</v>
      </c>
      <c r="AN372" s="63">
        <f ca="1">SUM(AE372:AM372)</f>
        <v>0</v>
      </c>
      <c r="AO372" s="68" t="e">
        <f ca="1">1/(AC372+AD372)</f>
        <v>#DIV/0!</v>
      </c>
      <c r="AP372" s="67">
        <v>0</v>
      </c>
      <c r="AQ372" s="68">
        <f ca="1">IF(AC372&gt;=1,G372,0)+SUMIF($H$4:$M$4,"&lt;="&amp;AD372,$H372:$M372)+IF(AD372&gt;=7,N372,0)+O372</f>
        <v>0</v>
      </c>
    </row>
    <row r="373" spans="1:43" x14ac:dyDescent="0.15">
      <c r="A373" s="50"/>
      <c r="B373" s="50"/>
      <c r="C373" s="145">
        <f ca="1">OFFSET(①簡易状況入力!$C$5,MATCH(A370,①簡易状況入力!$C$5:$C$104,0)-1,20)</f>
        <v>0</v>
      </c>
      <c r="D373" s="148" t="s">
        <v>51</v>
      </c>
      <c r="E373" s="56">
        <f t="shared" ref="E373:F373" ca="1" si="1316">E372</f>
        <v>0</v>
      </c>
      <c r="F373" s="56">
        <f t="shared" ca="1" si="1316"/>
        <v>0</v>
      </c>
      <c r="G373" s="104"/>
      <c r="H373" s="104"/>
      <c r="I373" s="104"/>
      <c r="J373" s="104"/>
      <c r="K373" s="104"/>
      <c r="L373" s="104"/>
      <c r="M373" s="104"/>
      <c r="N373" s="104"/>
      <c r="O373" s="106"/>
      <c r="Q373" s="50"/>
      <c r="R373" s="58"/>
      <c r="S373" s="166"/>
      <c r="T373" s="146" t="s">
        <v>34</v>
      </c>
      <c r="U373" s="35">
        <f ca="1">OFFSET(①簡易状況入力!$C$5,MATCH(A370,①簡易状況入力!$C$5:$C$104,0)-1,3)</f>
        <v>0</v>
      </c>
      <c r="V373" s="58"/>
      <c r="W373" s="146" t="s">
        <v>118</v>
      </c>
      <c r="X373" s="37">
        <f ca="1">OFFSET(①簡易状況入力!$C$5,MATCH(A370,①簡易状況入力!$C$5:$C$104,0)-1,7)</f>
        <v>0</v>
      </c>
      <c r="Y373" s="149">
        <f ca="1">OFFSET(①簡易状況入力!$C$5,MATCH(A370,①簡易状況入力!$C$5:$C$104,0)-1,13)</f>
        <v>0</v>
      </c>
      <c r="Z373" s="167">
        <f ca="1">OFFSET(①簡易状況入力!$C$5,MATCH(A370,①簡易状況入力!$C$5:$C$104,0)-1,14)</f>
        <v>0</v>
      </c>
      <c r="AA373" s="168"/>
      <c r="AB373" s="148" t="s">
        <v>51</v>
      </c>
      <c r="AC373" s="56">
        <f t="shared" ref="AC373:AD373" ca="1" si="1317">AC372</f>
        <v>0</v>
      </c>
      <c r="AD373" s="56">
        <f t="shared" ca="1" si="1317"/>
        <v>0</v>
      </c>
      <c r="AE373" s="63">
        <f ca="1">IF($C373="あり",IF(AC373&gt;=1,G373/AQ373,0),IF(AC373&gt;=1,AO373*AC373,0))</f>
        <v>0</v>
      </c>
      <c r="AF373" s="63">
        <f t="shared" ca="1" si="1308"/>
        <v>0</v>
      </c>
      <c r="AG373" s="63">
        <f t="shared" ca="1" si="1309"/>
        <v>0</v>
      </c>
      <c r="AH373" s="63">
        <f t="shared" ca="1" si="1310"/>
        <v>0</v>
      </c>
      <c r="AI373" s="63">
        <f t="shared" ca="1" si="1311"/>
        <v>0</v>
      </c>
      <c r="AJ373" s="63">
        <f t="shared" ca="1" si="1312"/>
        <v>0</v>
      </c>
      <c r="AK373" s="63">
        <f t="shared" ca="1" si="1313"/>
        <v>0</v>
      </c>
      <c r="AL373" s="63">
        <f ca="1">IF($C373="あり",IF($AD373&gt;=7,N373/$AQ373,0),IF($AD373&gt;=7,$AO373*($AD373-6),0))</f>
        <v>0</v>
      </c>
      <c r="AM373" s="65">
        <f ca="1">IF(C373="あり",O373/AQ373,AP373)</f>
        <v>0</v>
      </c>
      <c r="AN373" s="63">
        <f ca="1">SUM(AE373:AM373)</f>
        <v>0</v>
      </c>
      <c r="AO373" s="68" t="e">
        <f ca="1">1/(AC373+AD373)</f>
        <v>#DIV/0!</v>
      </c>
      <c r="AP373" s="67">
        <v>0</v>
      </c>
      <c r="AQ373" s="68">
        <f ca="1">IF(AC373&gt;=1,G373,0)+SUMIF($H$4:$M$4,"&lt;="&amp;AD373,$H373:$M373)+IF(AD373&gt;=7,N373,0)+O373</f>
        <v>0</v>
      </c>
    </row>
    <row r="374" spans="1:43" x14ac:dyDescent="0.15">
      <c r="G374" s="107"/>
      <c r="H374" s="107"/>
      <c r="I374" s="107"/>
      <c r="J374" s="107"/>
      <c r="K374" s="107"/>
      <c r="L374" s="107"/>
      <c r="M374" s="107"/>
      <c r="N374" s="107"/>
      <c r="O374" s="107"/>
    </row>
    <row r="375" spans="1:43" x14ac:dyDescent="0.15">
      <c r="A375" s="59" t="s">
        <v>390</v>
      </c>
      <c r="B375" s="60">
        <f ca="1">OFFSET(①簡易状況入力!$C$5,MATCH(A375,①簡易状況入力!$C$5:$C$104,0)-1,1)</f>
        <v>0</v>
      </c>
      <c r="C375" s="145">
        <f ca="1">OFFSET(①簡易状況入力!$C$5,MATCH(A375,①簡易状況入力!$C$5:$C$104,0)-1,17)</f>
        <v>0</v>
      </c>
      <c r="D375" s="148" t="s">
        <v>47</v>
      </c>
      <c r="E375" s="56">
        <f ca="1">U378</f>
        <v>0</v>
      </c>
      <c r="F375" s="56">
        <f ca="1">U377</f>
        <v>0</v>
      </c>
      <c r="G375" s="102"/>
      <c r="H375" s="103"/>
      <c r="I375" s="103"/>
      <c r="J375" s="103"/>
      <c r="K375" s="103"/>
      <c r="L375" s="103"/>
      <c r="M375" s="103"/>
      <c r="N375" s="103"/>
      <c r="O375" s="103"/>
      <c r="Q375" s="57">
        <f ca="1">OFFSET(①簡易状況入力!$C$5,MATCH(A375,①簡易状況入力!$C$5:$C$104,0)-1,15)</f>
        <v>0</v>
      </c>
      <c r="R375" s="58"/>
      <c r="S375" s="58"/>
      <c r="T375" s="58"/>
      <c r="U375" s="58"/>
      <c r="V375" s="58"/>
      <c r="W375" s="58"/>
      <c r="X375" s="58"/>
      <c r="Y375" s="58"/>
      <c r="Z375" s="58"/>
      <c r="AA375" s="58"/>
      <c r="AB375" s="148" t="s">
        <v>47</v>
      </c>
      <c r="AC375" s="56">
        <f ca="1">U378</f>
        <v>0</v>
      </c>
      <c r="AD375" s="56">
        <f ca="1">U377</f>
        <v>0</v>
      </c>
      <c r="AE375" s="62" t="s">
        <v>46</v>
      </c>
      <c r="AF375" s="62" t="str">
        <f t="shared" ref="AF375" ca="1" si="1318">IF($C375="あり",IF(AF$4&lt;=$AD375,H375,"-"),IF(AF$4&lt;=$AD375,$AO375,"-"))</f>
        <v>-</v>
      </c>
      <c r="AG375" s="62" t="str">
        <f t="shared" ref="AG375" ca="1" si="1319">IF($C375="あり",IF(AG$4&lt;=$AD375,I375,"-"),IF(AG$4&lt;=$AD375,$AO375,"-"))</f>
        <v>-</v>
      </c>
      <c r="AH375" s="62" t="str">
        <f t="shared" ref="AH375" ca="1" si="1320">IF($C375="あり",IF(AH$4&lt;=$AD375,J375,"-"),IF(AH$4&lt;=$AD375,$AO375,"-"))</f>
        <v>-</v>
      </c>
      <c r="AI375" s="62" t="str">
        <f t="shared" ref="AI375" ca="1" si="1321">IF($C375="あり",IF(AI$4&lt;=$AD375,K375,"-"),IF(AI$4&lt;=$AD375,$AO375,"-"))</f>
        <v>-</v>
      </c>
      <c r="AJ375" s="62" t="str">
        <f t="shared" ref="AJ375" ca="1" si="1322">IF($C375="あり",IF(AJ$4&lt;=$AD375,L375,"-"),IF(AJ$4&lt;=$AD375,$AO375,"-"))</f>
        <v>-</v>
      </c>
      <c r="AK375" s="62" t="str">
        <f t="shared" ref="AK375" ca="1" si="1323">IF($C375="あり",IF(AK$4&lt;=$AD375,M375,"-"),IF(AK$4&lt;=$AD375,$AO375,"-"))</f>
        <v>-</v>
      </c>
      <c r="AL375" s="62" t="str">
        <f ca="1">IF($C375="あり",IF(7&lt;=$AD375,N375,"-"),IF(7&lt;=$AD375,$AO375*($AD375-6),"-"))</f>
        <v>-</v>
      </c>
      <c r="AM375" s="62">
        <f ca="1">IF(C375="あり",O375,AP375)</f>
        <v>0</v>
      </c>
      <c r="AN375" s="62">
        <f ca="1">SUM(U376,AF375:AM375)</f>
        <v>0</v>
      </c>
      <c r="AO375" s="42">
        <f ca="1">OFFSET(【DB】被害率係数!$A$4,MATCH(②詳細状況入力!$Y376,【DB】被害率係数!$A$4:$A$19,0)-1,16)</f>
        <v>0</v>
      </c>
      <c r="AP375" s="42">
        <f ca="1">OFFSET(【DB】被害率係数!$A$4,MATCH(②詳細状況入力!$Y376,【DB】被害率係数!$A$4:$A$19,0)-1,17)</f>
        <v>0</v>
      </c>
      <c r="AQ375" s="42"/>
    </row>
    <row r="376" spans="1:43" x14ac:dyDescent="0.15">
      <c r="A376" s="50"/>
      <c r="B376" s="50"/>
      <c r="C376" s="145">
        <f ca="1">OFFSET(①簡易状況入力!$C$5,MATCH(A375,①簡易状況入力!$C$5:$C$104,0)-1,18)</f>
        <v>0</v>
      </c>
      <c r="D376" s="148" t="s">
        <v>52</v>
      </c>
      <c r="E376" s="56">
        <f t="shared" ref="E376:F376" ca="1" si="1324">E375</f>
        <v>0</v>
      </c>
      <c r="F376" s="56">
        <f t="shared" ca="1" si="1324"/>
        <v>0</v>
      </c>
      <c r="G376" s="104"/>
      <c r="H376" s="104"/>
      <c r="I376" s="104"/>
      <c r="J376" s="104"/>
      <c r="K376" s="104"/>
      <c r="L376" s="104"/>
      <c r="M376" s="104"/>
      <c r="N376" s="104"/>
      <c r="O376" s="105"/>
      <c r="Q376" s="57">
        <f ca="1">OFFSET(①簡易状況入力!$C$5,MATCH(A375,①簡易状況入力!$C$5:$C$104,0)-1,16)</f>
        <v>0</v>
      </c>
      <c r="R376" s="58"/>
      <c r="S376" s="146" t="s">
        <v>115</v>
      </c>
      <c r="T376" s="146" t="s">
        <v>116</v>
      </c>
      <c r="U376" s="36">
        <f ca="1">OFFSET(①簡易状況入力!$C$5,MATCH(A375,①簡易状況入力!$C$5:$C$104,0)-1,4)</f>
        <v>0</v>
      </c>
      <c r="V376" s="58"/>
      <c r="W376" s="146" t="s">
        <v>30</v>
      </c>
      <c r="X376" s="37">
        <f ca="1">OFFSET(①簡易状況入力!$C$5,MATCH(A375,①簡易状況入力!$C$5:$C$104,0)-1,5)</f>
        <v>0</v>
      </c>
      <c r="Y376" s="149">
        <f ca="1">OFFSET(①簡易状況入力!$C$5,MATCH(A375,①簡易状況入力!$C$5:$C$104,0)-1,8)</f>
        <v>0</v>
      </c>
      <c r="Z376" s="149">
        <f ca="1">OFFSET(①簡易状況入力!$C$5,MATCH(A375,①簡易状況入力!$C$5:$C$104,0)-1,9)</f>
        <v>0</v>
      </c>
      <c r="AA376" s="149">
        <f ca="1">OFFSET(①簡易状況入力!$C$5,MATCH(A375,①簡易状況入力!$C$5:$C$104,0)-1,10)</f>
        <v>0</v>
      </c>
      <c r="AB376" s="148" t="s">
        <v>52</v>
      </c>
      <c r="AC376" s="56">
        <f t="shared" ref="AC376:AD376" ca="1" si="1325">AC375</f>
        <v>0</v>
      </c>
      <c r="AD376" s="56">
        <f t="shared" ca="1" si="1325"/>
        <v>0</v>
      </c>
      <c r="AE376" s="63">
        <f ca="1">IF($C376="あり",IF(AC376&gt;=1,G376/AQ376,0),IF(AC376&gt;=1,AO376*AC376,0))</f>
        <v>0</v>
      </c>
      <c r="AF376" s="63">
        <f t="shared" ref="AF376:AF378" ca="1" si="1326">IF($C376="あり",IF($AD376&gt;=AF$4,H376/$AQ376,0),IF($AD376&gt;=AF$4,$AO376,0))</f>
        <v>0</v>
      </c>
      <c r="AG376" s="63">
        <f t="shared" ref="AG376:AG378" ca="1" si="1327">IF($C376="あり",IF($AD376&gt;=AG$4,I376/$AQ376,0),IF($AD376&gt;=AG$4,$AO376,0))</f>
        <v>0</v>
      </c>
      <c r="AH376" s="63">
        <f t="shared" ref="AH376:AH378" ca="1" si="1328">IF($C376="あり",IF($AD376&gt;=AH$4,J376/$AQ376,0),IF($AD376&gt;=AH$4,$AO376,0))</f>
        <v>0</v>
      </c>
      <c r="AI376" s="63">
        <f t="shared" ref="AI376:AI378" ca="1" si="1329">IF($C376="あり",IF($AD376&gt;=AI$4,K376/$AQ376,0),IF($AD376&gt;=AI$4,$AO376,0))</f>
        <v>0</v>
      </c>
      <c r="AJ376" s="63">
        <f t="shared" ref="AJ376:AJ378" ca="1" si="1330">IF($C376="あり",IF($AD376&gt;=AJ$4,L376/$AQ376,0),IF($AD376&gt;=AJ$4,$AO376,0))</f>
        <v>0</v>
      </c>
      <c r="AK376" s="63">
        <f t="shared" ref="AK376:AK378" ca="1" si="1331">IF($C376="あり",IF($AD376&gt;=AK$4,M376/$AQ376,0),IF($AD376&gt;=AK$4,$AO376,0))</f>
        <v>0</v>
      </c>
      <c r="AL376" s="63">
        <f ca="1">IF($C376="あり",IF($AD376&gt;=7,N376/$AQ376,0),IF($AD376&gt;=7,$AO376*($AD376-6),0))</f>
        <v>0</v>
      </c>
      <c r="AM376" s="64" t="s">
        <v>46</v>
      </c>
      <c r="AN376" s="63">
        <f ca="1">SUM(AE376:AM376)</f>
        <v>0</v>
      </c>
      <c r="AO376" s="68" t="e">
        <f ca="1">1/(AC376+AD376)</f>
        <v>#DIV/0!</v>
      </c>
      <c r="AP376" s="67">
        <v>0</v>
      </c>
      <c r="AQ376" s="68">
        <f ca="1">IF(AC376&gt;=1,G376,0)+SUMIF($H$4:$M$4,"&lt;="&amp;AD376,$H376:$M376)+IF(AD376&gt;=7,N376,0)</f>
        <v>0</v>
      </c>
    </row>
    <row r="377" spans="1:43" x14ac:dyDescent="0.15">
      <c r="A377" s="50"/>
      <c r="B377" s="50"/>
      <c r="C377" s="145">
        <f ca="1">OFFSET(①簡易状況入力!$C$5,MATCH(A375,①簡易状況入力!$C$5:$C$104,0)-1,19)</f>
        <v>0</v>
      </c>
      <c r="D377" s="148" t="s">
        <v>50</v>
      </c>
      <c r="E377" s="56">
        <f t="shared" ref="E377" ca="1" si="1332">E376</f>
        <v>0</v>
      </c>
      <c r="F377" s="56">
        <f ca="1">F376</f>
        <v>0</v>
      </c>
      <c r="G377" s="104"/>
      <c r="H377" s="104"/>
      <c r="I377" s="104"/>
      <c r="J377" s="104"/>
      <c r="K377" s="104"/>
      <c r="L377" s="104"/>
      <c r="M377" s="104"/>
      <c r="N377" s="104"/>
      <c r="O377" s="106"/>
      <c r="Q377" s="50"/>
      <c r="R377" s="58"/>
      <c r="S377" s="165" t="s">
        <v>28</v>
      </c>
      <c r="T377" s="146" t="s">
        <v>35</v>
      </c>
      <c r="U377" s="35">
        <f ca="1">OFFSET(①簡易状況入力!$C$5,MATCH(A375,①簡易状況入力!$C$5:$C$104,0)-1,2)</f>
        <v>0</v>
      </c>
      <c r="V377" s="58"/>
      <c r="W377" s="146" t="s">
        <v>33</v>
      </c>
      <c r="X377" s="37">
        <f ca="1">OFFSET(①簡易状況入力!$C$5,MATCH(A375,①簡易状況入力!$C$5:$C$104,0)-1,6)</f>
        <v>0</v>
      </c>
      <c r="Y377" s="149">
        <f ca="1">OFFSET(①簡易状況入力!$C$5,MATCH(A375,①簡易状況入力!$C$5:$C$104,0)-1,11)</f>
        <v>0</v>
      </c>
      <c r="Z377" s="167">
        <f ca="1">OFFSET(①簡易状況入力!$C$5,MATCH(A375,①簡易状況入力!$C$5:$C$104,0)-1,12)</f>
        <v>0</v>
      </c>
      <c r="AA377" s="168"/>
      <c r="AB377" s="148" t="s">
        <v>50</v>
      </c>
      <c r="AC377" s="56">
        <f t="shared" ref="AC377:AD377" ca="1" si="1333">AC376</f>
        <v>0</v>
      </c>
      <c r="AD377" s="56">
        <f t="shared" ca="1" si="1333"/>
        <v>0</v>
      </c>
      <c r="AE377" s="63">
        <f ca="1">IF($C377="あり",IF(AC377&gt;=1,G377/AQ377,0),IF(AC377&gt;=1,AO377*AC377,0))</f>
        <v>0</v>
      </c>
      <c r="AF377" s="63">
        <f t="shared" ca="1" si="1326"/>
        <v>0</v>
      </c>
      <c r="AG377" s="63">
        <f t="shared" ca="1" si="1327"/>
        <v>0</v>
      </c>
      <c r="AH377" s="63">
        <f t="shared" ca="1" si="1328"/>
        <v>0</v>
      </c>
      <c r="AI377" s="63">
        <f t="shared" ca="1" si="1329"/>
        <v>0</v>
      </c>
      <c r="AJ377" s="63">
        <f t="shared" ca="1" si="1330"/>
        <v>0</v>
      </c>
      <c r="AK377" s="63">
        <f t="shared" ca="1" si="1331"/>
        <v>0</v>
      </c>
      <c r="AL377" s="63">
        <f ca="1">IF($C377="あり",IF($AD377&gt;=7,N377/$AQ377,0),IF($AD377&gt;=7,$AO377*($AD377-6),0))</f>
        <v>0</v>
      </c>
      <c r="AM377" s="65">
        <f ca="1">IF(C377="あり",O377/AQ377,AP377)</f>
        <v>0</v>
      </c>
      <c r="AN377" s="63">
        <f ca="1">SUM(AE377:AM377)</f>
        <v>0</v>
      </c>
      <c r="AO377" s="68" t="e">
        <f ca="1">1/(AC377+AD377)</f>
        <v>#DIV/0!</v>
      </c>
      <c r="AP377" s="67">
        <v>0</v>
      </c>
      <c r="AQ377" s="68">
        <f ca="1">IF(AC377&gt;=1,G377,0)+SUMIF($H$4:$M$4,"&lt;="&amp;AD377,$H377:$M377)+IF(AD377&gt;=7,N377,0)+O377</f>
        <v>0</v>
      </c>
    </row>
    <row r="378" spans="1:43" x14ac:dyDescent="0.15">
      <c r="A378" s="50"/>
      <c r="B378" s="50"/>
      <c r="C378" s="145">
        <f ca="1">OFFSET(①簡易状況入力!$C$5,MATCH(A375,①簡易状況入力!$C$5:$C$104,0)-1,20)</f>
        <v>0</v>
      </c>
      <c r="D378" s="148" t="s">
        <v>51</v>
      </c>
      <c r="E378" s="56">
        <f t="shared" ref="E378:F378" ca="1" si="1334">E377</f>
        <v>0</v>
      </c>
      <c r="F378" s="56">
        <f t="shared" ca="1" si="1334"/>
        <v>0</v>
      </c>
      <c r="G378" s="104"/>
      <c r="H378" s="104"/>
      <c r="I378" s="104"/>
      <c r="J378" s="104"/>
      <c r="K378" s="104"/>
      <c r="L378" s="104"/>
      <c r="M378" s="104"/>
      <c r="N378" s="104"/>
      <c r="O378" s="106"/>
      <c r="Q378" s="50"/>
      <c r="R378" s="58"/>
      <c r="S378" s="166"/>
      <c r="T378" s="146" t="s">
        <v>34</v>
      </c>
      <c r="U378" s="35">
        <f ca="1">OFFSET(①簡易状況入力!$C$5,MATCH(A375,①簡易状況入力!$C$5:$C$104,0)-1,3)</f>
        <v>0</v>
      </c>
      <c r="V378" s="58"/>
      <c r="W378" s="146" t="s">
        <v>118</v>
      </c>
      <c r="X378" s="37">
        <f ca="1">OFFSET(①簡易状況入力!$C$5,MATCH(A375,①簡易状況入力!$C$5:$C$104,0)-1,7)</f>
        <v>0</v>
      </c>
      <c r="Y378" s="149">
        <f ca="1">OFFSET(①簡易状況入力!$C$5,MATCH(A375,①簡易状況入力!$C$5:$C$104,0)-1,13)</f>
        <v>0</v>
      </c>
      <c r="Z378" s="167">
        <f ca="1">OFFSET(①簡易状況入力!$C$5,MATCH(A375,①簡易状況入力!$C$5:$C$104,0)-1,14)</f>
        <v>0</v>
      </c>
      <c r="AA378" s="168"/>
      <c r="AB378" s="148" t="s">
        <v>51</v>
      </c>
      <c r="AC378" s="56">
        <f t="shared" ref="AC378:AD378" ca="1" si="1335">AC377</f>
        <v>0</v>
      </c>
      <c r="AD378" s="56">
        <f t="shared" ca="1" si="1335"/>
        <v>0</v>
      </c>
      <c r="AE378" s="63">
        <f ca="1">IF($C378="あり",IF(AC378&gt;=1,G378/AQ378,0),IF(AC378&gt;=1,AO378*AC378,0))</f>
        <v>0</v>
      </c>
      <c r="AF378" s="63">
        <f t="shared" ca="1" si="1326"/>
        <v>0</v>
      </c>
      <c r="AG378" s="63">
        <f t="shared" ca="1" si="1327"/>
        <v>0</v>
      </c>
      <c r="AH378" s="63">
        <f t="shared" ca="1" si="1328"/>
        <v>0</v>
      </c>
      <c r="AI378" s="63">
        <f t="shared" ca="1" si="1329"/>
        <v>0</v>
      </c>
      <c r="AJ378" s="63">
        <f t="shared" ca="1" si="1330"/>
        <v>0</v>
      </c>
      <c r="AK378" s="63">
        <f t="shared" ca="1" si="1331"/>
        <v>0</v>
      </c>
      <c r="AL378" s="63">
        <f ca="1">IF($C378="あり",IF($AD378&gt;=7,N378/$AQ378,0),IF($AD378&gt;=7,$AO378*($AD378-6),0))</f>
        <v>0</v>
      </c>
      <c r="AM378" s="65">
        <f ca="1">IF(C378="あり",O378/AQ378,AP378)</f>
        <v>0</v>
      </c>
      <c r="AN378" s="63">
        <f ca="1">SUM(AE378:AM378)</f>
        <v>0</v>
      </c>
      <c r="AO378" s="68" t="e">
        <f ca="1">1/(AC378+AD378)</f>
        <v>#DIV/0!</v>
      </c>
      <c r="AP378" s="67">
        <v>0</v>
      </c>
      <c r="AQ378" s="68">
        <f ca="1">IF(AC378&gt;=1,G378,0)+SUMIF($H$4:$M$4,"&lt;="&amp;AD378,$H378:$M378)+IF(AD378&gt;=7,N378,0)+O378</f>
        <v>0</v>
      </c>
    </row>
    <row r="379" spans="1:43" x14ac:dyDescent="0.15">
      <c r="G379" s="107"/>
      <c r="H379" s="107"/>
      <c r="I379" s="107"/>
      <c r="J379" s="107"/>
      <c r="K379" s="107"/>
      <c r="L379" s="107"/>
      <c r="M379" s="107"/>
      <c r="N379" s="107"/>
      <c r="O379" s="107"/>
    </row>
    <row r="380" spans="1:43" x14ac:dyDescent="0.15">
      <c r="A380" s="59" t="s">
        <v>391</v>
      </c>
      <c r="B380" s="60">
        <f ca="1">OFFSET(①簡易状況入力!$C$5,MATCH(A380,①簡易状況入力!$C$5:$C$104,0)-1,1)</f>
        <v>0</v>
      </c>
      <c r="C380" s="145">
        <f ca="1">OFFSET(①簡易状況入力!$C$5,MATCH(A380,①簡易状況入力!$C$5:$C$104,0)-1,17)</f>
        <v>0</v>
      </c>
      <c r="D380" s="148" t="s">
        <v>47</v>
      </c>
      <c r="E380" s="56">
        <f ca="1">U383</f>
        <v>0</v>
      </c>
      <c r="F380" s="56">
        <f ca="1">U382</f>
        <v>0</v>
      </c>
      <c r="G380" s="102"/>
      <c r="H380" s="103"/>
      <c r="I380" s="103"/>
      <c r="J380" s="103"/>
      <c r="K380" s="103"/>
      <c r="L380" s="103"/>
      <c r="M380" s="103"/>
      <c r="N380" s="103"/>
      <c r="O380" s="103"/>
      <c r="Q380" s="57">
        <f ca="1">OFFSET(①簡易状況入力!$C$5,MATCH(A380,①簡易状況入力!$C$5:$C$104,0)-1,15)</f>
        <v>0</v>
      </c>
      <c r="R380" s="58"/>
      <c r="S380" s="58"/>
      <c r="T380" s="58"/>
      <c r="U380" s="58"/>
      <c r="V380" s="58"/>
      <c r="W380" s="58"/>
      <c r="X380" s="58"/>
      <c r="Y380" s="58"/>
      <c r="Z380" s="58"/>
      <c r="AA380" s="58"/>
      <c r="AB380" s="148" t="s">
        <v>47</v>
      </c>
      <c r="AC380" s="56">
        <f ca="1">U383</f>
        <v>0</v>
      </c>
      <c r="AD380" s="56">
        <f ca="1">U382</f>
        <v>0</v>
      </c>
      <c r="AE380" s="62" t="s">
        <v>46</v>
      </c>
      <c r="AF380" s="62" t="str">
        <f t="shared" ref="AF380" ca="1" si="1336">IF($C380="あり",IF(AF$4&lt;=$AD380,H380,"-"),IF(AF$4&lt;=$AD380,$AO380,"-"))</f>
        <v>-</v>
      </c>
      <c r="AG380" s="62" t="str">
        <f t="shared" ref="AG380" ca="1" si="1337">IF($C380="あり",IF(AG$4&lt;=$AD380,I380,"-"),IF(AG$4&lt;=$AD380,$AO380,"-"))</f>
        <v>-</v>
      </c>
      <c r="AH380" s="62" t="str">
        <f t="shared" ref="AH380" ca="1" si="1338">IF($C380="あり",IF(AH$4&lt;=$AD380,J380,"-"),IF(AH$4&lt;=$AD380,$AO380,"-"))</f>
        <v>-</v>
      </c>
      <c r="AI380" s="62" t="str">
        <f t="shared" ref="AI380" ca="1" si="1339">IF($C380="あり",IF(AI$4&lt;=$AD380,K380,"-"),IF(AI$4&lt;=$AD380,$AO380,"-"))</f>
        <v>-</v>
      </c>
      <c r="AJ380" s="62" t="str">
        <f t="shared" ref="AJ380" ca="1" si="1340">IF($C380="あり",IF(AJ$4&lt;=$AD380,L380,"-"),IF(AJ$4&lt;=$AD380,$AO380,"-"))</f>
        <v>-</v>
      </c>
      <c r="AK380" s="62" t="str">
        <f t="shared" ref="AK380" ca="1" si="1341">IF($C380="あり",IF(AK$4&lt;=$AD380,M380,"-"),IF(AK$4&lt;=$AD380,$AO380,"-"))</f>
        <v>-</v>
      </c>
      <c r="AL380" s="62" t="str">
        <f ca="1">IF($C380="あり",IF(7&lt;=$AD380,N380,"-"),IF(7&lt;=$AD380,$AO380*($AD380-6),"-"))</f>
        <v>-</v>
      </c>
      <c r="AM380" s="62">
        <f ca="1">IF(C380="あり",O380,AP380)</f>
        <v>0</v>
      </c>
      <c r="AN380" s="62">
        <f ca="1">SUM(U381,AF380:AM380)</f>
        <v>0</v>
      </c>
      <c r="AO380" s="42">
        <f ca="1">OFFSET(【DB】被害率係数!$A$4,MATCH(②詳細状況入力!$Y381,【DB】被害率係数!$A$4:$A$19,0)-1,16)</f>
        <v>0</v>
      </c>
      <c r="AP380" s="42">
        <f ca="1">OFFSET(【DB】被害率係数!$A$4,MATCH(②詳細状況入力!$Y381,【DB】被害率係数!$A$4:$A$19,0)-1,17)</f>
        <v>0</v>
      </c>
      <c r="AQ380" s="42"/>
    </row>
    <row r="381" spans="1:43" x14ac:dyDescent="0.15">
      <c r="A381" s="50"/>
      <c r="B381" s="50"/>
      <c r="C381" s="145">
        <f ca="1">OFFSET(①簡易状況入力!$C$5,MATCH(A380,①簡易状況入力!$C$5:$C$104,0)-1,18)</f>
        <v>0</v>
      </c>
      <c r="D381" s="148" t="s">
        <v>52</v>
      </c>
      <c r="E381" s="56">
        <f t="shared" ref="E381:F381" ca="1" si="1342">E380</f>
        <v>0</v>
      </c>
      <c r="F381" s="56">
        <f t="shared" ca="1" si="1342"/>
        <v>0</v>
      </c>
      <c r="G381" s="104"/>
      <c r="H381" s="104"/>
      <c r="I381" s="104"/>
      <c r="J381" s="104"/>
      <c r="K381" s="104"/>
      <c r="L381" s="104"/>
      <c r="M381" s="104"/>
      <c r="N381" s="104"/>
      <c r="O381" s="105"/>
      <c r="Q381" s="57">
        <f ca="1">OFFSET(①簡易状況入力!$C$5,MATCH(A380,①簡易状況入力!$C$5:$C$104,0)-1,16)</f>
        <v>0</v>
      </c>
      <c r="R381" s="58"/>
      <c r="S381" s="146" t="s">
        <v>115</v>
      </c>
      <c r="T381" s="146" t="s">
        <v>116</v>
      </c>
      <c r="U381" s="36">
        <f ca="1">OFFSET(①簡易状況入力!$C$5,MATCH(A380,①簡易状況入力!$C$5:$C$104,0)-1,4)</f>
        <v>0</v>
      </c>
      <c r="V381" s="58"/>
      <c r="W381" s="146" t="s">
        <v>30</v>
      </c>
      <c r="X381" s="37">
        <f ca="1">OFFSET(①簡易状況入力!$C$5,MATCH(A380,①簡易状況入力!$C$5:$C$104,0)-1,5)</f>
        <v>0</v>
      </c>
      <c r="Y381" s="149">
        <f ca="1">OFFSET(①簡易状況入力!$C$5,MATCH(A380,①簡易状況入力!$C$5:$C$104,0)-1,8)</f>
        <v>0</v>
      </c>
      <c r="Z381" s="149">
        <f ca="1">OFFSET(①簡易状況入力!$C$5,MATCH(A380,①簡易状況入力!$C$5:$C$104,0)-1,9)</f>
        <v>0</v>
      </c>
      <c r="AA381" s="149">
        <f ca="1">OFFSET(①簡易状況入力!$C$5,MATCH(A380,①簡易状況入力!$C$5:$C$104,0)-1,10)</f>
        <v>0</v>
      </c>
      <c r="AB381" s="148" t="s">
        <v>52</v>
      </c>
      <c r="AC381" s="56">
        <f t="shared" ref="AC381:AD381" ca="1" si="1343">AC380</f>
        <v>0</v>
      </c>
      <c r="AD381" s="56">
        <f t="shared" ca="1" si="1343"/>
        <v>0</v>
      </c>
      <c r="AE381" s="63">
        <f ca="1">IF($C381="あり",IF(AC381&gt;=1,G381/AQ381,0),IF(AC381&gt;=1,AO381*AC381,0))</f>
        <v>0</v>
      </c>
      <c r="AF381" s="63">
        <f t="shared" ref="AF381:AF383" ca="1" si="1344">IF($C381="あり",IF($AD381&gt;=AF$4,H381/$AQ381,0),IF($AD381&gt;=AF$4,$AO381,0))</f>
        <v>0</v>
      </c>
      <c r="AG381" s="63">
        <f t="shared" ref="AG381:AG383" ca="1" si="1345">IF($C381="あり",IF($AD381&gt;=AG$4,I381/$AQ381,0),IF($AD381&gt;=AG$4,$AO381,0))</f>
        <v>0</v>
      </c>
      <c r="AH381" s="63">
        <f t="shared" ref="AH381:AH383" ca="1" si="1346">IF($C381="あり",IF($AD381&gt;=AH$4,J381/$AQ381,0),IF($AD381&gt;=AH$4,$AO381,0))</f>
        <v>0</v>
      </c>
      <c r="AI381" s="63">
        <f t="shared" ref="AI381:AI383" ca="1" si="1347">IF($C381="あり",IF($AD381&gt;=AI$4,K381/$AQ381,0),IF($AD381&gt;=AI$4,$AO381,0))</f>
        <v>0</v>
      </c>
      <c r="AJ381" s="63">
        <f t="shared" ref="AJ381:AJ383" ca="1" si="1348">IF($C381="あり",IF($AD381&gt;=AJ$4,L381/$AQ381,0),IF($AD381&gt;=AJ$4,$AO381,0))</f>
        <v>0</v>
      </c>
      <c r="AK381" s="63">
        <f t="shared" ref="AK381:AK383" ca="1" si="1349">IF($C381="あり",IF($AD381&gt;=AK$4,M381/$AQ381,0),IF($AD381&gt;=AK$4,$AO381,0))</f>
        <v>0</v>
      </c>
      <c r="AL381" s="63">
        <f ca="1">IF($C381="あり",IF($AD381&gt;=7,N381/$AQ381,0),IF($AD381&gt;=7,$AO381*($AD381-6),0))</f>
        <v>0</v>
      </c>
      <c r="AM381" s="64" t="s">
        <v>46</v>
      </c>
      <c r="AN381" s="63">
        <f ca="1">SUM(AE381:AM381)</f>
        <v>0</v>
      </c>
      <c r="AO381" s="68" t="e">
        <f ca="1">1/(AC381+AD381)</f>
        <v>#DIV/0!</v>
      </c>
      <c r="AP381" s="67">
        <v>0</v>
      </c>
      <c r="AQ381" s="68">
        <f ca="1">IF(AC381&gt;=1,G381,0)+SUMIF($H$4:$M$4,"&lt;="&amp;AD381,$H381:$M381)+IF(AD381&gt;=7,N381,0)</f>
        <v>0</v>
      </c>
    </row>
    <row r="382" spans="1:43" x14ac:dyDescent="0.15">
      <c r="A382" s="50"/>
      <c r="B382" s="50"/>
      <c r="C382" s="145">
        <f ca="1">OFFSET(①簡易状況入力!$C$5,MATCH(A380,①簡易状況入力!$C$5:$C$104,0)-1,19)</f>
        <v>0</v>
      </c>
      <c r="D382" s="148" t="s">
        <v>50</v>
      </c>
      <c r="E382" s="56">
        <f t="shared" ref="E382" ca="1" si="1350">E381</f>
        <v>0</v>
      </c>
      <c r="F382" s="56">
        <f ca="1">F381</f>
        <v>0</v>
      </c>
      <c r="G382" s="104"/>
      <c r="H382" s="104"/>
      <c r="I382" s="104"/>
      <c r="J382" s="104"/>
      <c r="K382" s="104"/>
      <c r="L382" s="104"/>
      <c r="M382" s="104"/>
      <c r="N382" s="104"/>
      <c r="O382" s="106"/>
      <c r="Q382" s="50"/>
      <c r="R382" s="58"/>
      <c r="S382" s="165" t="s">
        <v>28</v>
      </c>
      <c r="T382" s="146" t="s">
        <v>35</v>
      </c>
      <c r="U382" s="35">
        <f ca="1">OFFSET(①簡易状況入力!$C$5,MATCH(A380,①簡易状況入力!$C$5:$C$104,0)-1,2)</f>
        <v>0</v>
      </c>
      <c r="V382" s="58"/>
      <c r="W382" s="146" t="s">
        <v>33</v>
      </c>
      <c r="X382" s="37">
        <f ca="1">OFFSET(①簡易状況入力!$C$5,MATCH(A380,①簡易状況入力!$C$5:$C$104,0)-1,6)</f>
        <v>0</v>
      </c>
      <c r="Y382" s="149">
        <f ca="1">OFFSET(①簡易状況入力!$C$5,MATCH(A380,①簡易状況入力!$C$5:$C$104,0)-1,11)</f>
        <v>0</v>
      </c>
      <c r="Z382" s="167">
        <f ca="1">OFFSET(①簡易状況入力!$C$5,MATCH(A380,①簡易状況入力!$C$5:$C$104,0)-1,12)</f>
        <v>0</v>
      </c>
      <c r="AA382" s="168"/>
      <c r="AB382" s="148" t="s">
        <v>50</v>
      </c>
      <c r="AC382" s="56">
        <f t="shared" ref="AC382:AD382" ca="1" si="1351">AC381</f>
        <v>0</v>
      </c>
      <c r="AD382" s="56">
        <f t="shared" ca="1" si="1351"/>
        <v>0</v>
      </c>
      <c r="AE382" s="63">
        <f ca="1">IF($C382="あり",IF(AC382&gt;=1,G382/AQ382,0),IF(AC382&gt;=1,AO382*AC382,0))</f>
        <v>0</v>
      </c>
      <c r="AF382" s="63">
        <f t="shared" ca="1" si="1344"/>
        <v>0</v>
      </c>
      <c r="AG382" s="63">
        <f t="shared" ca="1" si="1345"/>
        <v>0</v>
      </c>
      <c r="AH382" s="63">
        <f t="shared" ca="1" si="1346"/>
        <v>0</v>
      </c>
      <c r="AI382" s="63">
        <f t="shared" ca="1" si="1347"/>
        <v>0</v>
      </c>
      <c r="AJ382" s="63">
        <f t="shared" ca="1" si="1348"/>
        <v>0</v>
      </c>
      <c r="AK382" s="63">
        <f t="shared" ca="1" si="1349"/>
        <v>0</v>
      </c>
      <c r="AL382" s="63">
        <f ca="1">IF($C382="あり",IF($AD382&gt;=7,N382/$AQ382,0),IF($AD382&gt;=7,$AO382*($AD382-6),0))</f>
        <v>0</v>
      </c>
      <c r="AM382" s="65">
        <f ca="1">IF(C382="あり",O382/AQ382,AP382)</f>
        <v>0</v>
      </c>
      <c r="AN382" s="63">
        <f ca="1">SUM(AE382:AM382)</f>
        <v>0</v>
      </c>
      <c r="AO382" s="68" t="e">
        <f ca="1">1/(AC382+AD382)</f>
        <v>#DIV/0!</v>
      </c>
      <c r="AP382" s="67">
        <v>0</v>
      </c>
      <c r="AQ382" s="68">
        <f ca="1">IF(AC382&gt;=1,G382,0)+SUMIF($H$4:$M$4,"&lt;="&amp;AD382,$H382:$M382)+IF(AD382&gt;=7,N382,0)+O382</f>
        <v>0</v>
      </c>
    </row>
    <row r="383" spans="1:43" x14ac:dyDescent="0.15">
      <c r="A383" s="50"/>
      <c r="B383" s="50"/>
      <c r="C383" s="145">
        <f ca="1">OFFSET(①簡易状況入力!$C$5,MATCH(A380,①簡易状況入力!$C$5:$C$104,0)-1,20)</f>
        <v>0</v>
      </c>
      <c r="D383" s="148" t="s">
        <v>51</v>
      </c>
      <c r="E383" s="56">
        <f t="shared" ref="E383:F383" ca="1" si="1352">E382</f>
        <v>0</v>
      </c>
      <c r="F383" s="56">
        <f t="shared" ca="1" si="1352"/>
        <v>0</v>
      </c>
      <c r="G383" s="104"/>
      <c r="H383" s="104"/>
      <c r="I383" s="104"/>
      <c r="J383" s="104"/>
      <c r="K383" s="104"/>
      <c r="L383" s="104"/>
      <c r="M383" s="104"/>
      <c r="N383" s="104"/>
      <c r="O383" s="106"/>
      <c r="Q383" s="50"/>
      <c r="R383" s="58"/>
      <c r="S383" s="166"/>
      <c r="T383" s="146" t="s">
        <v>34</v>
      </c>
      <c r="U383" s="35">
        <f ca="1">OFFSET(①簡易状況入力!$C$5,MATCH(A380,①簡易状況入力!$C$5:$C$104,0)-1,3)</f>
        <v>0</v>
      </c>
      <c r="V383" s="58"/>
      <c r="W383" s="146" t="s">
        <v>118</v>
      </c>
      <c r="X383" s="37">
        <f ca="1">OFFSET(①簡易状況入力!$C$5,MATCH(A380,①簡易状況入力!$C$5:$C$104,0)-1,7)</f>
        <v>0</v>
      </c>
      <c r="Y383" s="149">
        <f ca="1">OFFSET(①簡易状況入力!$C$5,MATCH(A380,①簡易状況入力!$C$5:$C$104,0)-1,13)</f>
        <v>0</v>
      </c>
      <c r="Z383" s="167">
        <f ca="1">OFFSET(①簡易状況入力!$C$5,MATCH(A380,①簡易状況入力!$C$5:$C$104,0)-1,14)</f>
        <v>0</v>
      </c>
      <c r="AA383" s="168"/>
      <c r="AB383" s="148" t="s">
        <v>51</v>
      </c>
      <c r="AC383" s="56">
        <f t="shared" ref="AC383:AD383" ca="1" si="1353">AC382</f>
        <v>0</v>
      </c>
      <c r="AD383" s="56">
        <f t="shared" ca="1" si="1353"/>
        <v>0</v>
      </c>
      <c r="AE383" s="63">
        <f ca="1">IF($C383="あり",IF(AC383&gt;=1,G383/AQ383,0),IF(AC383&gt;=1,AO383*AC383,0))</f>
        <v>0</v>
      </c>
      <c r="AF383" s="63">
        <f t="shared" ca="1" si="1344"/>
        <v>0</v>
      </c>
      <c r="AG383" s="63">
        <f t="shared" ca="1" si="1345"/>
        <v>0</v>
      </c>
      <c r="AH383" s="63">
        <f t="shared" ca="1" si="1346"/>
        <v>0</v>
      </c>
      <c r="AI383" s="63">
        <f t="shared" ca="1" si="1347"/>
        <v>0</v>
      </c>
      <c r="AJ383" s="63">
        <f t="shared" ca="1" si="1348"/>
        <v>0</v>
      </c>
      <c r="AK383" s="63">
        <f t="shared" ca="1" si="1349"/>
        <v>0</v>
      </c>
      <c r="AL383" s="63">
        <f ca="1">IF($C383="あり",IF($AD383&gt;=7,N383/$AQ383,0),IF($AD383&gt;=7,$AO383*($AD383-6),0))</f>
        <v>0</v>
      </c>
      <c r="AM383" s="65">
        <f ca="1">IF(C383="あり",O383/AQ383,AP383)</f>
        <v>0</v>
      </c>
      <c r="AN383" s="63">
        <f ca="1">SUM(AE383:AM383)</f>
        <v>0</v>
      </c>
      <c r="AO383" s="68" t="e">
        <f ca="1">1/(AC383+AD383)</f>
        <v>#DIV/0!</v>
      </c>
      <c r="AP383" s="67">
        <v>0</v>
      </c>
      <c r="AQ383" s="68">
        <f ca="1">IF(AC383&gt;=1,G383,0)+SUMIF($H$4:$M$4,"&lt;="&amp;AD383,$H383:$M383)+IF(AD383&gt;=7,N383,0)+O383</f>
        <v>0</v>
      </c>
    </row>
    <row r="384" spans="1:43" x14ac:dyDescent="0.15">
      <c r="G384" s="107"/>
      <c r="H384" s="107"/>
      <c r="I384" s="107"/>
      <c r="J384" s="107"/>
      <c r="K384" s="107"/>
      <c r="L384" s="107"/>
      <c r="M384" s="107"/>
      <c r="N384" s="107"/>
      <c r="O384" s="107"/>
    </row>
    <row r="385" spans="1:43" x14ac:dyDescent="0.15">
      <c r="A385" s="59" t="s">
        <v>392</v>
      </c>
      <c r="B385" s="60">
        <f ca="1">OFFSET(①簡易状況入力!$C$5,MATCH(A385,①簡易状況入力!$C$5:$C$104,0)-1,1)</f>
        <v>0</v>
      </c>
      <c r="C385" s="145">
        <f ca="1">OFFSET(①簡易状況入力!$C$5,MATCH(A385,①簡易状況入力!$C$5:$C$104,0)-1,17)</f>
        <v>0</v>
      </c>
      <c r="D385" s="148" t="s">
        <v>47</v>
      </c>
      <c r="E385" s="56">
        <f ca="1">U388</f>
        <v>0</v>
      </c>
      <c r="F385" s="56">
        <f ca="1">U387</f>
        <v>0</v>
      </c>
      <c r="G385" s="102"/>
      <c r="H385" s="103"/>
      <c r="I385" s="103"/>
      <c r="J385" s="103"/>
      <c r="K385" s="103"/>
      <c r="L385" s="103"/>
      <c r="M385" s="103"/>
      <c r="N385" s="103"/>
      <c r="O385" s="103"/>
      <c r="Q385" s="57">
        <f ca="1">OFFSET(①簡易状況入力!$C$5,MATCH(A385,①簡易状況入力!$C$5:$C$104,0)-1,15)</f>
        <v>0</v>
      </c>
      <c r="R385" s="58"/>
      <c r="S385" s="58"/>
      <c r="T385" s="58"/>
      <c r="U385" s="58"/>
      <c r="V385" s="58"/>
      <c r="W385" s="58"/>
      <c r="X385" s="58"/>
      <c r="Y385" s="58"/>
      <c r="Z385" s="58"/>
      <c r="AA385" s="58"/>
      <c r="AB385" s="148" t="s">
        <v>47</v>
      </c>
      <c r="AC385" s="56">
        <f ca="1">U388</f>
        <v>0</v>
      </c>
      <c r="AD385" s="56">
        <f ca="1">U387</f>
        <v>0</v>
      </c>
      <c r="AE385" s="62" t="s">
        <v>46</v>
      </c>
      <c r="AF385" s="62" t="str">
        <f t="shared" ref="AF385" ca="1" si="1354">IF($C385="あり",IF(AF$4&lt;=$AD385,H385,"-"),IF(AF$4&lt;=$AD385,$AO385,"-"))</f>
        <v>-</v>
      </c>
      <c r="AG385" s="62" t="str">
        <f t="shared" ref="AG385" ca="1" si="1355">IF($C385="あり",IF(AG$4&lt;=$AD385,I385,"-"),IF(AG$4&lt;=$AD385,$AO385,"-"))</f>
        <v>-</v>
      </c>
      <c r="AH385" s="62" t="str">
        <f t="shared" ref="AH385" ca="1" si="1356">IF($C385="あり",IF(AH$4&lt;=$AD385,J385,"-"),IF(AH$4&lt;=$AD385,$AO385,"-"))</f>
        <v>-</v>
      </c>
      <c r="AI385" s="62" t="str">
        <f t="shared" ref="AI385" ca="1" si="1357">IF($C385="あり",IF(AI$4&lt;=$AD385,K385,"-"),IF(AI$4&lt;=$AD385,$AO385,"-"))</f>
        <v>-</v>
      </c>
      <c r="AJ385" s="62" t="str">
        <f t="shared" ref="AJ385" ca="1" si="1358">IF($C385="あり",IF(AJ$4&lt;=$AD385,L385,"-"),IF(AJ$4&lt;=$AD385,$AO385,"-"))</f>
        <v>-</v>
      </c>
      <c r="AK385" s="62" t="str">
        <f t="shared" ref="AK385" ca="1" si="1359">IF($C385="あり",IF(AK$4&lt;=$AD385,M385,"-"),IF(AK$4&lt;=$AD385,$AO385,"-"))</f>
        <v>-</v>
      </c>
      <c r="AL385" s="62" t="str">
        <f ca="1">IF($C385="あり",IF(7&lt;=$AD385,N385,"-"),IF(7&lt;=$AD385,$AO385*($AD385-6),"-"))</f>
        <v>-</v>
      </c>
      <c r="AM385" s="62">
        <f ca="1">IF(C385="あり",O385,AP385)</f>
        <v>0</v>
      </c>
      <c r="AN385" s="62">
        <f ca="1">SUM(U386,AF385:AM385)</f>
        <v>0</v>
      </c>
      <c r="AO385" s="42">
        <f ca="1">OFFSET(【DB】被害率係数!$A$4,MATCH(②詳細状況入力!$Y386,【DB】被害率係数!$A$4:$A$19,0)-1,16)</f>
        <v>0</v>
      </c>
      <c r="AP385" s="42">
        <f ca="1">OFFSET(【DB】被害率係数!$A$4,MATCH(②詳細状況入力!$Y386,【DB】被害率係数!$A$4:$A$19,0)-1,17)</f>
        <v>0</v>
      </c>
      <c r="AQ385" s="42"/>
    </row>
    <row r="386" spans="1:43" x14ac:dyDescent="0.15">
      <c r="A386" s="50"/>
      <c r="B386" s="50"/>
      <c r="C386" s="145">
        <f ca="1">OFFSET(①簡易状況入力!$C$5,MATCH(A385,①簡易状況入力!$C$5:$C$104,0)-1,18)</f>
        <v>0</v>
      </c>
      <c r="D386" s="148" t="s">
        <v>52</v>
      </c>
      <c r="E386" s="56">
        <f t="shared" ref="E386:F386" ca="1" si="1360">E385</f>
        <v>0</v>
      </c>
      <c r="F386" s="56">
        <f t="shared" ca="1" si="1360"/>
        <v>0</v>
      </c>
      <c r="G386" s="104"/>
      <c r="H386" s="104"/>
      <c r="I386" s="104"/>
      <c r="J386" s="104"/>
      <c r="K386" s="104"/>
      <c r="L386" s="104"/>
      <c r="M386" s="104"/>
      <c r="N386" s="104"/>
      <c r="O386" s="105"/>
      <c r="Q386" s="57">
        <f ca="1">OFFSET(①簡易状況入力!$C$5,MATCH(A385,①簡易状況入力!$C$5:$C$104,0)-1,16)</f>
        <v>0</v>
      </c>
      <c r="R386" s="58"/>
      <c r="S386" s="146" t="s">
        <v>115</v>
      </c>
      <c r="T386" s="146" t="s">
        <v>116</v>
      </c>
      <c r="U386" s="36">
        <f ca="1">OFFSET(①簡易状況入力!$C$5,MATCH(A385,①簡易状況入力!$C$5:$C$104,0)-1,4)</f>
        <v>0</v>
      </c>
      <c r="V386" s="58"/>
      <c r="W386" s="146" t="s">
        <v>30</v>
      </c>
      <c r="X386" s="37">
        <f ca="1">OFFSET(①簡易状況入力!$C$5,MATCH(A385,①簡易状況入力!$C$5:$C$104,0)-1,5)</f>
        <v>0</v>
      </c>
      <c r="Y386" s="149">
        <f ca="1">OFFSET(①簡易状況入力!$C$5,MATCH(A385,①簡易状況入力!$C$5:$C$104,0)-1,8)</f>
        <v>0</v>
      </c>
      <c r="Z386" s="149">
        <f ca="1">OFFSET(①簡易状況入力!$C$5,MATCH(A385,①簡易状況入力!$C$5:$C$104,0)-1,9)</f>
        <v>0</v>
      </c>
      <c r="AA386" s="149">
        <f ca="1">OFFSET(①簡易状況入力!$C$5,MATCH(A385,①簡易状況入力!$C$5:$C$104,0)-1,10)</f>
        <v>0</v>
      </c>
      <c r="AB386" s="148" t="s">
        <v>52</v>
      </c>
      <c r="AC386" s="56">
        <f t="shared" ref="AC386:AD386" ca="1" si="1361">AC385</f>
        <v>0</v>
      </c>
      <c r="AD386" s="56">
        <f t="shared" ca="1" si="1361"/>
        <v>0</v>
      </c>
      <c r="AE386" s="63">
        <f ca="1">IF($C386="あり",IF(AC386&gt;=1,G386/AQ386,0),IF(AC386&gt;=1,AO386*AC386,0))</f>
        <v>0</v>
      </c>
      <c r="AF386" s="63">
        <f t="shared" ref="AF386:AF388" ca="1" si="1362">IF($C386="あり",IF($AD386&gt;=AF$4,H386/$AQ386,0),IF($AD386&gt;=AF$4,$AO386,0))</f>
        <v>0</v>
      </c>
      <c r="AG386" s="63">
        <f t="shared" ref="AG386:AG388" ca="1" si="1363">IF($C386="あり",IF($AD386&gt;=AG$4,I386/$AQ386,0),IF($AD386&gt;=AG$4,$AO386,0))</f>
        <v>0</v>
      </c>
      <c r="AH386" s="63">
        <f t="shared" ref="AH386:AH388" ca="1" si="1364">IF($C386="あり",IF($AD386&gt;=AH$4,J386/$AQ386,0),IF($AD386&gt;=AH$4,$AO386,0))</f>
        <v>0</v>
      </c>
      <c r="AI386" s="63">
        <f t="shared" ref="AI386:AI388" ca="1" si="1365">IF($C386="あり",IF($AD386&gt;=AI$4,K386/$AQ386,0),IF($AD386&gt;=AI$4,$AO386,0))</f>
        <v>0</v>
      </c>
      <c r="AJ386" s="63">
        <f t="shared" ref="AJ386:AJ388" ca="1" si="1366">IF($C386="あり",IF($AD386&gt;=AJ$4,L386/$AQ386,0),IF($AD386&gt;=AJ$4,$AO386,0))</f>
        <v>0</v>
      </c>
      <c r="AK386" s="63">
        <f t="shared" ref="AK386:AK388" ca="1" si="1367">IF($C386="あり",IF($AD386&gt;=AK$4,M386/$AQ386,0),IF($AD386&gt;=AK$4,$AO386,0))</f>
        <v>0</v>
      </c>
      <c r="AL386" s="63">
        <f ca="1">IF($C386="あり",IF($AD386&gt;=7,N386/$AQ386,0),IF($AD386&gt;=7,$AO386*($AD386-6),0))</f>
        <v>0</v>
      </c>
      <c r="AM386" s="64" t="s">
        <v>46</v>
      </c>
      <c r="AN386" s="63">
        <f ca="1">SUM(AE386:AM386)</f>
        <v>0</v>
      </c>
      <c r="AO386" s="68" t="e">
        <f ca="1">1/(AC386+AD386)</f>
        <v>#DIV/0!</v>
      </c>
      <c r="AP386" s="67">
        <v>0</v>
      </c>
      <c r="AQ386" s="68">
        <f ca="1">IF(AC386&gt;=1,G386,0)+SUMIF($H$4:$M$4,"&lt;="&amp;AD386,$H386:$M386)+IF(AD386&gt;=7,N386,0)</f>
        <v>0</v>
      </c>
    </row>
    <row r="387" spans="1:43" x14ac:dyDescent="0.15">
      <c r="A387" s="50"/>
      <c r="B387" s="50"/>
      <c r="C387" s="145">
        <f ca="1">OFFSET(①簡易状況入力!$C$5,MATCH(A385,①簡易状況入力!$C$5:$C$104,0)-1,19)</f>
        <v>0</v>
      </c>
      <c r="D387" s="148" t="s">
        <v>50</v>
      </c>
      <c r="E387" s="56">
        <f t="shared" ref="E387" ca="1" si="1368">E386</f>
        <v>0</v>
      </c>
      <c r="F387" s="56">
        <f ca="1">F386</f>
        <v>0</v>
      </c>
      <c r="G387" s="104"/>
      <c r="H387" s="104"/>
      <c r="I387" s="104"/>
      <c r="J387" s="104"/>
      <c r="K387" s="104"/>
      <c r="L387" s="104"/>
      <c r="M387" s="104"/>
      <c r="N387" s="104"/>
      <c r="O387" s="106"/>
      <c r="Q387" s="50"/>
      <c r="R387" s="58"/>
      <c r="S387" s="165" t="s">
        <v>28</v>
      </c>
      <c r="T387" s="146" t="s">
        <v>35</v>
      </c>
      <c r="U387" s="35">
        <f ca="1">OFFSET(①簡易状況入力!$C$5,MATCH(A385,①簡易状況入力!$C$5:$C$104,0)-1,2)</f>
        <v>0</v>
      </c>
      <c r="V387" s="58"/>
      <c r="W387" s="146" t="s">
        <v>33</v>
      </c>
      <c r="X387" s="37">
        <f ca="1">OFFSET(①簡易状況入力!$C$5,MATCH(A385,①簡易状況入力!$C$5:$C$104,0)-1,6)</f>
        <v>0</v>
      </c>
      <c r="Y387" s="149">
        <f ca="1">OFFSET(①簡易状況入力!$C$5,MATCH(A385,①簡易状況入力!$C$5:$C$104,0)-1,11)</f>
        <v>0</v>
      </c>
      <c r="Z387" s="167">
        <f ca="1">OFFSET(①簡易状況入力!$C$5,MATCH(A385,①簡易状況入力!$C$5:$C$104,0)-1,12)</f>
        <v>0</v>
      </c>
      <c r="AA387" s="168"/>
      <c r="AB387" s="148" t="s">
        <v>50</v>
      </c>
      <c r="AC387" s="56">
        <f t="shared" ref="AC387:AD387" ca="1" si="1369">AC386</f>
        <v>0</v>
      </c>
      <c r="AD387" s="56">
        <f t="shared" ca="1" si="1369"/>
        <v>0</v>
      </c>
      <c r="AE387" s="63">
        <f ca="1">IF($C387="あり",IF(AC387&gt;=1,G387/AQ387,0),IF(AC387&gt;=1,AO387*AC387,0))</f>
        <v>0</v>
      </c>
      <c r="AF387" s="63">
        <f t="shared" ca="1" si="1362"/>
        <v>0</v>
      </c>
      <c r="AG387" s="63">
        <f t="shared" ca="1" si="1363"/>
        <v>0</v>
      </c>
      <c r="AH387" s="63">
        <f t="shared" ca="1" si="1364"/>
        <v>0</v>
      </c>
      <c r="AI387" s="63">
        <f t="shared" ca="1" si="1365"/>
        <v>0</v>
      </c>
      <c r="AJ387" s="63">
        <f t="shared" ca="1" si="1366"/>
        <v>0</v>
      </c>
      <c r="AK387" s="63">
        <f t="shared" ca="1" si="1367"/>
        <v>0</v>
      </c>
      <c r="AL387" s="63">
        <f ca="1">IF($C387="あり",IF($AD387&gt;=7,N387/$AQ387,0),IF($AD387&gt;=7,$AO387*($AD387-6),0))</f>
        <v>0</v>
      </c>
      <c r="AM387" s="65">
        <f ca="1">IF(C387="あり",O387/AQ387,AP387)</f>
        <v>0</v>
      </c>
      <c r="AN387" s="63">
        <f ca="1">SUM(AE387:AM387)</f>
        <v>0</v>
      </c>
      <c r="AO387" s="68" t="e">
        <f ca="1">1/(AC387+AD387)</f>
        <v>#DIV/0!</v>
      </c>
      <c r="AP387" s="67">
        <v>0</v>
      </c>
      <c r="AQ387" s="68">
        <f ca="1">IF(AC387&gt;=1,G387,0)+SUMIF($H$4:$M$4,"&lt;="&amp;AD387,$H387:$M387)+IF(AD387&gt;=7,N387,0)+O387</f>
        <v>0</v>
      </c>
    </row>
    <row r="388" spans="1:43" x14ac:dyDescent="0.15">
      <c r="A388" s="50"/>
      <c r="B388" s="50"/>
      <c r="C388" s="145">
        <f ca="1">OFFSET(①簡易状況入力!$C$5,MATCH(A385,①簡易状況入力!$C$5:$C$104,0)-1,20)</f>
        <v>0</v>
      </c>
      <c r="D388" s="148" t="s">
        <v>51</v>
      </c>
      <c r="E388" s="56">
        <f t="shared" ref="E388:F388" ca="1" si="1370">E387</f>
        <v>0</v>
      </c>
      <c r="F388" s="56">
        <f t="shared" ca="1" si="1370"/>
        <v>0</v>
      </c>
      <c r="G388" s="104"/>
      <c r="H388" s="104"/>
      <c r="I388" s="104"/>
      <c r="J388" s="104"/>
      <c r="K388" s="104"/>
      <c r="L388" s="104"/>
      <c r="M388" s="104"/>
      <c r="N388" s="104"/>
      <c r="O388" s="106"/>
      <c r="Q388" s="50"/>
      <c r="R388" s="58"/>
      <c r="S388" s="166"/>
      <c r="T388" s="146" t="s">
        <v>34</v>
      </c>
      <c r="U388" s="35">
        <f ca="1">OFFSET(①簡易状況入力!$C$5,MATCH(A385,①簡易状況入力!$C$5:$C$104,0)-1,3)</f>
        <v>0</v>
      </c>
      <c r="V388" s="58"/>
      <c r="W388" s="146" t="s">
        <v>118</v>
      </c>
      <c r="X388" s="37">
        <f ca="1">OFFSET(①簡易状況入力!$C$5,MATCH(A385,①簡易状況入力!$C$5:$C$104,0)-1,7)</f>
        <v>0</v>
      </c>
      <c r="Y388" s="149">
        <f ca="1">OFFSET(①簡易状況入力!$C$5,MATCH(A385,①簡易状況入力!$C$5:$C$104,0)-1,13)</f>
        <v>0</v>
      </c>
      <c r="Z388" s="167">
        <f ca="1">OFFSET(①簡易状況入力!$C$5,MATCH(A385,①簡易状況入力!$C$5:$C$104,0)-1,14)</f>
        <v>0</v>
      </c>
      <c r="AA388" s="168"/>
      <c r="AB388" s="148" t="s">
        <v>51</v>
      </c>
      <c r="AC388" s="56">
        <f t="shared" ref="AC388:AD388" ca="1" si="1371">AC387</f>
        <v>0</v>
      </c>
      <c r="AD388" s="56">
        <f t="shared" ca="1" si="1371"/>
        <v>0</v>
      </c>
      <c r="AE388" s="63">
        <f ca="1">IF($C388="あり",IF(AC388&gt;=1,G388/AQ388,0),IF(AC388&gt;=1,AO388*AC388,0))</f>
        <v>0</v>
      </c>
      <c r="AF388" s="63">
        <f t="shared" ca="1" si="1362"/>
        <v>0</v>
      </c>
      <c r="AG388" s="63">
        <f t="shared" ca="1" si="1363"/>
        <v>0</v>
      </c>
      <c r="AH388" s="63">
        <f t="shared" ca="1" si="1364"/>
        <v>0</v>
      </c>
      <c r="AI388" s="63">
        <f t="shared" ca="1" si="1365"/>
        <v>0</v>
      </c>
      <c r="AJ388" s="63">
        <f t="shared" ca="1" si="1366"/>
        <v>0</v>
      </c>
      <c r="AK388" s="63">
        <f t="shared" ca="1" si="1367"/>
        <v>0</v>
      </c>
      <c r="AL388" s="63">
        <f ca="1">IF($C388="あり",IF($AD388&gt;=7,N388/$AQ388,0),IF($AD388&gt;=7,$AO388*($AD388-6),0))</f>
        <v>0</v>
      </c>
      <c r="AM388" s="65">
        <f ca="1">IF(C388="あり",O388/AQ388,AP388)</f>
        <v>0</v>
      </c>
      <c r="AN388" s="63">
        <f ca="1">SUM(AE388:AM388)</f>
        <v>0</v>
      </c>
      <c r="AO388" s="68" t="e">
        <f ca="1">1/(AC388+AD388)</f>
        <v>#DIV/0!</v>
      </c>
      <c r="AP388" s="67">
        <v>0</v>
      </c>
      <c r="AQ388" s="68">
        <f ca="1">IF(AC388&gt;=1,G388,0)+SUMIF($H$4:$M$4,"&lt;="&amp;AD388,$H388:$M388)+IF(AD388&gt;=7,N388,0)+O388</f>
        <v>0</v>
      </c>
    </row>
    <row r="389" spans="1:43" x14ac:dyDescent="0.15">
      <c r="G389" s="107"/>
      <c r="H389" s="107"/>
      <c r="I389" s="107"/>
      <c r="J389" s="107"/>
      <c r="K389" s="107"/>
      <c r="L389" s="107"/>
      <c r="M389" s="107"/>
      <c r="N389" s="107"/>
      <c r="O389" s="107"/>
    </row>
    <row r="390" spans="1:43" x14ac:dyDescent="0.15">
      <c r="A390" s="59" t="s">
        <v>393</v>
      </c>
      <c r="B390" s="60">
        <f ca="1">OFFSET(①簡易状況入力!$C$5,MATCH(A390,①簡易状況入力!$C$5:$C$104,0)-1,1)</f>
        <v>0</v>
      </c>
      <c r="C390" s="145">
        <f ca="1">OFFSET(①簡易状況入力!$C$5,MATCH(A390,①簡易状況入力!$C$5:$C$104,0)-1,17)</f>
        <v>0</v>
      </c>
      <c r="D390" s="148" t="s">
        <v>47</v>
      </c>
      <c r="E390" s="56">
        <f ca="1">U393</f>
        <v>0</v>
      </c>
      <c r="F390" s="56">
        <f ca="1">U392</f>
        <v>0</v>
      </c>
      <c r="G390" s="102"/>
      <c r="H390" s="103"/>
      <c r="I390" s="103"/>
      <c r="J390" s="103"/>
      <c r="K390" s="103"/>
      <c r="L390" s="103"/>
      <c r="M390" s="103"/>
      <c r="N390" s="103"/>
      <c r="O390" s="103"/>
      <c r="Q390" s="57">
        <f ca="1">OFFSET(①簡易状況入力!$C$5,MATCH(A390,①簡易状況入力!$C$5:$C$104,0)-1,15)</f>
        <v>0</v>
      </c>
      <c r="R390" s="58"/>
      <c r="S390" s="58"/>
      <c r="T390" s="58"/>
      <c r="U390" s="58"/>
      <c r="V390" s="58"/>
      <c r="W390" s="58"/>
      <c r="X390" s="58"/>
      <c r="Y390" s="58"/>
      <c r="Z390" s="58"/>
      <c r="AA390" s="58"/>
      <c r="AB390" s="148" t="s">
        <v>47</v>
      </c>
      <c r="AC390" s="56">
        <f ca="1">U393</f>
        <v>0</v>
      </c>
      <c r="AD390" s="56">
        <f ca="1">U392</f>
        <v>0</v>
      </c>
      <c r="AE390" s="62" t="s">
        <v>46</v>
      </c>
      <c r="AF390" s="62" t="str">
        <f t="shared" ref="AF390" ca="1" si="1372">IF($C390="あり",IF(AF$4&lt;=$AD390,H390,"-"),IF(AF$4&lt;=$AD390,$AO390,"-"))</f>
        <v>-</v>
      </c>
      <c r="AG390" s="62" t="str">
        <f t="shared" ref="AG390" ca="1" si="1373">IF($C390="あり",IF(AG$4&lt;=$AD390,I390,"-"),IF(AG$4&lt;=$AD390,$AO390,"-"))</f>
        <v>-</v>
      </c>
      <c r="AH390" s="62" t="str">
        <f t="shared" ref="AH390" ca="1" si="1374">IF($C390="あり",IF(AH$4&lt;=$AD390,J390,"-"),IF(AH$4&lt;=$AD390,$AO390,"-"))</f>
        <v>-</v>
      </c>
      <c r="AI390" s="62" t="str">
        <f t="shared" ref="AI390" ca="1" si="1375">IF($C390="あり",IF(AI$4&lt;=$AD390,K390,"-"),IF(AI$4&lt;=$AD390,$AO390,"-"))</f>
        <v>-</v>
      </c>
      <c r="AJ390" s="62" t="str">
        <f t="shared" ref="AJ390" ca="1" si="1376">IF($C390="あり",IF(AJ$4&lt;=$AD390,L390,"-"),IF(AJ$4&lt;=$AD390,$AO390,"-"))</f>
        <v>-</v>
      </c>
      <c r="AK390" s="62" t="str">
        <f t="shared" ref="AK390" ca="1" si="1377">IF($C390="あり",IF(AK$4&lt;=$AD390,M390,"-"),IF(AK$4&lt;=$AD390,$AO390,"-"))</f>
        <v>-</v>
      </c>
      <c r="AL390" s="62" t="str">
        <f ca="1">IF($C390="あり",IF(7&lt;=$AD390,N390,"-"),IF(7&lt;=$AD390,$AO390*($AD390-6),"-"))</f>
        <v>-</v>
      </c>
      <c r="AM390" s="62">
        <f ca="1">IF(C390="あり",O390,AP390)</f>
        <v>0</v>
      </c>
      <c r="AN390" s="62">
        <f ca="1">SUM(U391,AF390:AM390)</f>
        <v>0</v>
      </c>
      <c r="AO390" s="42">
        <f ca="1">OFFSET(【DB】被害率係数!$A$4,MATCH(②詳細状況入力!$Y391,【DB】被害率係数!$A$4:$A$19,0)-1,16)</f>
        <v>0</v>
      </c>
      <c r="AP390" s="42">
        <f ca="1">OFFSET(【DB】被害率係数!$A$4,MATCH(②詳細状況入力!$Y391,【DB】被害率係数!$A$4:$A$19,0)-1,17)</f>
        <v>0</v>
      </c>
      <c r="AQ390" s="42"/>
    </row>
    <row r="391" spans="1:43" x14ac:dyDescent="0.15">
      <c r="A391" s="50"/>
      <c r="B391" s="50"/>
      <c r="C391" s="145">
        <f ca="1">OFFSET(①簡易状況入力!$C$5,MATCH(A390,①簡易状況入力!$C$5:$C$104,0)-1,18)</f>
        <v>0</v>
      </c>
      <c r="D391" s="148" t="s">
        <v>52</v>
      </c>
      <c r="E391" s="56">
        <f t="shared" ref="E391:F391" ca="1" si="1378">E390</f>
        <v>0</v>
      </c>
      <c r="F391" s="56">
        <f t="shared" ca="1" si="1378"/>
        <v>0</v>
      </c>
      <c r="G391" s="104"/>
      <c r="H391" s="104"/>
      <c r="I391" s="104"/>
      <c r="J391" s="104"/>
      <c r="K391" s="104"/>
      <c r="L391" s="104"/>
      <c r="M391" s="104"/>
      <c r="N391" s="104"/>
      <c r="O391" s="105"/>
      <c r="Q391" s="57">
        <f ca="1">OFFSET(①簡易状況入力!$C$5,MATCH(A390,①簡易状況入力!$C$5:$C$104,0)-1,16)</f>
        <v>0</v>
      </c>
      <c r="R391" s="58"/>
      <c r="S391" s="146" t="s">
        <v>115</v>
      </c>
      <c r="T391" s="146" t="s">
        <v>116</v>
      </c>
      <c r="U391" s="36">
        <f ca="1">OFFSET(①簡易状況入力!$C$5,MATCH(A390,①簡易状況入力!$C$5:$C$104,0)-1,4)</f>
        <v>0</v>
      </c>
      <c r="V391" s="58"/>
      <c r="W391" s="146" t="s">
        <v>30</v>
      </c>
      <c r="X391" s="37">
        <f ca="1">OFFSET(①簡易状況入力!$C$5,MATCH(A390,①簡易状況入力!$C$5:$C$104,0)-1,5)</f>
        <v>0</v>
      </c>
      <c r="Y391" s="149">
        <f ca="1">OFFSET(①簡易状況入力!$C$5,MATCH(A390,①簡易状況入力!$C$5:$C$104,0)-1,8)</f>
        <v>0</v>
      </c>
      <c r="Z391" s="149">
        <f ca="1">OFFSET(①簡易状況入力!$C$5,MATCH(A390,①簡易状況入力!$C$5:$C$104,0)-1,9)</f>
        <v>0</v>
      </c>
      <c r="AA391" s="149">
        <f ca="1">OFFSET(①簡易状況入力!$C$5,MATCH(A390,①簡易状況入力!$C$5:$C$104,0)-1,10)</f>
        <v>0</v>
      </c>
      <c r="AB391" s="148" t="s">
        <v>52</v>
      </c>
      <c r="AC391" s="56">
        <f t="shared" ref="AC391:AD391" ca="1" si="1379">AC390</f>
        <v>0</v>
      </c>
      <c r="AD391" s="56">
        <f t="shared" ca="1" si="1379"/>
        <v>0</v>
      </c>
      <c r="AE391" s="63">
        <f ca="1">IF($C391="あり",IF(AC391&gt;=1,G391/AQ391,0),IF(AC391&gt;=1,AO391*AC391,0))</f>
        <v>0</v>
      </c>
      <c r="AF391" s="63">
        <f t="shared" ref="AF391:AF393" ca="1" si="1380">IF($C391="あり",IF($AD391&gt;=AF$4,H391/$AQ391,0),IF($AD391&gt;=AF$4,$AO391,0))</f>
        <v>0</v>
      </c>
      <c r="AG391" s="63">
        <f t="shared" ref="AG391:AG393" ca="1" si="1381">IF($C391="あり",IF($AD391&gt;=AG$4,I391/$AQ391,0),IF($AD391&gt;=AG$4,$AO391,0))</f>
        <v>0</v>
      </c>
      <c r="AH391" s="63">
        <f t="shared" ref="AH391:AH393" ca="1" si="1382">IF($C391="あり",IF($AD391&gt;=AH$4,J391/$AQ391,0),IF($AD391&gt;=AH$4,$AO391,0))</f>
        <v>0</v>
      </c>
      <c r="AI391" s="63">
        <f t="shared" ref="AI391:AI393" ca="1" si="1383">IF($C391="あり",IF($AD391&gt;=AI$4,K391/$AQ391,0),IF($AD391&gt;=AI$4,$AO391,0))</f>
        <v>0</v>
      </c>
      <c r="AJ391" s="63">
        <f t="shared" ref="AJ391:AJ393" ca="1" si="1384">IF($C391="あり",IF($AD391&gt;=AJ$4,L391/$AQ391,0),IF($AD391&gt;=AJ$4,$AO391,0))</f>
        <v>0</v>
      </c>
      <c r="AK391" s="63">
        <f t="shared" ref="AK391:AK393" ca="1" si="1385">IF($C391="あり",IF($AD391&gt;=AK$4,M391/$AQ391,0),IF($AD391&gt;=AK$4,$AO391,0))</f>
        <v>0</v>
      </c>
      <c r="AL391" s="63">
        <f ca="1">IF($C391="あり",IF($AD391&gt;=7,N391/$AQ391,0),IF($AD391&gt;=7,$AO391*($AD391-6),0))</f>
        <v>0</v>
      </c>
      <c r="AM391" s="64" t="s">
        <v>46</v>
      </c>
      <c r="AN391" s="63">
        <f ca="1">SUM(AE391:AM391)</f>
        <v>0</v>
      </c>
      <c r="AO391" s="68" t="e">
        <f ca="1">1/(AC391+AD391)</f>
        <v>#DIV/0!</v>
      </c>
      <c r="AP391" s="67">
        <v>0</v>
      </c>
      <c r="AQ391" s="68">
        <f ca="1">IF(AC391&gt;=1,G391,0)+SUMIF($H$4:$M$4,"&lt;="&amp;AD391,$H391:$M391)+IF(AD391&gt;=7,N391,0)</f>
        <v>0</v>
      </c>
    </row>
    <row r="392" spans="1:43" x14ac:dyDescent="0.15">
      <c r="A392" s="50"/>
      <c r="B392" s="50"/>
      <c r="C392" s="145">
        <f ca="1">OFFSET(①簡易状況入力!$C$5,MATCH(A390,①簡易状況入力!$C$5:$C$104,0)-1,19)</f>
        <v>0</v>
      </c>
      <c r="D392" s="148" t="s">
        <v>50</v>
      </c>
      <c r="E392" s="56">
        <f t="shared" ref="E392" ca="1" si="1386">E391</f>
        <v>0</v>
      </c>
      <c r="F392" s="56">
        <f ca="1">F391</f>
        <v>0</v>
      </c>
      <c r="G392" s="104"/>
      <c r="H392" s="104"/>
      <c r="I392" s="104"/>
      <c r="J392" s="104"/>
      <c r="K392" s="104"/>
      <c r="L392" s="104"/>
      <c r="M392" s="104"/>
      <c r="N392" s="104"/>
      <c r="O392" s="106"/>
      <c r="Q392" s="50"/>
      <c r="R392" s="58"/>
      <c r="S392" s="165" t="s">
        <v>28</v>
      </c>
      <c r="T392" s="146" t="s">
        <v>35</v>
      </c>
      <c r="U392" s="35">
        <f ca="1">OFFSET(①簡易状況入力!$C$5,MATCH(A390,①簡易状況入力!$C$5:$C$104,0)-1,2)</f>
        <v>0</v>
      </c>
      <c r="V392" s="58"/>
      <c r="W392" s="146" t="s">
        <v>33</v>
      </c>
      <c r="X392" s="37">
        <f ca="1">OFFSET(①簡易状況入力!$C$5,MATCH(A390,①簡易状況入力!$C$5:$C$104,0)-1,6)</f>
        <v>0</v>
      </c>
      <c r="Y392" s="149">
        <f ca="1">OFFSET(①簡易状況入力!$C$5,MATCH(A390,①簡易状況入力!$C$5:$C$104,0)-1,11)</f>
        <v>0</v>
      </c>
      <c r="Z392" s="167">
        <f ca="1">OFFSET(①簡易状況入力!$C$5,MATCH(A390,①簡易状況入力!$C$5:$C$104,0)-1,12)</f>
        <v>0</v>
      </c>
      <c r="AA392" s="168"/>
      <c r="AB392" s="148" t="s">
        <v>50</v>
      </c>
      <c r="AC392" s="56">
        <f t="shared" ref="AC392:AD392" ca="1" si="1387">AC391</f>
        <v>0</v>
      </c>
      <c r="AD392" s="56">
        <f t="shared" ca="1" si="1387"/>
        <v>0</v>
      </c>
      <c r="AE392" s="63">
        <f ca="1">IF($C392="あり",IF(AC392&gt;=1,G392/AQ392,0),IF(AC392&gt;=1,AO392*AC392,0))</f>
        <v>0</v>
      </c>
      <c r="AF392" s="63">
        <f t="shared" ca="1" si="1380"/>
        <v>0</v>
      </c>
      <c r="AG392" s="63">
        <f t="shared" ca="1" si="1381"/>
        <v>0</v>
      </c>
      <c r="AH392" s="63">
        <f t="shared" ca="1" si="1382"/>
        <v>0</v>
      </c>
      <c r="AI392" s="63">
        <f t="shared" ca="1" si="1383"/>
        <v>0</v>
      </c>
      <c r="AJ392" s="63">
        <f t="shared" ca="1" si="1384"/>
        <v>0</v>
      </c>
      <c r="AK392" s="63">
        <f t="shared" ca="1" si="1385"/>
        <v>0</v>
      </c>
      <c r="AL392" s="63">
        <f ca="1">IF($C392="あり",IF($AD392&gt;=7,N392/$AQ392,0),IF($AD392&gt;=7,$AO392*($AD392-6),0))</f>
        <v>0</v>
      </c>
      <c r="AM392" s="65">
        <f ca="1">IF(C392="あり",O392/AQ392,AP392)</f>
        <v>0</v>
      </c>
      <c r="AN392" s="63">
        <f ca="1">SUM(AE392:AM392)</f>
        <v>0</v>
      </c>
      <c r="AO392" s="68" t="e">
        <f ca="1">1/(AC392+AD392)</f>
        <v>#DIV/0!</v>
      </c>
      <c r="AP392" s="67">
        <v>0</v>
      </c>
      <c r="AQ392" s="68">
        <f ca="1">IF(AC392&gt;=1,G392,0)+SUMIF($H$4:$M$4,"&lt;="&amp;AD392,$H392:$M392)+IF(AD392&gt;=7,N392,0)+O392</f>
        <v>0</v>
      </c>
    </row>
    <row r="393" spans="1:43" x14ac:dyDescent="0.15">
      <c r="A393" s="50"/>
      <c r="B393" s="50"/>
      <c r="C393" s="145">
        <f ca="1">OFFSET(①簡易状況入力!$C$5,MATCH(A390,①簡易状況入力!$C$5:$C$104,0)-1,20)</f>
        <v>0</v>
      </c>
      <c r="D393" s="148" t="s">
        <v>51</v>
      </c>
      <c r="E393" s="56">
        <f t="shared" ref="E393:F393" ca="1" si="1388">E392</f>
        <v>0</v>
      </c>
      <c r="F393" s="56">
        <f t="shared" ca="1" si="1388"/>
        <v>0</v>
      </c>
      <c r="G393" s="104"/>
      <c r="H393" s="104"/>
      <c r="I393" s="104"/>
      <c r="J393" s="104"/>
      <c r="K393" s="104"/>
      <c r="L393" s="104"/>
      <c r="M393" s="104"/>
      <c r="N393" s="104"/>
      <c r="O393" s="106"/>
      <c r="Q393" s="50"/>
      <c r="R393" s="58"/>
      <c r="S393" s="166"/>
      <c r="T393" s="146" t="s">
        <v>34</v>
      </c>
      <c r="U393" s="35">
        <f ca="1">OFFSET(①簡易状況入力!$C$5,MATCH(A390,①簡易状況入力!$C$5:$C$104,0)-1,3)</f>
        <v>0</v>
      </c>
      <c r="V393" s="58"/>
      <c r="W393" s="146" t="s">
        <v>118</v>
      </c>
      <c r="X393" s="37">
        <f ca="1">OFFSET(①簡易状況入力!$C$5,MATCH(A390,①簡易状況入力!$C$5:$C$104,0)-1,7)</f>
        <v>0</v>
      </c>
      <c r="Y393" s="149">
        <f ca="1">OFFSET(①簡易状況入力!$C$5,MATCH(A390,①簡易状況入力!$C$5:$C$104,0)-1,13)</f>
        <v>0</v>
      </c>
      <c r="Z393" s="167">
        <f ca="1">OFFSET(①簡易状況入力!$C$5,MATCH(A390,①簡易状況入力!$C$5:$C$104,0)-1,14)</f>
        <v>0</v>
      </c>
      <c r="AA393" s="168"/>
      <c r="AB393" s="148" t="s">
        <v>51</v>
      </c>
      <c r="AC393" s="56">
        <f t="shared" ref="AC393:AD393" ca="1" si="1389">AC392</f>
        <v>0</v>
      </c>
      <c r="AD393" s="56">
        <f t="shared" ca="1" si="1389"/>
        <v>0</v>
      </c>
      <c r="AE393" s="63">
        <f ca="1">IF($C393="あり",IF(AC393&gt;=1,G393/AQ393,0),IF(AC393&gt;=1,AO393*AC393,0))</f>
        <v>0</v>
      </c>
      <c r="AF393" s="63">
        <f t="shared" ca="1" si="1380"/>
        <v>0</v>
      </c>
      <c r="AG393" s="63">
        <f t="shared" ca="1" si="1381"/>
        <v>0</v>
      </c>
      <c r="AH393" s="63">
        <f t="shared" ca="1" si="1382"/>
        <v>0</v>
      </c>
      <c r="AI393" s="63">
        <f t="shared" ca="1" si="1383"/>
        <v>0</v>
      </c>
      <c r="AJ393" s="63">
        <f t="shared" ca="1" si="1384"/>
        <v>0</v>
      </c>
      <c r="AK393" s="63">
        <f t="shared" ca="1" si="1385"/>
        <v>0</v>
      </c>
      <c r="AL393" s="63">
        <f ca="1">IF($C393="あり",IF($AD393&gt;=7,N393/$AQ393,0),IF($AD393&gt;=7,$AO393*($AD393-6),0))</f>
        <v>0</v>
      </c>
      <c r="AM393" s="65">
        <f ca="1">IF(C393="あり",O393/AQ393,AP393)</f>
        <v>0</v>
      </c>
      <c r="AN393" s="63">
        <f ca="1">SUM(AE393:AM393)</f>
        <v>0</v>
      </c>
      <c r="AO393" s="68" t="e">
        <f ca="1">1/(AC393+AD393)</f>
        <v>#DIV/0!</v>
      </c>
      <c r="AP393" s="67">
        <v>0</v>
      </c>
      <c r="AQ393" s="68">
        <f ca="1">IF(AC393&gt;=1,G393,0)+SUMIF($H$4:$M$4,"&lt;="&amp;AD393,$H393:$M393)+IF(AD393&gt;=7,N393,0)+O393</f>
        <v>0</v>
      </c>
    </row>
    <row r="394" spans="1:43" x14ac:dyDescent="0.15">
      <c r="G394" s="107"/>
      <c r="H394" s="107"/>
      <c r="I394" s="107"/>
      <c r="J394" s="107"/>
      <c r="K394" s="107"/>
      <c r="L394" s="107"/>
      <c r="M394" s="107"/>
      <c r="N394" s="107"/>
      <c r="O394" s="107"/>
    </row>
    <row r="395" spans="1:43" x14ac:dyDescent="0.15">
      <c r="A395" s="59" t="s">
        <v>394</v>
      </c>
      <c r="B395" s="60">
        <f ca="1">OFFSET(①簡易状況入力!$C$5,MATCH(A395,①簡易状況入力!$C$5:$C$104,0)-1,1)</f>
        <v>0</v>
      </c>
      <c r="C395" s="145">
        <f ca="1">OFFSET(①簡易状況入力!$C$5,MATCH(A395,①簡易状況入力!$C$5:$C$104,0)-1,17)</f>
        <v>0</v>
      </c>
      <c r="D395" s="148" t="s">
        <v>47</v>
      </c>
      <c r="E395" s="56">
        <f ca="1">U398</f>
        <v>0</v>
      </c>
      <c r="F395" s="56">
        <f ca="1">U397</f>
        <v>0</v>
      </c>
      <c r="G395" s="102"/>
      <c r="H395" s="103"/>
      <c r="I395" s="103"/>
      <c r="J395" s="103"/>
      <c r="K395" s="103"/>
      <c r="L395" s="103"/>
      <c r="M395" s="103"/>
      <c r="N395" s="103"/>
      <c r="O395" s="103"/>
      <c r="Q395" s="57">
        <f ca="1">OFFSET(①簡易状況入力!$C$5,MATCH(A395,①簡易状況入力!$C$5:$C$104,0)-1,15)</f>
        <v>0</v>
      </c>
      <c r="R395" s="58"/>
      <c r="S395" s="58"/>
      <c r="T395" s="58"/>
      <c r="U395" s="58"/>
      <c r="V395" s="58"/>
      <c r="W395" s="58"/>
      <c r="X395" s="58"/>
      <c r="Y395" s="58"/>
      <c r="Z395" s="58"/>
      <c r="AA395" s="58"/>
      <c r="AB395" s="148" t="s">
        <v>47</v>
      </c>
      <c r="AC395" s="56">
        <f ca="1">U398</f>
        <v>0</v>
      </c>
      <c r="AD395" s="56">
        <f ca="1">U397</f>
        <v>0</v>
      </c>
      <c r="AE395" s="62" t="s">
        <v>46</v>
      </c>
      <c r="AF395" s="62" t="str">
        <f t="shared" ref="AF395" ca="1" si="1390">IF($C395="あり",IF(AF$4&lt;=$AD395,H395,"-"),IF(AF$4&lt;=$AD395,$AO395,"-"))</f>
        <v>-</v>
      </c>
      <c r="AG395" s="62" t="str">
        <f t="shared" ref="AG395" ca="1" si="1391">IF($C395="あり",IF(AG$4&lt;=$AD395,I395,"-"),IF(AG$4&lt;=$AD395,$AO395,"-"))</f>
        <v>-</v>
      </c>
      <c r="AH395" s="62" t="str">
        <f t="shared" ref="AH395" ca="1" si="1392">IF($C395="あり",IF(AH$4&lt;=$AD395,J395,"-"),IF(AH$4&lt;=$AD395,$AO395,"-"))</f>
        <v>-</v>
      </c>
      <c r="AI395" s="62" t="str">
        <f t="shared" ref="AI395" ca="1" si="1393">IF($C395="あり",IF(AI$4&lt;=$AD395,K395,"-"),IF(AI$4&lt;=$AD395,$AO395,"-"))</f>
        <v>-</v>
      </c>
      <c r="AJ395" s="62" t="str">
        <f t="shared" ref="AJ395" ca="1" si="1394">IF($C395="あり",IF(AJ$4&lt;=$AD395,L395,"-"),IF(AJ$4&lt;=$AD395,$AO395,"-"))</f>
        <v>-</v>
      </c>
      <c r="AK395" s="62" t="str">
        <f t="shared" ref="AK395" ca="1" si="1395">IF($C395="あり",IF(AK$4&lt;=$AD395,M395,"-"),IF(AK$4&lt;=$AD395,$AO395,"-"))</f>
        <v>-</v>
      </c>
      <c r="AL395" s="62" t="str">
        <f ca="1">IF($C395="あり",IF(7&lt;=$AD395,N395,"-"),IF(7&lt;=$AD395,$AO395*($AD395-6),"-"))</f>
        <v>-</v>
      </c>
      <c r="AM395" s="62">
        <f ca="1">IF(C395="あり",O395,AP395)</f>
        <v>0</v>
      </c>
      <c r="AN395" s="62">
        <f ca="1">SUM(U396,AF395:AM395)</f>
        <v>0</v>
      </c>
      <c r="AO395" s="42">
        <f ca="1">OFFSET(【DB】被害率係数!$A$4,MATCH(②詳細状況入力!$Y396,【DB】被害率係数!$A$4:$A$19,0)-1,16)</f>
        <v>0</v>
      </c>
      <c r="AP395" s="42">
        <f ca="1">OFFSET(【DB】被害率係数!$A$4,MATCH(②詳細状況入力!$Y396,【DB】被害率係数!$A$4:$A$19,0)-1,17)</f>
        <v>0</v>
      </c>
      <c r="AQ395" s="42"/>
    </row>
    <row r="396" spans="1:43" x14ac:dyDescent="0.15">
      <c r="A396" s="50"/>
      <c r="B396" s="50"/>
      <c r="C396" s="145">
        <f ca="1">OFFSET(①簡易状況入力!$C$5,MATCH(A395,①簡易状況入力!$C$5:$C$104,0)-1,18)</f>
        <v>0</v>
      </c>
      <c r="D396" s="148" t="s">
        <v>52</v>
      </c>
      <c r="E396" s="56">
        <f t="shared" ref="E396:F396" ca="1" si="1396">E395</f>
        <v>0</v>
      </c>
      <c r="F396" s="56">
        <f t="shared" ca="1" si="1396"/>
        <v>0</v>
      </c>
      <c r="G396" s="104"/>
      <c r="H396" s="104"/>
      <c r="I396" s="104"/>
      <c r="J396" s="104"/>
      <c r="K396" s="104"/>
      <c r="L396" s="104"/>
      <c r="M396" s="104"/>
      <c r="N396" s="104"/>
      <c r="O396" s="105"/>
      <c r="Q396" s="57">
        <f ca="1">OFFSET(①簡易状況入力!$C$5,MATCH(A395,①簡易状況入力!$C$5:$C$104,0)-1,16)</f>
        <v>0</v>
      </c>
      <c r="R396" s="58"/>
      <c r="S396" s="146" t="s">
        <v>115</v>
      </c>
      <c r="T396" s="146" t="s">
        <v>116</v>
      </c>
      <c r="U396" s="36">
        <f ca="1">OFFSET(①簡易状況入力!$C$5,MATCH(A395,①簡易状況入力!$C$5:$C$104,0)-1,4)</f>
        <v>0</v>
      </c>
      <c r="V396" s="58"/>
      <c r="W396" s="146" t="s">
        <v>30</v>
      </c>
      <c r="X396" s="37">
        <f ca="1">OFFSET(①簡易状況入力!$C$5,MATCH(A395,①簡易状況入力!$C$5:$C$104,0)-1,5)</f>
        <v>0</v>
      </c>
      <c r="Y396" s="149">
        <f ca="1">OFFSET(①簡易状況入力!$C$5,MATCH(A395,①簡易状況入力!$C$5:$C$104,0)-1,8)</f>
        <v>0</v>
      </c>
      <c r="Z396" s="149">
        <f ca="1">OFFSET(①簡易状況入力!$C$5,MATCH(A395,①簡易状況入力!$C$5:$C$104,0)-1,9)</f>
        <v>0</v>
      </c>
      <c r="AA396" s="149">
        <f ca="1">OFFSET(①簡易状況入力!$C$5,MATCH(A395,①簡易状況入力!$C$5:$C$104,0)-1,10)</f>
        <v>0</v>
      </c>
      <c r="AB396" s="148" t="s">
        <v>52</v>
      </c>
      <c r="AC396" s="56">
        <f t="shared" ref="AC396:AD396" ca="1" si="1397">AC395</f>
        <v>0</v>
      </c>
      <c r="AD396" s="56">
        <f t="shared" ca="1" si="1397"/>
        <v>0</v>
      </c>
      <c r="AE396" s="63">
        <f ca="1">IF($C396="あり",IF(AC396&gt;=1,G396/AQ396,0),IF(AC396&gt;=1,AO396*AC396,0))</f>
        <v>0</v>
      </c>
      <c r="AF396" s="63">
        <f t="shared" ref="AF396:AF398" ca="1" si="1398">IF($C396="あり",IF($AD396&gt;=AF$4,H396/$AQ396,0),IF($AD396&gt;=AF$4,$AO396,0))</f>
        <v>0</v>
      </c>
      <c r="AG396" s="63">
        <f t="shared" ref="AG396:AG398" ca="1" si="1399">IF($C396="あり",IF($AD396&gt;=AG$4,I396/$AQ396,0),IF($AD396&gt;=AG$4,$AO396,0))</f>
        <v>0</v>
      </c>
      <c r="AH396" s="63">
        <f t="shared" ref="AH396:AH398" ca="1" si="1400">IF($C396="あり",IF($AD396&gt;=AH$4,J396/$AQ396,0),IF($AD396&gt;=AH$4,$AO396,0))</f>
        <v>0</v>
      </c>
      <c r="AI396" s="63">
        <f t="shared" ref="AI396:AI398" ca="1" si="1401">IF($C396="あり",IF($AD396&gt;=AI$4,K396/$AQ396,0),IF($AD396&gt;=AI$4,$AO396,0))</f>
        <v>0</v>
      </c>
      <c r="AJ396" s="63">
        <f t="shared" ref="AJ396:AJ398" ca="1" si="1402">IF($C396="あり",IF($AD396&gt;=AJ$4,L396/$AQ396,0),IF($AD396&gt;=AJ$4,$AO396,0))</f>
        <v>0</v>
      </c>
      <c r="AK396" s="63">
        <f t="shared" ref="AK396:AK398" ca="1" si="1403">IF($C396="あり",IF($AD396&gt;=AK$4,M396/$AQ396,0),IF($AD396&gt;=AK$4,$AO396,0))</f>
        <v>0</v>
      </c>
      <c r="AL396" s="63">
        <f ca="1">IF($C396="あり",IF($AD396&gt;=7,N396/$AQ396,0),IF($AD396&gt;=7,$AO396*($AD396-6),0))</f>
        <v>0</v>
      </c>
      <c r="AM396" s="64" t="s">
        <v>46</v>
      </c>
      <c r="AN396" s="63">
        <f ca="1">SUM(AE396:AM396)</f>
        <v>0</v>
      </c>
      <c r="AO396" s="68" t="e">
        <f ca="1">1/(AC396+AD396)</f>
        <v>#DIV/0!</v>
      </c>
      <c r="AP396" s="67">
        <v>0</v>
      </c>
      <c r="AQ396" s="68">
        <f ca="1">IF(AC396&gt;=1,G396,0)+SUMIF($H$4:$M$4,"&lt;="&amp;AD396,$H396:$M396)+IF(AD396&gt;=7,N396,0)</f>
        <v>0</v>
      </c>
    </row>
    <row r="397" spans="1:43" x14ac:dyDescent="0.15">
      <c r="A397" s="50"/>
      <c r="B397" s="50"/>
      <c r="C397" s="145">
        <f ca="1">OFFSET(①簡易状況入力!$C$5,MATCH(A395,①簡易状況入力!$C$5:$C$104,0)-1,19)</f>
        <v>0</v>
      </c>
      <c r="D397" s="148" t="s">
        <v>50</v>
      </c>
      <c r="E397" s="56">
        <f t="shared" ref="E397" ca="1" si="1404">E396</f>
        <v>0</v>
      </c>
      <c r="F397" s="56">
        <f ca="1">F396</f>
        <v>0</v>
      </c>
      <c r="G397" s="104"/>
      <c r="H397" s="104"/>
      <c r="I397" s="104"/>
      <c r="J397" s="104"/>
      <c r="K397" s="104"/>
      <c r="L397" s="104"/>
      <c r="M397" s="104"/>
      <c r="N397" s="104"/>
      <c r="O397" s="106"/>
      <c r="Q397" s="50"/>
      <c r="R397" s="58"/>
      <c r="S397" s="165" t="s">
        <v>28</v>
      </c>
      <c r="T397" s="146" t="s">
        <v>35</v>
      </c>
      <c r="U397" s="35">
        <f ca="1">OFFSET(①簡易状況入力!$C$5,MATCH(A395,①簡易状況入力!$C$5:$C$104,0)-1,2)</f>
        <v>0</v>
      </c>
      <c r="V397" s="58"/>
      <c r="W397" s="146" t="s">
        <v>33</v>
      </c>
      <c r="X397" s="37">
        <f ca="1">OFFSET(①簡易状況入力!$C$5,MATCH(A395,①簡易状況入力!$C$5:$C$104,0)-1,6)</f>
        <v>0</v>
      </c>
      <c r="Y397" s="149">
        <f ca="1">OFFSET(①簡易状況入力!$C$5,MATCH(A395,①簡易状況入力!$C$5:$C$104,0)-1,11)</f>
        <v>0</v>
      </c>
      <c r="Z397" s="167">
        <f ca="1">OFFSET(①簡易状況入力!$C$5,MATCH(A395,①簡易状況入力!$C$5:$C$104,0)-1,12)</f>
        <v>0</v>
      </c>
      <c r="AA397" s="168"/>
      <c r="AB397" s="148" t="s">
        <v>50</v>
      </c>
      <c r="AC397" s="56">
        <f t="shared" ref="AC397:AD397" ca="1" si="1405">AC396</f>
        <v>0</v>
      </c>
      <c r="AD397" s="56">
        <f t="shared" ca="1" si="1405"/>
        <v>0</v>
      </c>
      <c r="AE397" s="63">
        <f ca="1">IF($C397="あり",IF(AC397&gt;=1,G397/AQ397,0),IF(AC397&gt;=1,AO397*AC397,0))</f>
        <v>0</v>
      </c>
      <c r="AF397" s="63">
        <f t="shared" ca="1" si="1398"/>
        <v>0</v>
      </c>
      <c r="AG397" s="63">
        <f t="shared" ca="1" si="1399"/>
        <v>0</v>
      </c>
      <c r="AH397" s="63">
        <f t="shared" ca="1" si="1400"/>
        <v>0</v>
      </c>
      <c r="AI397" s="63">
        <f t="shared" ca="1" si="1401"/>
        <v>0</v>
      </c>
      <c r="AJ397" s="63">
        <f t="shared" ca="1" si="1402"/>
        <v>0</v>
      </c>
      <c r="AK397" s="63">
        <f t="shared" ca="1" si="1403"/>
        <v>0</v>
      </c>
      <c r="AL397" s="63">
        <f ca="1">IF($C397="あり",IF($AD397&gt;=7,N397/$AQ397,0),IF($AD397&gt;=7,$AO397*($AD397-6),0))</f>
        <v>0</v>
      </c>
      <c r="AM397" s="65">
        <f ca="1">IF(C397="あり",O397/AQ397,AP397)</f>
        <v>0</v>
      </c>
      <c r="AN397" s="63">
        <f ca="1">SUM(AE397:AM397)</f>
        <v>0</v>
      </c>
      <c r="AO397" s="68" t="e">
        <f ca="1">1/(AC397+AD397)</f>
        <v>#DIV/0!</v>
      </c>
      <c r="AP397" s="67">
        <v>0</v>
      </c>
      <c r="AQ397" s="68">
        <f ca="1">IF(AC397&gt;=1,G397,0)+SUMIF($H$4:$M$4,"&lt;="&amp;AD397,$H397:$M397)+IF(AD397&gt;=7,N397,0)+O397</f>
        <v>0</v>
      </c>
    </row>
    <row r="398" spans="1:43" x14ac:dyDescent="0.15">
      <c r="A398" s="50"/>
      <c r="B398" s="50"/>
      <c r="C398" s="145">
        <f ca="1">OFFSET(①簡易状況入力!$C$5,MATCH(A395,①簡易状況入力!$C$5:$C$104,0)-1,20)</f>
        <v>0</v>
      </c>
      <c r="D398" s="148" t="s">
        <v>51</v>
      </c>
      <c r="E398" s="56">
        <f t="shared" ref="E398:F398" ca="1" si="1406">E397</f>
        <v>0</v>
      </c>
      <c r="F398" s="56">
        <f t="shared" ca="1" si="1406"/>
        <v>0</v>
      </c>
      <c r="G398" s="104"/>
      <c r="H398" s="104"/>
      <c r="I398" s="104"/>
      <c r="J398" s="104"/>
      <c r="K398" s="104"/>
      <c r="L398" s="104"/>
      <c r="M398" s="104"/>
      <c r="N398" s="104"/>
      <c r="O398" s="106"/>
      <c r="Q398" s="50"/>
      <c r="R398" s="58"/>
      <c r="S398" s="166"/>
      <c r="T398" s="146" t="s">
        <v>34</v>
      </c>
      <c r="U398" s="35">
        <f ca="1">OFFSET(①簡易状況入力!$C$5,MATCH(A395,①簡易状況入力!$C$5:$C$104,0)-1,3)</f>
        <v>0</v>
      </c>
      <c r="V398" s="58"/>
      <c r="W398" s="146" t="s">
        <v>118</v>
      </c>
      <c r="X398" s="37">
        <f ca="1">OFFSET(①簡易状況入力!$C$5,MATCH(A395,①簡易状況入力!$C$5:$C$104,0)-1,7)</f>
        <v>0</v>
      </c>
      <c r="Y398" s="149">
        <f ca="1">OFFSET(①簡易状況入力!$C$5,MATCH(A395,①簡易状況入力!$C$5:$C$104,0)-1,13)</f>
        <v>0</v>
      </c>
      <c r="Z398" s="167">
        <f ca="1">OFFSET(①簡易状況入力!$C$5,MATCH(A395,①簡易状況入力!$C$5:$C$104,0)-1,14)</f>
        <v>0</v>
      </c>
      <c r="AA398" s="168"/>
      <c r="AB398" s="148" t="s">
        <v>51</v>
      </c>
      <c r="AC398" s="56">
        <f t="shared" ref="AC398:AD398" ca="1" si="1407">AC397</f>
        <v>0</v>
      </c>
      <c r="AD398" s="56">
        <f t="shared" ca="1" si="1407"/>
        <v>0</v>
      </c>
      <c r="AE398" s="63">
        <f ca="1">IF($C398="あり",IF(AC398&gt;=1,G398/AQ398,0),IF(AC398&gt;=1,AO398*AC398,0))</f>
        <v>0</v>
      </c>
      <c r="AF398" s="63">
        <f t="shared" ca="1" si="1398"/>
        <v>0</v>
      </c>
      <c r="AG398" s="63">
        <f t="shared" ca="1" si="1399"/>
        <v>0</v>
      </c>
      <c r="AH398" s="63">
        <f t="shared" ca="1" si="1400"/>
        <v>0</v>
      </c>
      <c r="AI398" s="63">
        <f t="shared" ca="1" si="1401"/>
        <v>0</v>
      </c>
      <c r="AJ398" s="63">
        <f t="shared" ca="1" si="1402"/>
        <v>0</v>
      </c>
      <c r="AK398" s="63">
        <f t="shared" ca="1" si="1403"/>
        <v>0</v>
      </c>
      <c r="AL398" s="63">
        <f ca="1">IF($C398="あり",IF($AD398&gt;=7,N398/$AQ398,0),IF($AD398&gt;=7,$AO398*($AD398-6),0))</f>
        <v>0</v>
      </c>
      <c r="AM398" s="65">
        <f ca="1">IF(C398="あり",O398/AQ398,AP398)</f>
        <v>0</v>
      </c>
      <c r="AN398" s="63">
        <f ca="1">SUM(AE398:AM398)</f>
        <v>0</v>
      </c>
      <c r="AO398" s="68" t="e">
        <f ca="1">1/(AC398+AD398)</f>
        <v>#DIV/0!</v>
      </c>
      <c r="AP398" s="67">
        <v>0</v>
      </c>
      <c r="AQ398" s="68">
        <f ca="1">IF(AC398&gt;=1,G398,0)+SUMIF($H$4:$M$4,"&lt;="&amp;AD398,$H398:$M398)+IF(AD398&gt;=7,N398,0)+O398</f>
        <v>0</v>
      </c>
    </row>
    <row r="399" spans="1:43" x14ac:dyDescent="0.15">
      <c r="G399" s="107"/>
      <c r="H399" s="107"/>
      <c r="I399" s="107"/>
      <c r="J399" s="107"/>
      <c r="K399" s="107"/>
      <c r="L399" s="107"/>
      <c r="M399" s="107"/>
      <c r="N399" s="107"/>
      <c r="O399" s="107"/>
    </row>
    <row r="400" spans="1:43" x14ac:dyDescent="0.15">
      <c r="A400" s="59" t="s">
        <v>395</v>
      </c>
      <c r="B400" s="60">
        <f ca="1">OFFSET(①簡易状況入力!$C$5,MATCH(A400,①簡易状況入力!$C$5:$C$104,0)-1,1)</f>
        <v>0</v>
      </c>
      <c r="C400" s="145">
        <f ca="1">OFFSET(①簡易状況入力!$C$5,MATCH(A400,①簡易状況入力!$C$5:$C$104,0)-1,17)</f>
        <v>0</v>
      </c>
      <c r="D400" s="148" t="s">
        <v>47</v>
      </c>
      <c r="E400" s="56">
        <f ca="1">U403</f>
        <v>0</v>
      </c>
      <c r="F400" s="56">
        <f ca="1">U402</f>
        <v>0</v>
      </c>
      <c r="G400" s="102"/>
      <c r="H400" s="103"/>
      <c r="I400" s="103"/>
      <c r="J400" s="103"/>
      <c r="K400" s="103"/>
      <c r="L400" s="103"/>
      <c r="M400" s="103"/>
      <c r="N400" s="103"/>
      <c r="O400" s="103"/>
      <c r="Q400" s="57">
        <f ca="1">OFFSET(①簡易状況入力!$C$5,MATCH(A400,①簡易状況入力!$C$5:$C$104,0)-1,15)</f>
        <v>0</v>
      </c>
      <c r="R400" s="58"/>
      <c r="S400" s="58"/>
      <c r="T400" s="58"/>
      <c r="U400" s="58"/>
      <c r="V400" s="58"/>
      <c r="W400" s="58"/>
      <c r="X400" s="58"/>
      <c r="Y400" s="58"/>
      <c r="Z400" s="58"/>
      <c r="AA400" s="58"/>
      <c r="AB400" s="148" t="s">
        <v>47</v>
      </c>
      <c r="AC400" s="56">
        <f ca="1">U403</f>
        <v>0</v>
      </c>
      <c r="AD400" s="56">
        <f ca="1">U402</f>
        <v>0</v>
      </c>
      <c r="AE400" s="62" t="s">
        <v>46</v>
      </c>
      <c r="AF400" s="62" t="str">
        <f t="shared" ref="AF400" ca="1" si="1408">IF($C400="あり",IF(AF$4&lt;=$AD400,H400,"-"),IF(AF$4&lt;=$AD400,$AO400,"-"))</f>
        <v>-</v>
      </c>
      <c r="AG400" s="62" t="str">
        <f t="shared" ref="AG400" ca="1" si="1409">IF($C400="あり",IF(AG$4&lt;=$AD400,I400,"-"),IF(AG$4&lt;=$AD400,$AO400,"-"))</f>
        <v>-</v>
      </c>
      <c r="AH400" s="62" t="str">
        <f t="shared" ref="AH400" ca="1" si="1410">IF($C400="あり",IF(AH$4&lt;=$AD400,J400,"-"),IF(AH$4&lt;=$AD400,$AO400,"-"))</f>
        <v>-</v>
      </c>
      <c r="AI400" s="62" t="str">
        <f t="shared" ref="AI400" ca="1" si="1411">IF($C400="あり",IF(AI$4&lt;=$AD400,K400,"-"),IF(AI$4&lt;=$AD400,$AO400,"-"))</f>
        <v>-</v>
      </c>
      <c r="AJ400" s="62" t="str">
        <f t="shared" ref="AJ400" ca="1" si="1412">IF($C400="あり",IF(AJ$4&lt;=$AD400,L400,"-"),IF(AJ$4&lt;=$AD400,$AO400,"-"))</f>
        <v>-</v>
      </c>
      <c r="AK400" s="62" t="str">
        <f t="shared" ref="AK400" ca="1" si="1413">IF($C400="あり",IF(AK$4&lt;=$AD400,M400,"-"),IF(AK$4&lt;=$AD400,$AO400,"-"))</f>
        <v>-</v>
      </c>
      <c r="AL400" s="62" t="str">
        <f ca="1">IF($C400="あり",IF(7&lt;=$AD400,N400,"-"),IF(7&lt;=$AD400,$AO400*($AD400-6),"-"))</f>
        <v>-</v>
      </c>
      <c r="AM400" s="62">
        <f ca="1">IF(C400="あり",O400,AP400)</f>
        <v>0</v>
      </c>
      <c r="AN400" s="62">
        <f ca="1">SUM(U401,AF400:AM400)</f>
        <v>0</v>
      </c>
      <c r="AO400" s="42">
        <f ca="1">OFFSET(【DB】被害率係数!$A$4,MATCH(②詳細状況入力!$Y401,【DB】被害率係数!$A$4:$A$19,0)-1,16)</f>
        <v>0</v>
      </c>
      <c r="AP400" s="42">
        <f ca="1">OFFSET(【DB】被害率係数!$A$4,MATCH(②詳細状況入力!$Y401,【DB】被害率係数!$A$4:$A$19,0)-1,17)</f>
        <v>0</v>
      </c>
      <c r="AQ400" s="42"/>
    </row>
    <row r="401" spans="1:43" x14ac:dyDescent="0.15">
      <c r="A401" s="50"/>
      <c r="B401" s="50"/>
      <c r="C401" s="145">
        <f ca="1">OFFSET(①簡易状況入力!$C$5,MATCH(A400,①簡易状況入力!$C$5:$C$104,0)-1,18)</f>
        <v>0</v>
      </c>
      <c r="D401" s="148" t="s">
        <v>52</v>
      </c>
      <c r="E401" s="56">
        <f t="shared" ref="E401:F401" ca="1" si="1414">E400</f>
        <v>0</v>
      </c>
      <c r="F401" s="56">
        <f t="shared" ca="1" si="1414"/>
        <v>0</v>
      </c>
      <c r="G401" s="104"/>
      <c r="H401" s="104"/>
      <c r="I401" s="104"/>
      <c r="J401" s="104"/>
      <c r="K401" s="104"/>
      <c r="L401" s="104"/>
      <c r="M401" s="104"/>
      <c r="N401" s="104"/>
      <c r="O401" s="105"/>
      <c r="Q401" s="57">
        <f ca="1">OFFSET(①簡易状況入力!$C$5,MATCH(A400,①簡易状況入力!$C$5:$C$104,0)-1,16)</f>
        <v>0</v>
      </c>
      <c r="R401" s="58"/>
      <c r="S401" s="146" t="s">
        <v>115</v>
      </c>
      <c r="T401" s="146" t="s">
        <v>116</v>
      </c>
      <c r="U401" s="36">
        <f ca="1">OFFSET(①簡易状況入力!$C$5,MATCH(A400,①簡易状況入力!$C$5:$C$104,0)-1,4)</f>
        <v>0</v>
      </c>
      <c r="V401" s="58"/>
      <c r="W401" s="146" t="s">
        <v>30</v>
      </c>
      <c r="X401" s="37">
        <f ca="1">OFFSET(①簡易状況入力!$C$5,MATCH(A400,①簡易状況入力!$C$5:$C$104,0)-1,5)</f>
        <v>0</v>
      </c>
      <c r="Y401" s="149">
        <f ca="1">OFFSET(①簡易状況入力!$C$5,MATCH(A400,①簡易状況入力!$C$5:$C$104,0)-1,8)</f>
        <v>0</v>
      </c>
      <c r="Z401" s="149">
        <f ca="1">OFFSET(①簡易状況入力!$C$5,MATCH(A400,①簡易状況入力!$C$5:$C$104,0)-1,9)</f>
        <v>0</v>
      </c>
      <c r="AA401" s="149">
        <f ca="1">OFFSET(①簡易状況入力!$C$5,MATCH(A400,①簡易状況入力!$C$5:$C$104,0)-1,10)</f>
        <v>0</v>
      </c>
      <c r="AB401" s="148" t="s">
        <v>52</v>
      </c>
      <c r="AC401" s="56">
        <f t="shared" ref="AC401:AD401" ca="1" si="1415">AC400</f>
        <v>0</v>
      </c>
      <c r="AD401" s="56">
        <f t="shared" ca="1" si="1415"/>
        <v>0</v>
      </c>
      <c r="AE401" s="63">
        <f ca="1">IF($C401="あり",IF(AC401&gt;=1,G401/AQ401,0),IF(AC401&gt;=1,AO401*AC401,0))</f>
        <v>0</v>
      </c>
      <c r="AF401" s="63">
        <f t="shared" ref="AF401:AF403" ca="1" si="1416">IF($C401="あり",IF($AD401&gt;=AF$4,H401/$AQ401,0),IF($AD401&gt;=AF$4,$AO401,0))</f>
        <v>0</v>
      </c>
      <c r="AG401" s="63">
        <f t="shared" ref="AG401:AG403" ca="1" si="1417">IF($C401="あり",IF($AD401&gt;=AG$4,I401/$AQ401,0),IF($AD401&gt;=AG$4,$AO401,0))</f>
        <v>0</v>
      </c>
      <c r="AH401" s="63">
        <f t="shared" ref="AH401:AH403" ca="1" si="1418">IF($C401="あり",IF($AD401&gt;=AH$4,J401/$AQ401,0),IF($AD401&gt;=AH$4,$AO401,0))</f>
        <v>0</v>
      </c>
      <c r="AI401" s="63">
        <f t="shared" ref="AI401:AI403" ca="1" si="1419">IF($C401="あり",IF($AD401&gt;=AI$4,K401/$AQ401,0),IF($AD401&gt;=AI$4,$AO401,0))</f>
        <v>0</v>
      </c>
      <c r="AJ401" s="63">
        <f t="shared" ref="AJ401:AJ403" ca="1" si="1420">IF($C401="あり",IF($AD401&gt;=AJ$4,L401/$AQ401,0),IF($AD401&gt;=AJ$4,$AO401,0))</f>
        <v>0</v>
      </c>
      <c r="AK401" s="63">
        <f t="shared" ref="AK401:AK403" ca="1" si="1421">IF($C401="あり",IF($AD401&gt;=AK$4,M401/$AQ401,0),IF($AD401&gt;=AK$4,$AO401,0))</f>
        <v>0</v>
      </c>
      <c r="AL401" s="63">
        <f ca="1">IF($C401="あり",IF($AD401&gt;=7,N401/$AQ401,0),IF($AD401&gt;=7,$AO401*($AD401-6),0))</f>
        <v>0</v>
      </c>
      <c r="AM401" s="64" t="s">
        <v>46</v>
      </c>
      <c r="AN401" s="63">
        <f ca="1">SUM(AE401:AM401)</f>
        <v>0</v>
      </c>
      <c r="AO401" s="68" t="e">
        <f ca="1">1/(AC401+AD401)</f>
        <v>#DIV/0!</v>
      </c>
      <c r="AP401" s="67">
        <v>0</v>
      </c>
      <c r="AQ401" s="68">
        <f ca="1">IF(AC401&gt;=1,G401,0)+SUMIF($H$4:$M$4,"&lt;="&amp;AD401,$H401:$M401)+IF(AD401&gt;=7,N401,0)</f>
        <v>0</v>
      </c>
    </row>
    <row r="402" spans="1:43" x14ac:dyDescent="0.15">
      <c r="A402" s="50"/>
      <c r="B402" s="50"/>
      <c r="C402" s="145">
        <f ca="1">OFFSET(①簡易状況入力!$C$5,MATCH(A400,①簡易状況入力!$C$5:$C$104,0)-1,19)</f>
        <v>0</v>
      </c>
      <c r="D402" s="148" t="s">
        <v>50</v>
      </c>
      <c r="E402" s="56">
        <f t="shared" ref="E402" ca="1" si="1422">E401</f>
        <v>0</v>
      </c>
      <c r="F402" s="56">
        <f ca="1">F401</f>
        <v>0</v>
      </c>
      <c r="G402" s="104"/>
      <c r="H402" s="104"/>
      <c r="I402" s="104"/>
      <c r="J402" s="104"/>
      <c r="K402" s="104"/>
      <c r="L402" s="104"/>
      <c r="M402" s="104"/>
      <c r="N402" s="104"/>
      <c r="O402" s="106"/>
      <c r="Q402" s="50"/>
      <c r="R402" s="58"/>
      <c r="S402" s="165" t="s">
        <v>28</v>
      </c>
      <c r="T402" s="146" t="s">
        <v>35</v>
      </c>
      <c r="U402" s="35">
        <f ca="1">OFFSET(①簡易状況入力!$C$5,MATCH(A400,①簡易状況入力!$C$5:$C$104,0)-1,2)</f>
        <v>0</v>
      </c>
      <c r="V402" s="58"/>
      <c r="W402" s="146" t="s">
        <v>33</v>
      </c>
      <c r="X402" s="37">
        <f ca="1">OFFSET(①簡易状況入力!$C$5,MATCH(A400,①簡易状況入力!$C$5:$C$104,0)-1,6)</f>
        <v>0</v>
      </c>
      <c r="Y402" s="149">
        <f ca="1">OFFSET(①簡易状況入力!$C$5,MATCH(A400,①簡易状況入力!$C$5:$C$104,0)-1,11)</f>
        <v>0</v>
      </c>
      <c r="Z402" s="167">
        <f ca="1">OFFSET(①簡易状況入力!$C$5,MATCH(A400,①簡易状況入力!$C$5:$C$104,0)-1,12)</f>
        <v>0</v>
      </c>
      <c r="AA402" s="168"/>
      <c r="AB402" s="148" t="s">
        <v>50</v>
      </c>
      <c r="AC402" s="56">
        <f t="shared" ref="AC402:AD402" ca="1" si="1423">AC401</f>
        <v>0</v>
      </c>
      <c r="AD402" s="56">
        <f t="shared" ca="1" si="1423"/>
        <v>0</v>
      </c>
      <c r="AE402" s="63">
        <f ca="1">IF($C402="あり",IF(AC402&gt;=1,G402/AQ402,0),IF(AC402&gt;=1,AO402*AC402,0))</f>
        <v>0</v>
      </c>
      <c r="AF402" s="63">
        <f t="shared" ca="1" si="1416"/>
        <v>0</v>
      </c>
      <c r="AG402" s="63">
        <f t="shared" ca="1" si="1417"/>
        <v>0</v>
      </c>
      <c r="AH402" s="63">
        <f t="shared" ca="1" si="1418"/>
        <v>0</v>
      </c>
      <c r="AI402" s="63">
        <f t="shared" ca="1" si="1419"/>
        <v>0</v>
      </c>
      <c r="AJ402" s="63">
        <f t="shared" ca="1" si="1420"/>
        <v>0</v>
      </c>
      <c r="AK402" s="63">
        <f t="shared" ca="1" si="1421"/>
        <v>0</v>
      </c>
      <c r="AL402" s="63">
        <f ca="1">IF($C402="あり",IF($AD402&gt;=7,N402/$AQ402,0),IF($AD402&gt;=7,$AO402*($AD402-6),0))</f>
        <v>0</v>
      </c>
      <c r="AM402" s="65">
        <f ca="1">IF(C402="あり",O402/AQ402,AP402)</f>
        <v>0</v>
      </c>
      <c r="AN402" s="63">
        <f ca="1">SUM(AE402:AM402)</f>
        <v>0</v>
      </c>
      <c r="AO402" s="68" t="e">
        <f ca="1">1/(AC402+AD402)</f>
        <v>#DIV/0!</v>
      </c>
      <c r="AP402" s="67">
        <v>0</v>
      </c>
      <c r="AQ402" s="68">
        <f ca="1">IF(AC402&gt;=1,G402,0)+SUMIF($H$4:$M$4,"&lt;="&amp;AD402,$H402:$M402)+IF(AD402&gt;=7,N402,0)+O402</f>
        <v>0</v>
      </c>
    </row>
    <row r="403" spans="1:43" x14ac:dyDescent="0.15">
      <c r="A403" s="50"/>
      <c r="B403" s="50"/>
      <c r="C403" s="145">
        <f ca="1">OFFSET(①簡易状況入力!$C$5,MATCH(A400,①簡易状況入力!$C$5:$C$104,0)-1,20)</f>
        <v>0</v>
      </c>
      <c r="D403" s="148" t="s">
        <v>51</v>
      </c>
      <c r="E403" s="56">
        <f t="shared" ref="E403:F403" ca="1" si="1424">E402</f>
        <v>0</v>
      </c>
      <c r="F403" s="56">
        <f t="shared" ca="1" si="1424"/>
        <v>0</v>
      </c>
      <c r="G403" s="104"/>
      <c r="H403" s="104"/>
      <c r="I403" s="104"/>
      <c r="J403" s="104"/>
      <c r="K403" s="104"/>
      <c r="L403" s="104"/>
      <c r="M403" s="104"/>
      <c r="N403" s="104"/>
      <c r="O403" s="106"/>
      <c r="Q403" s="50"/>
      <c r="R403" s="58"/>
      <c r="S403" s="166"/>
      <c r="T403" s="146" t="s">
        <v>34</v>
      </c>
      <c r="U403" s="35">
        <f ca="1">OFFSET(①簡易状況入力!$C$5,MATCH(A400,①簡易状況入力!$C$5:$C$104,0)-1,3)</f>
        <v>0</v>
      </c>
      <c r="V403" s="58"/>
      <c r="W403" s="146" t="s">
        <v>118</v>
      </c>
      <c r="X403" s="37">
        <f ca="1">OFFSET(①簡易状況入力!$C$5,MATCH(A400,①簡易状況入力!$C$5:$C$104,0)-1,7)</f>
        <v>0</v>
      </c>
      <c r="Y403" s="149">
        <f ca="1">OFFSET(①簡易状況入力!$C$5,MATCH(A400,①簡易状況入力!$C$5:$C$104,0)-1,13)</f>
        <v>0</v>
      </c>
      <c r="Z403" s="167">
        <f ca="1">OFFSET(①簡易状況入力!$C$5,MATCH(A400,①簡易状況入力!$C$5:$C$104,0)-1,14)</f>
        <v>0</v>
      </c>
      <c r="AA403" s="168"/>
      <c r="AB403" s="148" t="s">
        <v>51</v>
      </c>
      <c r="AC403" s="56">
        <f t="shared" ref="AC403:AD403" ca="1" si="1425">AC402</f>
        <v>0</v>
      </c>
      <c r="AD403" s="56">
        <f t="shared" ca="1" si="1425"/>
        <v>0</v>
      </c>
      <c r="AE403" s="63">
        <f ca="1">IF($C403="あり",IF(AC403&gt;=1,G403/AQ403,0),IF(AC403&gt;=1,AO403*AC403,0))</f>
        <v>0</v>
      </c>
      <c r="AF403" s="63">
        <f t="shared" ca="1" si="1416"/>
        <v>0</v>
      </c>
      <c r="AG403" s="63">
        <f t="shared" ca="1" si="1417"/>
        <v>0</v>
      </c>
      <c r="AH403" s="63">
        <f t="shared" ca="1" si="1418"/>
        <v>0</v>
      </c>
      <c r="AI403" s="63">
        <f t="shared" ca="1" si="1419"/>
        <v>0</v>
      </c>
      <c r="AJ403" s="63">
        <f t="shared" ca="1" si="1420"/>
        <v>0</v>
      </c>
      <c r="AK403" s="63">
        <f t="shared" ca="1" si="1421"/>
        <v>0</v>
      </c>
      <c r="AL403" s="63">
        <f ca="1">IF($C403="あり",IF($AD403&gt;=7,N403/$AQ403,0),IF($AD403&gt;=7,$AO403*($AD403-6),0))</f>
        <v>0</v>
      </c>
      <c r="AM403" s="65">
        <f ca="1">IF(C403="あり",O403/AQ403,AP403)</f>
        <v>0</v>
      </c>
      <c r="AN403" s="63">
        <f ca="1">SUM(AE403:AM403)</f>
        <v>0</v>
      </c>
      <c r="AO403" s="68" t="e">
        <f ca="1">1/(AC403+AD403)</f>
        <v>#DIV/0!</v>
      </c>
      <c r="AP403" s="67">
        <v>0</v>
      </c>
      <c r="AQ403" s="68">
        <f ca="1">IF(AC403&gt;=1,G403,0)+SUMIF($H$4:$M$4,"&lt;="&amp;AD403,$H403:$M403)+IF(AD403&gt;=7,N403,0)+O403</f>
        <v>0</v>
      </c>
    </row>
    <row r="405" spans="1:43" x14ac:dyDescent="0.15">
      <c r="A405" s="59" t="s">
        <v>396</v>
      </c>
      <c r="B405" s="60">
        <f ca="1">OFFSET(①簡易状況入力!$C$5,MATCH(A405,①簡易状況入力!$C$5:$C$104,0)-1,1)</f>
        <v>0</v>
      </c>
      <c r="C405" s="145">
        <f ca="1">OFFSET(①簡易状況入力!$C$5,MATCH(A405,①簡易状況入力!$C$5:$C$104,0)-1,17)</f>
        <v>0</v>
      </c>
      <c r="D405" s="148" t="s">
        <v>47</v>
      </c>
      <c r="E405" s="56">
        <f ca="1">U408</f>
        <v>0</v>
      </c>
      <c r="F405" s="56">
        <f ca="1">U407</f>
        <v>0</v>
      </c>
      <c r="G405" s="102"/>
      <c r="H405" s="103"/>
      <c r="I405" s="103"/>
      <c r="J405" s="103"/>
      <c r="K405" s="103"/>
      <c r="L405" s="103"/>
      <c r="M405" s="103"/>
      <c r="N405" s="103"/>
      <c r="O405" s="103"/>
      <c r="Q405" s="57">
        <f ca="1">OFFSET(①簡易状況入力!$C$5,MATCH(A405,①簡易状況入力!$C$5:$C$104,0)-1,15)</f>
        <v>0</v>
      </c>
      <c r="R405" s="58"/>
      <c r="S405" s="58"/>
      <c r="T405" s="58"/>
      <c r="U405" s="58"/>
      <c r="V405" s="58"/>
      <c r="W405" s="58"/>
      <c r="X405" s="58"/>
      <c r="Y405" s="58"/>
      <c r="Z405" s="58"/>
      <c r="AA405" s="58"/>
      <c r="AB405" s="148" t="s">
        <v>47</v>
      </c>
      <c r="AC405" s="56">
        <f ca="1">U408</f>
        <v>0</v>
      </c>
      <c r="AD405" s="56">
        <f ca="1">U407</f>
        <v>0</v>
      </c>
      <c r="AE405" s="62" t="s">
        <v>46</v>
      </c>
      <c r="AF405" s="62" t="str">
        <f t="shared" ref="AF405" ca="1" si="1426">IF($C405="あり",IF(AF$4&lt;=$AD405,H405,"-"),IF(AF$4&lt;=$AD405,$AO405,"-"))</f>
        <v>-</v>
      </c>
      <c r="AG405" s="62" t="str">
        <f t="shared" ref="AG405" ca="1" si="1427">IF($C405="あり",IF(AG$4&lt;=$AD405,I405,"-"),IF(AG$4&lt;=$AD405,$AO405,"-"))</f>
        <v>-</v>
      </c>
      <c r="AH405" s="62" t="str">
        <f t="shared" ref="AH405" ca="1" si="1428">IF($C405="あり",IF(AH$4&lt;=$AD405,J405,"-"),IF(AH$4&lt;=$AD405,$AO405,"-"))</f>
        <v>-</v>
      </c>
      <c r="AI405" s="62" t="str">
        <f t="shared" ref="AI405" ca="1" si="1429">IF($C405="あり",IF(AI$4&lt;=$AD405,K405,"-"),IF(AI$4&lt;=$AD405,$AO405,"-"))</f>
        <v>-</v>
      </c>
      <c r="AJ405" s="62" t="str">
        <f t="shared" ref="AJ405" ca="1" si="1430">IF($C405="あり",IF(AJ$4&lt;=$AD405,L405,"-"),IF(AJ$4&lt;=$AD405,$AO405,"-"))</f>
        <v>-</v>
      </c>
      <c r="AK405" s="62" t="str">
        <f t="shared" ref="AK405" ca="1" si="1431">IF($C405="あり",IF(AK$4&lt;=$AD405,M405,"-"),IF(AK$4&lt;=$AD405,$AO405,"-"))</f>
        <v>-</v>
      </c>
      <c r="AL405" s="62" t="str">
        <f ca="1">IF($C405="あり",IF(7&lt;=$AD405,N405,"-"),IF(7&lt;=$AD405,$AO405*($AD405-6),"-"))</f>
        <v>-</v>
      </c>
      <c r="AM405" s="62">
        <f ca="1">IF(C405="あり",O405,AP405)</f>
        <v>0</v>
      </c>
      <c r="AN405" s="62">
        <f ca="1">SUM(U406,AF405:AM405)</f>
        <v>0</v>
      </c>
      <c r="AO405" s="42">
        <f ca="1">OFFSET(【DB】被害率係数!$A$4,MATCH(②詳細状況入力!$Y406,【DB】被害率係数!$A$4:$A$19,0)-1,16)</f>
        <v>0</v>
      </c>
      <c r="AP405" s="42">
        <f ca="1">OFFSET(【DB】被害率係数!$A$4,MATCH(②詳細状況入力!$Y406,【DB】被害率係数!$A$4:$A$19,0)-1,17)</f>
        <v>0</v>
      </c>
      <c r="AQ405" s="42"/>
    </row>
    <row r="406" spans="1:43" x14ac:dyDescent="0.15">
      <c r="A406" s="50"/>
      <c r="B406" s="50"/>
      <c r="C406" s="145">
        <f ca="1">OFFSET(①簡易状況入力!$C$5,MATCH(A405,①簡易状況入力!$C$5:$C$104,0)-1,18)</f>
        <v>0</v>
      </c>
      <c r="D406" s="148" t="s">
        <v>52</v>
      </c>
      <c r="E406" s="56">
        <f t="shared" ref="E406:F406" ca="1" si="1432">E405</f>
        <v>0</v>
      </c>
      <c r="F406" s="56">
        <f t="shared" ca="1" si="1432"/>
        <v>0</v>
      </c>
      <c r="G406" s="104"/>
      <c r="H406" s="104"/>
      <c r="I406" s="104"/>
      <c r="J406" s="104"/>
      <c r="K406" s="104"/>
      <c r="L406" s="104"/>
      <c r="M406" s="104"/>
      <c r="N406" s="104"/>
      <c r="O406" s="105"/>
      <c r="Q406" s="57">
        <f ca="1">OFFSET(①簡易状況入力!$C$5,MATCH(A405,①簡易状況入力!$C$5:$C$104,0)-1,16)</f>
        <v>0</v>
      </c>
      <c r="R406" s="58"/>
      <c r="S406" s="146" t="s">
        <v>115</v>
      </c>
      <c r="T406" s="146" t="s">
        <v>116</v>
      </c>
      <c r="U406" s="36">
        <f ca="1">OFFSET(①簡易状況入力!$C$5,MATCH(A405,①簡易状況入力!$C$5:$C$104,0)-1,4)</f>
        <v>0</v>
      </c>
      <c r="V406" s="58"/>
      <c r="W406" s="146" t="s">
        <v>30</v>
      </c>
      <c r="X406" s="37">
        <f ca="1">OFFSET(①簡易状況入力!$C$5,MATCH(A405,①簡易状況入力!$C$5:$C$104,0)-1,5)</f>
        <v>0</v>
      </c>
      <c r="Y406" s="149">
        <f ca="1">OFFSET(①簡易状況入力!$C$5,MATCH(A405,①簡易状況入力!$C$5:$C$104,0)-1,8)</f>
        <v>0</v>
      </c>
      <c r="Z406" s="149">
        <f ca="1">OFFSET(①簡易状況入力!$C$5,MATCH(A405,①簡易状況入力!$C$5:$C$104,0)-1,9)</f>
        <v>0</v>
      </c>
      <c r="AA406" s="149">
        <f ca="1">OFFSET(①簡易状況入力!$C$5,MATCH(A405,①簡易状況入力!$C$5:$C$104,0)-1,10)</f>
        <v>0</v>
      </c>
      <c r="AB406" s="148" t="s">
        <v>52</v>
      </c>
      <c r="AC406" s="56">
        <f t="shared" ref="AC406:AD406" ca="1" si="1433">AC405</f>
        <v>0</v>
      </c>
      <c r="AD406" s="56">
        <f t="shared" ca="1" si="1433"/>
        <v>0</v>
      </c>
      <c r="AE406" s="63">
        <f ca="1">IF($C406="あり",IF(AC406&gt;=1,G406/AQ406,0),IF(AC406&gt;=1,AO406*AC406,0))</f>
        <v>0</v>
      </c>
      <c r="AF406" s="63">
        <f t="shared" ref="AF406:AF408" ca="1" si="1434">IF($C406="あり",IF($AD406&gt;=AF$4,H406/$AQ406,0),IF($AD406&gt;=AF$4,$AO406,0))</f>
        <v>0</v>
      </c>
      <c r="AG406" s="63">
        <f t="shared" ref="AG406:AG408" ca="1" si="1435">IF($C406="あり",IF($AD406&gt;=AG$4,I406/$AQ406,0),IF($AD406&gt;=AG$4,$AO406,0))</f>
        <v>0</v>
      </c>
      <c r="AH406" s="63">
        <f t="shared" ref="AH406:AH408" ca="1" si="1436">IF($C406="あり",IF($AD406&gt;=AH$4,J406/$AQ406,0),IF($AD406&gt;=AH$4,$AO406,0))</f>
        <v>0</v>
      </c>
      <c r="AI406" s="63">
        <f t="shared" ref="AI406:AI408" ca="1" si="1437">IF($C406="あり",IF($AD406&gt;=AI$4,K406/$AQ406,0),IF($AD406&gt;=AI$4,$AO406,0))</f>
        <v>0</v>
      </c>
      <c r="AJ406" s="63">
        <f t="shared" ref="AJ406:AJ408" ca="1" si="1438">IF($C406="あり",IF($AD406&gt;=AJ$4,L406/$AQ406,0),IF($AD406&gt;=AJ$4,$AO406,0))</f>
        <v>0</v>
      </c>
      <c r="AK406" s="63">
        <f t="shared" ref="AK406:AK408" ca="1" si="1439">IF($C406="あり",IF($AD406&gt;=AK$4,M406/$AQ406,0),IF($AD406&gt;=AK$4,$AO406,0))</f>
        <v>0</v>
      </c>
      <c r="AL406" s="63">
        <f ca="1">IF($C406="あり",IF($AD406&gt;=7,N406/$AQ406,0),IF($AD406&gt;=7,$AO406*($AD406-6),0))</f>
        <v>0</v>
      </c>
      <c r="AM406" s="64" t="s">
        <v>46</v>
      </c>
      <c r="AN406" s="63">
        <f ca="1">SUM(AE406:AM406)</f>
        <v>0</v>
      </c>
      <c r="AO406" s="68" t="e">
        <f ca="1">1/(AC406+AD406)</f>
        <v>#DIV/0!</v>
      </c>
      <c r="AP406" s="67">
        <v>0</v>
      </c>
      <c r="AQ406" s="68">
        <f ca="1">IF(AC406&gt;=1,G406,0)+SUMIF($H$4:$M$4,"&lt;="&amp;AD406,$H406:$M406)+IF(AD406&gt;=7,N406,0)</f>
        <v>0</v>
      </c>
    </row>
    <row r="407" spans="1:43" x14ac:dyDescent="0.15">
      <c r="A407" s="50"/>
      <c r="B407" s="50"/>
      <c r="C407" s="145">
        <f ca="1">OFFSET(①簡易状況入力!$C$5,MATCH(A405,①簡易状況入力!$C$5:$C$104,0)-1,19)</f>
        <v>0</v>
      </c>
      <c r="D407" s="148" t="s">
        <v>50</v>
      </c>
      <c r="E407" s="56">
        <f t="shared" ref="E407" ca="1" si="1440">E406</f>
        <v>0</v>
      </c>
      <c r="F407" s="56">
        <f ca="1">F406</f>
        <v>0</v>
      </c>
      <c r="G407" s="104"/>
      <c r="H407" s="104"/>
      <c r="I407" s="104"/>
      <c r="J407" s="104"/>
      <c r="K407" s="104"/>
      <c r="L407" s="104"/>
      <c r="M407" s="104"/>
      <c r="N407" s="104"/>
      <c r="O407" s="106"/>
      <c r="Q407" s="50"/>
      <c r="R407" s="58"/>
      <c r="S407" s="165" t="s">
        <v>28</v>
      </c>
      <c r="T407" s="146" t="s">
        <v>35</v>
      </c>
      <c r="U407" s="35">
        <f ca="1">OFFSET(①簡易状況入力!$C$5,MATCH(A405,①簡易状況入力!$C$5:$C$104,0)-1,2)</f>
        <v>0</v>
      </c>
      <c r="V407" s="58"/>
      <c r="W407" s="146" t="s">
        <v>33</v>
      </c>
      <c r="X407" s="37">
        <f ca="1">OFFSET(①簡易状況入力!$C$5,MATCH(A405,①簡易状況入力!$C$5:$C$104,0)-1,6)</f>
        <v>0</v>
      </c>
      <c r="Y407" s="149">
        <f ca="1">OFFSET(①簡易状況入力!$C$5,MATCH(A405,①簡易状況入力!$C$5:$C$104,0)-1,11)</f>
        <v>0</v>
      </c>
      <c r="Z407" s="167">
        <f ca="1">OFFSET(①簡易状況入力!$C$5,MATCH(A405,①簡易状況入力!$C$5:$C$104,0)-1,12)</f>
        <v>0</v>
      </c>
      <c r="AA407" s="168"/>
      <c r="AB407" s="148" t="s">
        <v>50</v>
      </c>
      <c r="AC407" s="56">
        <f t="shared" ref="AC407:AD407" ca="1" si="1441">AC406</f>
        <v>0</v>
      </c>
      <c r="AD407" s="56">
        <f t="shared" ca="1" si="1441"/>
        <v>0</v>
      </c>
      <c r="AE407" s="63">
        <f ca="1">IF($C407="あり",IF(AC407&gt;=1,G407/AQ407,0),IF(AC407&gt;=1,AO407*AC407,0))</f>
        <v>0</v>
      </c>
      <c r="AF407" s="63">
        <f t="shared" ca="1" si="1434"/>
        <v>0</v>
      </c>
      <c r="AG407" s="63">
        <f t="shared" ca="1" si="1435"/>
        <v>0</v>
      </c>
      <c r="AH407" s="63">
        <f t="shared" ca="1" si="1436"/>
        <v>0</v>
      </c>
      <c r="AI407" s="63">
        <f t="shared" ca="1" si="1437"/>
        <v>0</v>
      </c>
      <c r="AJ407" s="63">
        <f t="shared" ca="1" si="1438"/>
        <v>0</v>
      </c>
      <c r="AK407" s="63">
        <f t="shared" ca="1" si="1439"/>
        <v>0</v>
      </c>
      <c r="AL407" s="63">
        <f ca="1">IF($C407="あり",IF($AD407&gt;=7,N407/$AQ407,0),IF($AD407&gt;=7,$AO407*($AD407-6),0))</f>
        <v>0</v>
      </c>
      <c r="AM407" s="65">
        <f ca="1">IF(C407="あり",O407/AQ407,AP407)</f>
        <v>0</v>
      </c>
      <c r="AN407" s="63">
        <f ca="1">SUM(AE407:AM407)</f>
        <v>0</v>
      </c>
      <c r="AO407" s="68" t="e">
        <f ca="1">1/(AC407+AD407)</f>
        <v>#DIV/0!</v>
      </c>
      <c r="AP407" s="67">
        <v>0</v>
      </c>
      <c r="AQ407" s="68">
        <f ca="1">IF(AC407&gt;=1,G407,0)+SUMIF($H$4:$M$4,"&lt;="&amp;AD407,$H407:$M407)+IF(AD407&gt;=7,N407,0)+O407</f>
        <v>0</v>
      </c>
    </row>
    <row r="408" spans="1:43" x14ac:dyDescent="0.15">
      <c r="A408" s="50"/>
      <c r="B408" s="50"/>
      <c r="C408" s="145">
        <f ca="1">OFFSET(①簡易状況入力!$C$5,MATCH(A405,①簡易状況入力!$C$5:$C$104,0)-1,20)</f>
        <v>0</v>
      </c>
      <c r="D408" s="148" t="s">
        <v>51</v>
      </c>
      <c r="E408" s="56">
        <f t="shared" ref="E408:F408" ca="1" si="1442">E407</f>
        <v>0</v>
      </c>
      <c r="F408" s="56">
        <f t="shared" ca="1" si="1442"/>
        <v>0</v>
      </c>
      <c r="G408" s="104"/>
      <c r="H408" s="104"/>
      <c r="I408" s="104"/>
      <c r="J408" s="104"/>
      <c r="K408" s="104"/>
      <c r="L408" s="104"/>
      <c r="M408" s="104"/>
      <c r="N408" s="104"/>
      <c r="O408" s="106"/>
      <c r="Q408" s="50"/>
      <c r="R408" s="58"/>
      <c r="S408" s="166"/>
      <c r="T408" s="146" t="s">
        <v>34</v>
      </c>
      <c r="U408" s="35">
        <f ca="1">OFFSET(①簡易状況入力!$C$5,MATCH(A405,①簡易状況入力!$C$5:$C$104,0)-1,3)</f>
        <v>0</v>
      </c>
      <c r="V408" s="58"/>
      <c r="W408" s="146" t="s">
        <v>118</v>
      </c>
      <c r="X408" s="37">
        <f ca="1">OFFSET(①簡易状況入力!$C$5,MATCH(A405,①簡易状況入力!$C$5:$C$104,0)-1,7)</f>
        <v>0</v>
      </c>
      <c r="Y408" s="149">
        <f ca="1">OFFSET(①簡易状況入力!$C$5,MATCH(A405,①簡易状況入力!$C$5:$C$104,0)-1,13)</f>
        <v>0</v>
      </c>
      <c r="Z408" s="167">
        <f ca="1">OFFSET(①簡易状況入力!$C$5,MATCH(A405,①簡易状況入力!$C$5:$C$104,0)-1,14)</f>
        <v>0</v>
      </c>
      <c r="AA408" s="168"/>
      <c r="AB408" s="148" t="s">
        <v>51</v>
      </c>
      <c r="AC408" s="56">
        <f t="shared" ref="AC408:AD408" ca="1" si="1443">AC407</f>
        <v>0</v>
      </c>
      <c r="AD408" s="56">
        <f t="shared" ca="1" si="1443"/>
        <v>0</v>
      </c>
      <c r="AE408" s="63">
        <f ca="1">IF($C408="あり",IF(AC408&gt;=1,G408/AQ408,0),IF(AC408&gt;=1,AO408*AC408,0))</f>
        <v>0</v>
      </c>
      <c r="AF408" s="63">
        <f t="shared" ca="1" si="1434"/>
        <v>0</v>
      </c>
      <c r="AG408" s="63">
        <f t="shared" ca="1" si="1435"/>
        <v>0</v>
      </c>
      <c r="AH408" s="63">
        <f t="shared" ca="1" si="1436"/>
        <v>0</v>
      </c>
      <c r="AI408" s="63">
        <f t="shared" ca="1" si="1437"/>
        <v>0</v>
      </c>
      <c r="AJ408" s="63">
        <f t="shared" ca="1" si="1438"/>
        <v>0</v>
      </c>
      <c r="AK408" s="63">
        <f t="shared" ca="1" si="1439"/>
        <v>0</v>
      </c>
      <c r="AL408" s="63">
        <f ca="1">IF($C408="あり",IF($AD408&gt;=7,N408/$AQ408,0),IF($AD408&gt;=7,$AO408*($AD408-6),0))</f>
        <v>0</v>
      </c>
      <c r="AM408" s="65">
        <f ca="1">IF(C408="あり",O408/AQ408,AP408)</f>
        <v>0</v>
      </c>
      <c r="AN408" s="63">
        <f ca="1">SUM(AE408:AM408)</f>
        <v>0</v>
      </c>
      <c r="AO408" s="68" t="e">
        <f ca="1">1/(AC408+AD408)</f>
        <v>#DIV/0!</v>
      </c>
      <c r="AP408" s="67">
        <v>0</v>
      </c>
      <c r="AQ408" s="68">
        <f ca="1">IF(AC408&gt;=1,G408,0)+SUMIF($H$4:$M$4,"&lt;="&amp;AD408,$H408:$M408)+IF(AD408&gt;=7,N408,0)+O408</f>
        <v>0</v>
      </c>
    </row>
    <row r="409" spans="1:43" x14ac:dyDescent="0.15">
      <c r="G409" s="107"/>
      <c r="H409" s="107"/>
      <c r="I409" s="107"/>
      <c r="J409" s="107"/>
      <c r="K409" s="107"/>
      <c r="L409" s="107"/>
      <c r="M409" s="107"/>
      <c r="N409" s="107"/>
      <c r="O409" s="107"/>
    </row>
    <row r="410" spans="1:43" x14ac:dyDescent="0.15">
      <c r="A410" s="59" t="s">
        <v>397</v>
      </c>
      <c r="B410" s="60">
        <f ca="1">OFFSET(①簡易状況入力!$C$5,MATCH(A410,①簡易状況入力!$C$5:$C$104,0)-1,1)</f>
        <v>0</v>
      </c>
      <c r="C410" s="145">
        <f ca="1">OFFSET(①簡易状況入力!$C$5,MATCH(A410,①簡易状況入力!$C$5:$C$104,0)-1,17)</f>
        <v>0</v>
      </c>
      <c r="D410" s="148" t="s">
        <v>47</v>
      </c>
      <c r="E410" s="56">
        <f ca="1">U413</f>
        <v>0</v>
      </c>
      <c r="F410" s="56">
        <f ca="1">U412</f>
        <v>0</v>
      </c>
      <c r="G410" s="102"/>
      <c r="H410" s="103"/>
      <c r="I410" s="103"/>
      <c r="J410" s="103"/>
      <c r="K410" s="103"/>
      <c r="L410" s="103"/>
      <c r="M410" s="103"/>
      <c r="N410" s="103"/>
      <c r="O410" s="103"/>
      <c r="Q410" s="57">
        <f ca="1">OFFSET(①簡易状況入力!$C$5,MATCH(A410,①簡易状況入力!$C$5:$C$104,0)-1,15)</f>
        <v>0</v>
      </c>
      <c r="R410" s="58"/>
      <c r="S410" s="58"/>
      <c r="T410" s="58"/>
      <c r="U410" s="58"/>
      <c r="V410" s="58"/>
      <c r="W410" s="58"/>
      <c r="X410" s="58"/>
      <c r="Y410" s="58"/>
      <c r="Z410" s="58"/>
      <c r="AA410" s="58"/>
      <c r="AB410" s="148" t="s">
        <v>47</v>
      </c>
      <c r="AC410" s="56">
        <f ca="1">U413</f>
        <v>0</v>
      </c>
      <c r="AD410" s="56">
        <f ca="1">U412</f>
        <v>0</v>
      </c>
      <c r="AE410" s="62" t="s">
        <v>46</v>
      </c>
      <c r="AF410" s="62" t="str">
        <f t="shared" ref="AF410" ca="1" si="1444">IF($C410="あり",IF(AF$4&lt;=$AD410,H410,"-"),IF(AF$4&lt;=$AD410,$AO410,"-"))</f>
        <v>-</v>
      </c>
      <c r="AG410" s="62" t="str">
        <f t="shared" ref="AG410" ca="1" si="1445">IF($C410="あり",IF(AG$4&lt;=$AD410,I410,"-"),IF(AG$4&lt;=$AD410,$AO410,"-"))</f>
        <v>-</v>
      </c>
      <c r="AH410" s="62" t="str">
        <f t="shared" ref="AH410" ca="1" si="1446">IF($C410="あり",IF(AH$4&lt;=$AD410,J410,"-"),IF(AH$4&lt;=$AD410,$AO410,"-"))</f>
        <v>-</v>
      </c>
      <c r="AI410" s="62" t="str">
        <f t="shared" ref="AI410" ca="1" si="1447">IF($C410="あり",IF(AI$4&lt;=$AD410,K410,"-"),IF(AI$4&lt;=$AD410,$AO410,"-"))</f>
        <v>-</v>
      </c>
      <c r="AJ410" s="62" t="str">
        <f t="shared" ref="AJ410" ca="1" si="1448">IF($C410="あり",IF(AJ$4&lt;=$AD410,L410,"-"),IF(AJ$4&lt;=$AD410,$AO410,"-"))</f>
        <v>-</v>
      </c>
      <c r="AK410" s="62" t="str">
        <f t="shared" ref="AK410" ca="1" si="1449">IF($C410="あり",IF(AK$4&lt;=$AD410,M410,"-"),IF(AK$4&lt;=$AD410,$AO410,"-"))</f>
        <v>-</v>
      </c>
      <c r="AL410" s="62" t="str">
        <f ca="1">IF($C410="あり",IF(7&lt;=$AD410,N410,"-"),IF(7&lt;=$AD410,$AO410*($AD410-6),"-"))</f>
        <v>-</v>
      </c>
      <c r="AM410" s="62">
        <f ca="1">IF(C410="あり",O410,AP410)</f>
        <v>0</v>
      </c>
      <c r="AN410" s="62">
        <f ca="1">SUM(U411,AF410:AM410)</f>
        <v>0</v>
      </c>
      <c r="AO410" s="42">
        <f ca="1">OFFSET(【DB】被害率係数!$A$4,MATCH(②詳細状況入力!$Y411,【DB】被害率係数!$A$4:$A$19,0)-1,16)</f>
        <v>0</v>
      </c>
      <c r="AP410" s="42">
        <f ca="1">OFFSET(【DB】被害率係数!$A$4,MATCH(②詳細状況入力!$Y411,【DB】被害率係数!$A$4:$A$19,0)-1,17)</f>
        <v>0</v>
      </c>
      <c r="AQ410" s="42"/>
    </row>
    <row r="411" spans="1:43" x14ac:dyDescent="0.15">
      <c r="A411" s="50"/>
      <c r="B411" s="50"/>
      <c r="C411" s="145">
        <f ca="1">OFFSET(①簡易状況入力!$C$5,MATCH(A410,①簡易状況入力!$C$5:$C$104,0)-1,18)</f>
        <v>0</v>
      </c>
      <c r="D411" s="148" t="s">
        <v>52</v>
      </c>
      <c r="E411" s="56">
        <f t="shared" ref="E411:F411" ca="1" si="1450">E410</f>
        <v>0</v>
      </c>
      <c r="F411" s="56">
        <f t="shared" ca="1" si="1450"/>
        <v>0</v>
      </c>
      <c r="G411" s="104"/>
      <c r="H411" s="104"/>
      <c r="I411" s="104"/>
      <c r="J411" s="104"/>
      <c r="K411" s="104"/>
      <c r="L411" s="104"/>
      <c r="M411" s="104"/>
      <c r="N411" s="104"/>
      <c r="O411" s="105"/>
      <c r="Q411" s="57">
        <f ca="1">OFFSET(①簡易状況入力!$C$5,MATCH(A410,①簡易状況入力!$C$5:$C$104,0)-1,16)</f>
        <v>0</v>
      </c>
      <c r="R411" s="58"/>
      <c r="S411" s="146" t="s">
        <v>115</v>
      </c>
      <c r="T411" s="146" t="s">
        <v>116</v>
      </c>
      <c r="U411" s="36">
        <f ca="1">OFFSET(①簡易状況入力!$C$5,MATCH(A410,①簡易状況入力!$C$5:$C$104,0)-1,4)</f>
        <v>0</v>
      </c>
      <c r="V411" s="58"/>
      <c r="W411" s="146" t="s">
        <v>30</v>
      </c>
      <c r="X411" s="37">
        <f ca="1">OFFSET(①簡易状況入力!$C$5,MATCH(A410,①簡易状況入力!$C$5:$C$104,0)-1,5)</f>
        <v>0</v>
      </c>
      <c r="Y411" s="149">
        <f ca="1">OFFSET(①簡易状況入力!$C$5,MATCH(A410,①簡易状況入力!$C$5:$C$104,0)-1,8)</f>
        <v>0</v>
      </c>
      <c r="Z411" s="149">
        <f ca="1">OFFSET(①簡易状況入力!$C$5,MATCH(A410,①簡易状況入力!$C$5:$C$104,0)-1,9)</f>
        <v>0</v>
      </c>
      <c r="AA411" s="149">
        <f ca="1">OFFSET(①簡易状況入力!$C$5,MATCH(A410,①簡易状況入力!$C$5:$C$104,0)-1,10)</f>
        <v>0</v>
      </c>
      <c r="AB411" s="148" t="s">
        <v>52</v>
      </c>
      <c r="AC411" s="56">
        <f t="shared" ref="AC411:AD411" ca="1" si="1451">AC410</f>
        <v>0</v>
      </c>
      <c r="AD411" s="56">
        <f t="shared" ca="1" si="1451"/>
        <v>0</v>
      </c>
      <c r="AE411" s="63">
        <f ca="1">IF($C411="あり",IF(AC411&gt;=1,G411/AQ411,0),IF(AC411&gt;=1,AO411*AC411,0))</f>
        <v>0</v>
      </c>
      <c r="AF411" s="63">
        <f t="shared" ref="AF411:AF413" ca="1" si="1452">IF($C411="あり",IF($AD411&gt;=AF$4,H411/$AQ411,0),IF($AD411&gt;=AF$4,$AO411,0))</f>
        <v>0</v>
      </c>
      <c r="AG411" s="63">
        <f t="shared" ref="AG411:AG413" ca="1" si="1453">IF($C411="あり",IF($AD411&gt;=AG$4,I411/$AQ411,0),IF($AD411&gt;=AG$4,$AO411,0))</f>
        <v>0</v>
      </c>
      <c r="AH411" s="63">
        <f t="shared" ref="AH411:AH413" ca="1" si="1454">IF($C411="あり",IF($AD411&gt;=AH$4,J411/$AQ411,0),IF($AD411&gt;=AH$4,$AO411,0))</f>
        <v>0</v>
      </c>
      <c r="AI411" s="63">
        <f t="shared" ref="AI411:AI413" ca="1" si="1455">IF($C411="あり",IF($AD411&gt;=AI$4,K411/$AQ411,0),IF($AD411&gt;=AI$4,$AO411,0))</f>
        <v>0</v>
      </c>
      <c r="AJ411" s="63">
        <f t="shared" ref="AJ411:AJ413" ca="1" si="1456">IF($C411="あり",IF($AD411&gt;=AJ$4,L411/$AQ411,0),IF($AD411&gt;=AJ$4,$AO411,0))</f>
        <v>0</v>
      </c>
      <c r="AK411" s="63">
        <f t="shared" ref="AK411:AK413" ca="1" si="1457">IF($C411="あり",IF($AD411&gt;=AK$4,M411/$AQ411,0),IF($AD411&gt;=AK$4,$AO411,0))</f>
        <v>0</v>
      </c>
      <c r="AL411" s="63">
        <f ca="1">IF($C411="あり",IF($AD411&gt;=7,N411/$AQ411,0),IF($AD411&gt;=7,$AO411*($AD411-6),0))</f>
        <v>0</v>
      </c>
      <c r="AM411" s="64" t="s">
        <v>46</v>
      </c>
      <c r="AN411" s="63">
        <f ca="1">SUM(AE411:AM411)</f>
        <v>0</v>
      </c>
      <c r="AO411" s="68" t="e">
        <f ca="1">1/(AC411+AD411)</f>
        <v>#DIV/0!</v>
      </c>
      <c r="AP411" s="67">
        <v>0</v>
      </c>
      <c r="AQ411" s="68">
        <f ca="1">IF(AC411&gt;=1,G411,0)+SUMIF($H$4:$M$4,"&lt;="&amp;AD411,$H411:$M411)+IF(AD411&gt;=7,N411,0)</f>
        <v>0</v>
      </c>
    </row>
    <row r="412" spans="1:43" x14ac:dyDescent="0.15">
      <c r="A412" s="50"/>
      <c r="B412" s="50"/>
      <c r="C412" s="145">
        <f ca="1">OFFSET(①簡易状況入力!$C$5,MATCH(A410,①簡易状況入力!$C$5:$C$104,0)-1,19)</f>
        <v>0</v>
      </c>
      <c r="D412" s="148" t="s">
        <v>50</v>
      </c>
      <c r="E412" s="56">
        <f t="shared" ref="E412" ca="1" si="1458">E411</f>
        <v>0</v>
      </c>
      <c r="F412" s="56">
        <f ca="1">F411</f>
        <v>0</v>
      </c>
      <c r="G412" s="104"/>
      <c r="H412" s="104"/>
      <c r="I412" s="104"/>
      <c r="J412" s="104"/>
      <c r="K412" s="104"/>
      <c r="L412" s="104"/>
      <c r="M412" s="104"/>
      <c r="N412" s="104"/>
      <c r="O412" s="106"/>
      <c r="Q412" s="50"/>
      <c r="R412" s="58"/>
      <c r="S412" s="165" t="s">
        <v>28</v>
      </c>
      <c r="T412" s="146" t="s">
        <v>35</v>
      </c>
      <c r="U412" s="35">
        <f ca="1">OFFSET(①簡易状況入力!$C$5,MATCH(A410,①簡易状況入力!$C$5:$C$104,0)-1,2)</f>
        <v>0</v>
      </c>
      <c r="V412" s="58"/>
      <c r="W412" s="146" t="s">
        <v>33</v>
      </c>
      <c r="X412" s="37">
        <f ca="1">OFFSET(①簡易状況入力!$C$5,MATCH(A410,①簡易状況入力!$C$5:$C$104,0)-1,6)</f>
        <v>0</v>
      </c>
      <c r="Y412" s="149">
        <f ca="1">OFFSET(①簡易状況入力!$C$5,MATCH(A410,①簡易状況入力!$C$5:$C$104,0)-1,11)</f>
        <v>0</v>
      </c>
      <c r="Z412" s="167">
        <f ca="1">OFFSET(①簡易状況入力!$C$5,MATCH(A410,①簡易状況入力!$C$5:$C$104,0)-1,12)</f>
        <v>0</v>
      </c>
      <c r="AA412" s="168"/>
      <c r="AB412" s="148" t="s">
        <v>50</v>
      </c>
      <c r="AC412" s="56">
        <f t="shared" ref="AC412:AD412" ca="1" si="1459">AC411</f>
        <v>0</v>
      </c>
      <c r="AD412" s="56">
        <f t="shared" ca="1" si="1459"/>
        <v>0</v>
      </c>
      <c r="AE412" s="63">
        <f ca="1">IF($C412="あり",IF(AC412&gt;=1,G412/AQ412,0),IF(AC412&gt;=1,AO412*AC412,0))</f>
        <v>0</v>
      </c>
      <c r="AF412" s="63">
        <f t="shared" ca="1" si="1452"/>
        <v>0</v>
      </c>
      <c r="AG412" s="63">
        <f t="shared" ca="1" si="1453"/>
        <v>0</v>
      </c>
      <c r="AH412" s="63">
        <f t="shared" ca="1" si="1454"/>
        <v>0</v>
      </c>
      <c r="AI412" s="63">
        <f t="shared" ca="1" si="1455"/>
        <v>0</v>
      </c>
      <c r="AJ412" s="63">
        <f t="shared" ca="1" si="1456"/>
        <v>0</v>
      </c>
      <c r="AK412" s="63">
        <f t="shared" ca="1" si="1457"/>
        <v>0</v>
      </c>
      <c r="AL412" s="63">
        <f ca="1">IF($C412="あり",IF($AD412&gt;=7,N412/$AQ412,0),IF($AD412&gt;=7,$AO412*($AD412-6),0))</f>
        <v>0</v>
      </c>
      <c r="AM412" s="65">
        <f ca="1">IF(C412="あり",O412/AQ412,AP412)</f>
        <v>0</v>
      </c>
      <c r="AN412" s="63">
        <f ca="1">SUM(AE412:AM412)</f>
        <v>0</v>
      </c>
      <c r="AO412" s="68" t="e">
        <f ca="1">1/(AC412+AD412)</f>
        <v>#DIV/0!</v>
      </c>
      <c r="AP412" s="67">
        <v>0</v>
      </c>
      <c r="AQ412" s="68">
        <f ca="1">IF(AC412&gt;=1,G412,0)+SUMIF($H$4:$M$4,"&lt;="&amp;AD412,$H412:$M412)+IF(AD412&gt;=7,N412,0)+O412</f>
        <v>0</v>
      </c>
    </row>
    <row r="413" spans="1:43" x14ac:dyDescent="0.15">
      <c r="A413" s="50"/>
      <c r="B413" s="50"/>
      <c r="C413" s="145">
        <f ca="1">OFFSET(①簡易状況入力!$C$5,MATCH(A410,①簡易状況入力!$C$5:$C$104,0)-1,20)</f>
        <v>0</v>
      </c>
      <c r="D413" s="148" t="s">
        <v>51</v>
      </c>
      <c r="E413" s="56">
        <f t="shared" ref="E413:F413" ca="1" si="1460">E412</f>
        <v>0</v>
      </c>
      <c r="F413" s="56">
        <f t="shared" ca="1" si="1460"/>
        <v>0</v>
      </c>
      <c r="G413" s="104"/>
      <c r="H413" s="104"/>
      <c r="I413" s="104"/>
      <c r="J413" s="104"/>
      <c r="K413" s="104"/>
      <c r="L413" s="104"/>
      <c r="M413" s="104"/>
      <c r="N413" s="104"/>
      <c r="O413" s="106"/>
      <c r="Q413" s="50"/>
      <c r="R413" s="58"/>
      <c r="S413" s="166"/>
      <c r="T413" s="146" t="s">
        <v>34</v>
      </c>
      <c r="U413" s="35">
        <f ca="1">OFFSET(①簡易状況入力!$C$5,MATCH(A410,①簡易状況入力!$C$5:$C$104,0)-1,3)</f>
        <v>0</v>
      </c>
      <c r="V413" s="58"/>
      <c r="W413" s="146" t="s">
        <v>118</v>
      </c>
      <c r="X413" s="37">
        <f ca="1">OFFSET(①簡易状況入力!$C$5,MATCH(A410,①簡易状況入力!$C$5:$C$104,0)-1,7)</f>
        <v>0</v>
      </c>
      <c r="Y413" s="149">
        <f ca="1">OFFSET(①簡易状況入力!$C$5,MATCH(A410,①簡易状況入力!$C$5:$C$104,0)-1,13)</f>
        <v>0</v>
      </c>
      <c r="Z413" s="167">
        <f ca="1">OFFSET(①簡易状況入力!$C$5,MATCH(A410,①簡易状況入力!$C$5:$C$104,0)-1,14)</f>
        <v>0</v>
      </c>
      <c r="AA413" s="168"/>
      <c r="AB413" s="148" t="s">
        <v>51</v>
      </c>
      <c r="AC413" s="56">
        <f t="shared" ref="AC413:AD413" ca="1" si="1461">AC412</f>
        <v>0</v>
      </c>
      <c r="AD413" s="56">
        <f t="shared" ca="1" si="1461"/>
        <v>0</v>
      </c>
      <c r="AE413" s="63">
        <f ca="1">IF($C413="あり",IF(AC413&gt;=1,G413/AQ413,0),IF(AC413&gt;=1,AO413*AC413,0))</f>
        <v>0</v>
      </c>
      <c r="AF413" s="63">
        <f t="shared" ca="1" si="1452"/>
        <v>0</v>
      </c>
      <c r="AG413" s="63">
        <f t="shared" ca="1" si="1453"/>
        <v>0</v>
      </c>
      <c r="AH413" s="63">
        <f t="shared" ca="1" si="1454"/>
        <v>0</v>
      </c>
      <c r="AI413" s="63">
        <f t="shared" ca="1" si="1455"/>
        <v>0</v>
      </c>
      <c r="AJ413" s="63">
        <f t="shared" ca="1" si="1456"/>
        <v>0</v>
      </c>
      <c r="AK413" s="63">
        <f t="shared" ca="1" si="1457"/>
        <v>0</v>
      </c>
      <c r="AL413" s="63">
        <f ca="1">IF($C413="あり",IF($AD413&gt;=7,N413/$AQ413,0),IF($AD413&gt;=7,$AO413*($AD413-6),0))</f>
        <v>0</v>
      </c>
      <c r="AM413" s="65">
        <f ca="1">IF(C413="あり",O413/AQ413,AP413)</f>
        <v>0</v>
      </c>
      <c r="AN413" s="63">
        <f ca="1">SUM(AE413:AM413)</f>
        <v>0</v>
      </c>
      <c r="AO413" s="68" t="e">
        <f ca="1">1/(AC413+AD413)</f>
        <v>#DIV/0!</v>
      </c>
      <c r="AP413" s="67">
        <v>0</v>
      </c>
      <c r="AQ413" s="68">
        <f ca="1">IF(AC413&gt;=1,G413,0)+SUMIF($H$4:$M$4,"&lt;="&amp;AD413,$H413:$M413)+IF(AD413&gt;=7,N413,0)+O413</f>
        <v>0</v>
      </c>
    </row>
    <row r="414" spans="1:43" x14ac:dyDescent="0.15">
      <c r="G414" s="107"/>
      <c r="H414" s="107"/>
      <c r="I414" s="107"/>
      <c r="J414" s="107"/>
      <c r="K414" s="107"/>
      <c r="L414" s="107"/>
      <c r="M414" s="107"/>
      <c r="N414" s="107"/>
      <c r="O414" s="107"/>
    </row>
    <row r="415" spans="1:43" x14ac:dyDescent="0.15">
      <c r="A415" s="59" t="s">
        <v>398</v>
      </c>
      <c r="B415" s="60">
        <f ca="1">OFFSET(①簡易状況入力!$C$5,MATCH(A415,①簡易状況入力!$C$5:$C$104,0)-1,1)</f>
        <v>0</v>
      </c>
      <c r="C415" s="145">
        <f ca="1">OFFSET(①簡易状況入力!$C$5,MATCH(A415,①簡易状況入力!$C$5:$C$104,0)-1,17)</f>
        <v>0</v>
      </c>
      <c r="D415" s="148" t="s">
        <v>47</v>
      </c>
      <c r="E415" s="56">
        <f ca="1">U418</f>
        <v>0</v>
      </c>
      <c r="F415" s="56">
        <f ca="1">U417</f>
        <v>0</v>
      </c>
      <c r="G415" s="102"/>
      <c r="H415" s="103"/>
      <c r="I415" s="103"/>
      <c r="J415" s="103"/>
      <c r="K415" s="103"/>
      <c r="L415" s="103"/>
      <c r="M415" s="103"/>
      <c r="N415" s="103"/>
      <c r="O415" s="103"/>
      <c r="Q415" s="57">
        <f ca="1">OFFSET(①簡易状況入力!$C$5,MATCH(A415,①簡易状況入力!$C$5:$C$104,0)-1,15)</f>
        <v>0</v>
      </c>
      <c r="R415" s="58"/>
      <c r="S415" s="58"/>
      <c r="T415" s="58"/>
      <c r="U415" s="58"/>
      <c r="V415" s="58"/>
      <c r="W415" s="58"/>
      <c r="X415" s="58"/>
      <c r="Y415" s="58"/>
      <c r="Z415" s="58"/>
      <c r="AA415" s="58"/>
      <c r="AB415" s="148" t="s">
        <v>47</v>
      </c>
      <c r="AC415" s="56">
        <f ca="1">U418</f>
        <v>0</v>
      </c>
      <c r="AD415" s="56">
        <f ca="1">U417</f>
        <v>0</v>
      </c>
      <c r="AE415" s="62" t="s">
        <v>46</v>
      </c>
      <c r="AF415" s="62" t="str">
        <f t="shared" ref="AF415" ca="1" si="1462">IF($C415="あり",IF(AF$4&lt;=$AD415,H415,"-"),IF(AF$4&lt;=$AD415,$AO415,"-"))</f>
        <v>-</v>
      </c>
      <c r="AG415" s="62" t="str">
        <f t="shared" ref="AG415" ca="1" si="1463">IF($C415="あり",IF(AG$4&lt;=$AD415,I415,"-"),IF(AG$4&lt;=$AD415,$AO415,"-"))</f>
        <v>-</v>
      </c>
      <c r="AH415" s="62" t="str">
        <f t="shared" ref="AH415" ca="1" si="1464">IF($C415="あり",IF(AH$4&lt;=$AD415,J415,"-"),IF(AH$4&lt;=$AD415,$AO415,"-"))</f>
        <v>-</v>
      </c>
      <c r="AI415" s="62" t="str">
        <f t="shared" ref="AI415" ca="1" si="1465">IF($C415="あり",IF(AI$4&lt;=$AD415,K415,"-"),IF(AI$4&lt;=$AD415,$AO415,"-"))</f>
        <v>-</v>
      </c>
      <c r="AJ415" s="62" t="str">
        <f t="shared" ref="AJ415" ca="1" si="1466">IF($C415="あり",IF(AJ$4&lt;=$AD415,L415,"-"),IF(AJ$4&lt;=$AD415,$AO415,"-"))</f>
        <v>-</v>
      </c>
      <c r="AK415" s="62" t="str">
        <f t="shared" ref="AK415" ca="1" si="1467">IF($C415="あり",IF(AK$4&lt;=$AD415,M415,"-"),IF(AK$4&lt;=$AD415,$AO415,"-"))</f>
        <v>-</v>
      </c>
      <c r="AL415" s="62" t="str">
        <f ca="1">IF($C415="あり",IF(7&lt;=$AD415,N415,"-"),IF(7&lt;=$AD415,$AO415*($AD415-6),"-"))</f>
        <v>-</v>
      </c>
      <c r="AM415" s="62">
        <f ca="1">IF(C415="あり",O415,AP415)</f>
        <v>0</v>
      </c>
      <c r="AN415" s="62">
        <f ca="1">SUM(U416,AF415:AM415)</f>
        <v>0</v>
      </c>
      <c r="AO415" s="42">
        <f ca="1">OFFSET(【DB】被害率係数!$A$4,MATCH(②詳細状況入力!$Y416,【DB】被害率係数!$A$4:$A$19,0)-1,16)</f>
        <v>0</v>
      </c>
      <c r="AP415" s="42">
        <f ca="1">OFFSET(【DB】被害率係数!$A$4,MATCH(②詳細状況入力!$Y416,【DB】被害率係数!$A$4:$A$19,0)-1,17)</f>
        <v>0</v>
      </c>
      <c r="AQ415" s="42"/>
    </row>
    <row r="416" spans="1:43" x14ac:dyDescent="0.15">
      <c r="A416" s="50"/>
      <c r="B416" s="50"/>
      <c r="C416" s="145">
        <f ca="1">OFFSET(①簡易状況入力!$C$5,MATCH(A415,①簡易状況入力!$C$5:$C$104,0)-1,18)</f>
        <v>0</v>
      </c>
      <c r="D416" s="148" t="s">
        <v>52</v>
      </c>
      <c r="E416" s="56">
        <f t="shared" ref="E416:F416" ca="1" si="1468">E415</f>
        <v>0</v>
      </c>
      <c r="F416" s="56">
        <f t="shared" ca="1" si="1468"/>
        <v>0</v>
      </c>
      <c r="G416" s="104"/>
      <c r="H416" s="104"/>
      <c r="I416" s="104"/>
      <c r="J416" s="104"/>
      <c r="K416" s="104"/>
      <c r="L416" s="104"/>
      <c r="M416" s="104"/>
      <c r="N416" s="104"/>
      <c r="O416" s="105"/>
      <c r="Q416" s="57">
        <f ca="1">OFFSET(①簡易状況入力!$C$5,MATCH(A415,①簡易状況入力!$C$5:$C$104,0)-1,16)</f>
        <v>0</v>
      </c>
      <c r="R416" s="58"/>
      <c r="S416" s="146" t="s">
        <v>115</v>
      </c>
      <c r="T416" s="146" t="s">
        <v>116</v>
      </c>
      <c r="U416" s="36">
        <f ca="1">OFFSET(①簡易状況入力!$C$5,MATCH(A415,①簡易状況入力!$C$5:$C$104,0)-1,4)</f>
        <v>0</v>
      </c>
      <c r="V416" s="58"/>
      <c r="W416" s="146" t="s">
        <v>30</v>
      </c>
      <c r="X416" s="37">
        <f ca="1">OFFSET(①簡易状況入力!$C$5,MATCH(A415,①簡易状況入力!$C$5:$C$104,0)-1,5)</f>
        <v>0</v>
      </c>
      <c r="Y416" s="149">
        <f ca="1">OFFSET(①簡易状況入力!$C$5,MATCH(A415,①簡易状況入力!$C$5:$C$104,0)-1,8)</f>
        <v>0</v>
      </c>
      <c r="Z416" s="149">
        <f ca="1">OFFSET(①簡易状況入力!$C$5,MATCH(A415,①簡易状況入力!$C$5:$C$104,0)-1,9)</f>
        <v>0</v>
      </c>
      <c r="AA416" s="149">
        <f ca="1">OFFSET(①簡易状況入力!$C$5,MATCH(A415,①簡易状況入力!$C$5:$C$104,0)-1,10)</f>
        <v>0</v>
      </c>
      <c r="AB416" s="148" t="s">
        <v>52</v>
      </c>
      <c r="AC416" s="56">
        <f t="shared" ref="AC416:AD416" ca="1" si="1469">AC415</f>
        <v>0</v>
      </c>
      <c r="AD416" s="56">
        <f t="shared" ca="1" si="1469"/>
        <v>0</v>
      </c>
      <c r="AE416" s="63">
        <f ca="1">IF($C416="あり",IF(AC416&gt;=1,G416/AQ416,0),IF(AC416&gt;=1,AO416*AC416,0))</f>
        <v>0</v>
      </c>
      <c r="AF416" s="63">
        <f t="shared" ref="AF416:AF418" ca="1" si="1470">IF($C416="あり",IF($AD416&gt;=AF$4,H416/$AQ416,0),IF($AD416&gt;=AF$4,$AO416,0))</f>
        <v>0</v>
      </c>
      <c r="AG416" s="63">
        <f t="shared" ref="AG416:AG418" ca="1" si="1471">IF($C416="あり",IF($AD416&gt;=AG$4,I416/$AQ416,0),IF($AD416&gt;=AG$4,$AO416,0))</f>
        <v>0</v>
      </c>
      <c r="AH416" s="63">
        <f t="shared" ref="AH416:AH418" ca="1" si="1472">IF($C416="あり",IF($AD416&gt;=AH$4,J416/$AQ416,0),IF($AD416&gt;=AH$4,$AO416,0))</f>
        <v>0</v>
      </c>
      <c r="AI416" s="63">
        <f t="shared" ref="AI416:AI418" ca="1" si="1473">IF($C416="あり",IF($AD416&gt;=AI$4,K416/$AQ416,0),IF($AD416&gt;=AI$4,$AO416,0))</f>
        <v>0</v>
      </c>
      <c r="AJ416" s="63">
        <f t="shared" ref="AJ416:AJ418" ca="1" si="1474">IF($C416="あり",IF($AD416&gt;=AJ$4,L416/$AQ416,0),IF($AD416&gt;=AJ$4,$AO416,0))</f>
        <v>0</v>
      </c>
      <c r="AK416" s="63">
        <f t="shared" ref="AK416:AK418" ca="1" si="1475">IF($C416="あり",IF($AD416&gt;=AK$4,M416/$AQ416,0),IF($AD416&gt;=AK$4,$AO416,0))</f>
        <v>0</v>
      </c>
      <c r="AL416" s="63">
        <f ca="1">IF($C416="あり",IF($AD416&gt;=7,N416/$AQ416,0),IF($AD416&gt;=7,$AO416*($AD416-6),0))</f>
        <v>0</v>
      </c>
      <c r="AM416" s="64" t="s">
        <v>46</v>
      </c>
      <c r="AN416" s="63">
        <f ca="1">SUM(AE416:AM416)</f>
        <v>0</v>
      </c>
      <c r="AO416" s="68" t="e">
        <f ca="1">1/(AC416+AD416)</f>
        <v>#DIV/0!</v>
      </c>
      <c r="AP416" s="67">
        <v>0</v>
      </c>
      <c r="AQ416" s="68">
        <f ca="1">IF(AC416&gt;=1,G416,0)+SUMIF($H$4:$M$4,"&lt;="&amp;AD416,$H416:$M416)+IF(AD416&gt;=7,N416,0)</f>
        <v>0</v>
      </c>
    </row>
    <row r="417" spans="1:43" x14ac:dyDescent="0.15">
      <c r="A417" s="50"/>
      <c r="B417" s="50"/>
      <c r="C417" s="145">
        <f ca="1">OFFSET(①簡易状況入力!$C$5,MATCH(A415,①簡易状況入力!$C$5:$C$104,0)-1,19)</f>
        <v>0</v>
      </c>
      <c r="D417" s="148" t="s">
        <v>50</v>
      </c>
      <c r="E417" s="56">
        <f t="shared" ref="E417" ca="1" si="1476">E416</f>
        <v>0</v>
      </c>
      <c r="F417" s="56">
        <f ca="1">F416</f>
        <v>0</v>
      </c>
      <c r="G417" s="104"/>
      <c r="H417" s="104"/>
      <c r="I417" s="104"/>
      <c r="J417" s="104"/>
      <c r="K417" s="104"/>
      <c r="L417" s="104"/>
      <c r="M417" s="104"/>
      <c r="N417" s="104"/>
      <c r="O417" s="106"/>
      <c r="Q417" s="50"/>
      <c r="R417" s="58"/>
      <c r="S417" s="165" t="s">
        <v>28</v>
      </c>
      <c r="T417" s="146" t="s">
        <v>35</v>
      </c>
      <c r="U417" s="35">
        <f ca="1">OFFSET(①簡易状況入力!$C$5,MATCH(A415,①簡易状況入力!$C$5:$C$104,0)-1,2)</f>
        <v>0</v>
      </c>
      <c r="V417" s="58"/>
      <c r="W417" s="146" t="s">
        <v>33</v>
      </c>
      <c r="X417" s="37">
        <f ca="1">OFFSET(①簡易状況入力!$C$5,MATCH(A415,①簡易状況入力!$C$5:$C$104,0)-1,6)</f>
        <v>0</v>
      </c>
      <c r="Y417" s="149">
        <f ca="1">OFFSET(①簡易状況入力!$C$5,MATCH(A415,①簡易状況入力!$C$5:$C$104,0)-1,11)</f>
        <v>0</v>
      </c>
      <c r="Z417" s="167">
        <f ca="1">OFFSET(①簡易状況入力!$C$5,MATCH(A415,①簡易状況入力!$C$5:$C$104,0)-1,12)</f>
        <v>0</v>
      </c>
      <c r="AA417" s="168"/>
      <c r="AB417" s="148" t="s">
        <v>50</v>
      </c>
      <c r="AC417" s="56">
        <f t="shared" ref="AC417:AD417" ca="1" si="1477">AC416</f>
        <v>0</v>
      </c>
      <c r="AD417" s="56">
        <f t="shared" ca="1" si="1477"/>
        <v>0</v>
      </c>
      <c r="AE417" s="63">
        <f ca="1">IF($C417="あり",IF(AC417&gt;=1,G417/AQ417,0),IF(AC417&gt;=1,AO417*AC417,0))</f>
        <v>0</v>
      </c>
      <c r="AF417" s="63">
        <f t="shared" ca="1" si="1470"/>
        <v>0</v>
      </c>
      <c r="AG417" s="63">
        <f t="shared" ca="1" si="1471"/>
        <v>0</v>
      </c>
      <c r="AH417" s="63">
        <f t="shared" ca="1" si="1472"/>
        <v>0</v>
      </c>
      <c r="AI417" s="63">
        <f t="shared" ca="1" si="1473"/>
        <v>0</v>
      </c>
      <c r="AJ417" s="63">
        <f t="shared" ca="1" si="1474"/>
        <v>0</v>
      </c>
      <c r="AK417" s="63">
        <f t="shared" ca="1" si="1475"/>
        <v>0</v>
      </c>
      <c r="AL417" s="63">
        <f ca="1">IF($C417="あり",IF($AD417&gt;=7,N417/$AQ417,0),IF($AD417&gt;=7,$AO417*($AD417-6),0))</f>
        <v>0</v>
      </c>
      <c r="AM417" s="65">
        <f ca="1">IF(C417="あり",O417/AQ417,AP417)</f>
        <v>0</v>
      </c>
      <c r="AN417" s="63">
        <f ca="1">SUM(AE417:AM417)</f>
        <v>0</v>
      </c>
      <c r="AO417" s="68" t="e">
        <f ca="1">1/(AC417+AD417)</f>
        <v>#DIV/0!</v>
      </c>
      <c r="AP417" s="67">
        <v>0</v>
      </c>
      <c r="AQ417" s="68">
        <f ca="1">IF(AC417&gt;=1,G417,0)+SUMIF($H$4:$M$4,"&lt;="&amp;AD417,$H417:$M417)+IF(AD417&gt;=7,N417,0)+O417</f>
        <v>0</v>
      </c>
    </row>
    <row r="418" spans="1:43" x14ac:dyDescent="0.15">
      <c r="A418" s="50"/>
      <c r="B418" s="50"/>
      <c r="C418" s="145">
        <f ca="1">OFFSET(①簡易状況入力!$C$5,MATCH(A415,①簡易状況入力!$C$5:$C$104,0)-1,20)</f>
        <v>0</v>
      </c>
      <c r="D418" s="148" t="s">
        <v>51</v>
      </c>
      <c r="E418" s="56">
        <f t="shared" ref="E418:F418" ca="1" si="1478">E417</f>
        <v>0</v>
      </c>
      <c r="F418" s="56">
        <f t="shared" ca="1" si="1478"/>
        <v>0</v>
      </c>
      <c r="G418" s="104"/>
      <c r="H418" s="104"/>
      <c r="I418" s="104"/>
      <c r="J418" s="104"/>
      <c r="K418" s="104"/>
      <c r="L418" s="104"/>
      <c r="M418" s="104"/>
      <c r="N418" s="104"/>
      <c r="O418" s="106"/>
      <c r="Q418" s="50"/>
      <c r="R418" s="58"/>
      <c r="S418" s="166"/>
      <c r="T418" s="146" t="s">
        <v>34</v>
      </c>
      <c r="U418" s="35">
        <f ca="1">OFFSET(①簡易状況入力!$C$5,MATCH(A415,①簡易状況入力!$C$5:$C$104,0)-1,3)</f>
        <v>0</v>
      </c>
      <c r="V418" s="58"/>
      <c r="W418" s="146" t="s">
        <v>118</v>
      </c>
      <c r="X418" s="37">
        <f ca="1">OFFSET(①簡易状況入力!$C$5,MATCH(A415,①簡易状況入力!$C$5:$C$104,0)-1,7)</f>
        <v>0</v>
      </c>
      <c r="Y418" s="149">
        <f ca="1">OFFSET(①簡易状況入力!$C$5,MATCH(A415,①簡易状況入力!$C$5:$C$104,0)-1,13)</f>
        <v>0</v>
      </c>
      <c r="Z418" s="167">
        <f ca="1">OFFSET(①簡易状況入力!$C$5,MATCH(A415,①簡易状況入力!$C$5:$C$104,0)-1,14)</f>
        <v>0</v>
      </c>
      <c r="AA418" s="168"/>
      <c r="AB418" s="148" t="s">
        <v>51</v>
      </c>
      <c r="AC418" s="56">
        <f t="shared" ref="AC418:AD418" ca="1" si="1479">AC417</f>
        <v>0</v>
      </c>
      <c r="AD418" s="56">
        <f t="shared" ca="1" si="1479"/>
        <v>0</v>
      </c>
      <c r="AE418" s="63">
        <f ca="1">IF($C418="あり",IF(AC418&gt;=1,G418/AQ418,0),IF(AC418&gt;=1,AO418*AC418,0))</f>
        <v>0</v>
      </c>
      <c r="AF418" s="63">
        <f t="shared" ca="1" si="1470"/>
        <v>0</v>
      </c>
      <c r="AG418" s="63">
        <f t="shared" ca="1" si="1471"/>
        <v>0</v>
      </c>
      <c r="AH418" s="63">
        <f t="shared" ca="1" si="1472"/>
        <v>0</v>
      </c>
      <c r="AI418" s="63">
        <f t="shared" ca="1" si="1473"/>
        <v>0</v>
      </c>
      <c r="AJ418" s="63">
        <f t="shared" ca="1" si="1474"/>
        <v>0</v>
      </c>
      <c r="AK418" s="63">
        <f t="shared" ca="1" si="1475"/>
        <v>0</v>
      </c>
      <c r="AL418" s="63">
        <f ca="1">IF($C418="あり",IF($AD418&gt;=7,N418/$AQ418,0),IF($AD418&gt;=7,$AO418*($AD418-6),0))</f>
        <v>0</v>
      </c>
      <c r="AM418" s="65">
        <f ca="1">IF(C418="あり",O418/AQ418,AP418)</f>
        <v>0</v>
      </c>
      <c r="AN418" s="63">
        <f ca="1">SUM(AE418:AM418)</f>
        <v>0</v>
      </c>
      <c r="AO418" s="68" t="e">
        <f ca="1">1/(AC418+AD418)</f>
        <v>#DIV/0!</v>
      </c>
      <c r="AP418" s="67">
        <v>0</v>
      </c>
      <c r="AQ418" s="68">
        <f ca="1">IF(AC418&gt;=1,G418,0)+SUMIF($H$4:$M$4,"&lt;="&amp;AD418,$H418:$M418)+IF(AD418&gt;=7,N418,0)+O418</f>
        <v>0</v>
      </c>
    </row>
    <row r="419" spans="1:43" x14ac:dyDescent="0.15">
      <c r="G419" s="107"/>
      <c r="H419" s="107"/>
      <c r="I419" s="107"/>
      <c r="J419" s="107"/>
      <c r="K419" s="107"/>
      <c r="L419" s="107"/>
      <c r="M419" s="107"/>
      <c r="N419" s="107"/>
      <c r="O419" s="107"/>
    </row>
    <row r="420" spans="1:43" x14ac:dyDescent="0.15">
      <c r="A420" s="59" t="s">
        <v>399</v>
      </c>
      <c r="B420" s="60">
        <f ca="1">OFFSET(①簡易状況入力!$C$5,MATCH(A420,①簡易状況入力!$C$5:$C$104,0)-1,1)</f>
        <v>0</v>
      </c>
      <c r="C420" s="145">
        <f ca="1">OFFSET(①簡易状況入力!$C$5,MATCH(A420,①簡易状況入力!$C$5:$C$104,0)-1,17)</f>
        <v>0</v>
      </c>
      <c r="D420" s="148" t="s">
        <v>47</v>
      </c>
      <c r="E420" s="56">
        <f ca="1">U423</f>
        <v>0</v>
      </c>
      <c r="F420" s="56">
        <f ca="1">U422</f>
        <v>0</v>
      </c>
      <c r="G420" s="102"/>
      <c r="H420" s="103"/>
      <c r="I420" s="103"/>
      <c r="J420" s="103"/>
      <c r="K420" s="103"/>
      <c r="L420" s="103"/>
      <c r="M420" s="103"/>
      <c r="N420" s="103"/>
      <c r="O420" s="103"/>
      <c r="Q420" s="57">
        <f ca="1">OFFSET(①簡易状況入力!$C$5,MATCH(A420,①簡易状況入力!$C$5:$C$104,0)-1,15)</f>
        <v>0</v>
      </c>
      <c r="R420" s="58"/>
      <c r="S420" s="58"/>
      <c r="T420" s="58"/>
      <c r="U420" s="58"/>
      <c r="V420" s="58"/>
      <c r="W420" s="58"/>
      <c r="X420" s="58"/>
      <c r="Y420" s="58"/>
      <c r="Z420" s="58"/>
      <c r="AA420" s="58"/>
      <c r="AB420" s="148" t="s">
        <v>47</v>
      </c>
      <c r="AC420" s="56">
        <f ca="1">U423</f>
        <v>0</v>
      </c>
      <c r="AD420" s="56">
        <f ca="1">U422</f>
        <v>0</v>
      </c>
      <c r="AE420" s="62" t="s">
        <v>46</v>
      </c>
      <c r="AF420" s="62" t="str">
        <f t="shared" ref="AF420" ca="1" si="1480">IF($C420="あり",IF(AF$4&lt;=$AD420,H420,"-"),IF(AF$4&lt;=$AD420,$AO420,"-"))</f>
        <v>-</v>
      </c>
      <c r="AG420" s="62" t="str">
        <f t="shared" ref="AG420" ca="1" si="1481">IF($C420="あり",IF(AG$4&lt;=$AD420,I420,"-"),IF(AG$4&lt;=$AD420,$AO420,"-"))</f>
        <v>-</v>
      </c>
      <c r="AH420" s="62" t="str">
        <f t="shared" ref="AH420" ca="1" si="1482">IF($C420="あり",IF(AH$4&lt;=$AD420,J420,"-"),IF(AH$4&lt;=$AD420,$AO420,"-"))</f>
        <v>-</v>
      </c>
      <c r="AI420" s="62" t="str">
        <f t="shared" ref="AI420" ca="1" si="1483">IF($C420="あり",IF(AI$4&lt;=$AD420,K420,"-"),IF(AI$4&lt;=$AD420,$AO420,"-"))</f>
        <v>-</v>
      </c>
      <c r="AJ420" s="62" t="str">
        <f t="shared" ref="AJ420" ca="1" si="1484">IF($C420="あり",IF(AJ$4&lt;=$AD420,L420,"-"),IF(AJ$4&lt;=$AD420,$AO420,"-"))</f>
        <v>-</v>
      </c>
      <c r="AK420" s="62" t="str">
        <f t="shared" ref="AK420" ca="1" si="1485">IF($C420="あり",IF(AK$4&lt;=$AD420,M420,"-"),IF(AK$4&lt;=$AD420,$AO420,"-"))</f>
        <v>-</v>
      </c>
      <c r="AL420" s="62" t="str">
        <f ca="1">IF($C420="あり",IF(7&lt;=$AD420,N420,"-"),IF(7&lt;=$AD420,$AO420*($AD420-6),"-"))</f>
        <v>-</v>
      </c>
      <c r="AM420" s="62">
        <f ca="1">IF(C420="あり",O420,AP420)</f>
        <v>0</v>
      </c>
      <c r="AN420" s="62">
        <f ca="1">SUM(U421,AF420:AM420)</f>
        <v>0</v>
      </c>
      <c r="AO420" s="42">
        <f ca="1">OFFSET(【DB】被害率係数!$A$4,MATCH(②詳細状況入力!$Y421,【DB】被害率係数!$A$4:$A$19,0)-1,16)</f>
        <v>0</v>
      </c>
      <c r="AP420" s="42">
        <f ca="1">OFFSET(【DB】被害率係数!$A$4,MATCH(②詳細状況入力!$Y421,【DB】被害率係数!$A$4:$A$19,0)-1,17)</f>
        <v>0</v>
      </c>
      <c r="AQ420" s="42"/>
    </row>
    <row r="421" spans="1:43" x14ac:dyDescent="0.15">
      <c r="A421" s="50"/>
      <c r="B421" s="50"/>
      <c r="C421" s="145">
        <f ca="1">OFFSET(①簡易状況入力!$C$5,MATCH(A420,①簡易状況入力!$C$5:$C$104,0)-1,18)</f>
        <v>0</v>
      </c>
      <c r="D421" s="148" t="s">
        <v>52</v>
      </c>
      <c r="E421" s="56">
        <f t="shared" ref="E421:F421" ca="1" si="1486">E420</f>
        <v>0</v>
      </c>
      <c r="F421" s="56">
        <f t="shared" ca="1" si="1486"/>
        <v>0</v>
      </c>
      <c r="G421" s="104"/>
      <c r="H421" s="104"/>
      <c r="I421" s="104"/>
      <c r="J421" s="104"/>
      <c r="K421" s="104"/>
      <c r="L421" s="104"/>
      <c r="M421" s="104"/>
      <c r="N421" s="104"/>
      <c r="O421" s="105"/>
      <c r="Q421" s="57">
        <f ca="1">OFFSET(①簡易状況入力!$C$5,MATCH(A420,①簡易状況入力!$C$5:$C$104,0)-1,16)</f>
        <v>0</v>
      </c>
      <c r="R421" s="58"/>
      <c r="S421" s="146" t="s">
        <v>115</v>
      </c>
      <c r="T421" s="146" t="s">
        <v>116</v>
      </c>
      <c r="U421" s="36">
        <f ca="1">OFFSET(①簡易状況入力!$C$5,MATCH(A420,①簡易状況入力!$C$5:$C$104,0)-1,4)</f>
        <v>0</v>
      </c>
      <c r="V421" s="58"/>
      <c r="W421" s="146" t="s">
        <v>30</v>
      </c>
      <c r="X421" s="37">
        <f ca="1">OFFSET(①簡易状況入力!$C$5,MATCH(A420,①簡易状況入力!$C$5:$C$104,0)-1,5)</f>
        <v>0</v>
      </c>
      <c r="Y421" s="149">
        <f ca="1">OFFSET(①簡易状況入力!$C$5,MATCH(A420,①簡易状況入力!$C$5:$C$104,0)-1,8)</f>
        <v>0</v>
      </c>
      <c r="Z421" s="149">
        <f ca="1">OFFSET(①簡易状況入力!$C$5,MATCH(A420,①簡易状況入力!$C$5:$C$104,0)-1,9)</f>
        <v>0</v>
      </c>
      <c r="AA421" s="149">
        <f ca="1">OFFSET(①簡易状況入力!$C$5,MATCH(A420,①簡易状況入力!$C$5:$C$104,0)-1,10)</f>
        <v>0</v>
      </c>
      <c r="AB421" s="148" t="s">
        <v>52</v>
      </c>
      <c r="AC421" s="56">
        <f t="shared" ref="AC421:AD421" ca="1" si="1487">AC420</f>
        <v>0</v>
      </c>
      <c r="AD421" s="56">
        <f t="shared" ca="1" si="1487"/>
        <v>0</v>
      </c>
      <c r="AE421" s="63">
        <f ca="1">IF($C421="あり",IF(AC421&gt;=1,G421/AQ421,0),IF(AC421&gt;=1,AO421*AC421,0))</f>
        <v>0</v>
      </c>
      <c r="AF421" s="63">
        <f t="shared" ref="AF421:AF423" ca="1" si="1488">IF($C421="あり",IF($AD421&gt;=AF$4,H421/$AQ421,0),IF($AD421&gt;=AF$4,$AO421,0))</f>
        <v>0</v>
      </c>
      <c r="AG421" s="63">
        <f t="shared" ref="AG421:AG423" ca="1" si="1489">IF($C421="あり",IF($AD421&gt;=AG$4,I421/$AQ421,0),IF($AD421&gt;=AG$4,$AO421,0))</f>
        <v>0</v>
      </c>
      <c r="AH421" s="63">
        <f t="shared" ref="AH421:AH423" ca="1" si="1490">IF($C421="あり",IF($AD421&gt;=AH$4,J421/$AQ421,0),IF($AD421&gt;=AH$4,$AO421,0))</f>
        <v>0</v>
      </c>
      <c r="AI421" s="63">
        <f t="shared" ref="AI421:AI423" ca="1" si="1491">IF($C421="あり",IF($AD421&gt;=AI$4,K421/$AQ421,0),IF($AD421&gt;=AI$4,$AO421,0))</f>
        <v>0</v>
      </c>
      <c r="AJ421" s="63">
        <f t="shared" ref="AJ421:AJ423" ca="1" si="1492">IF($C421="あり",IF($AD421&gt;=AJ$4,L421/$AQ421,0),IF($AD421&gt;=AJ$4,$AO421,0))</f>
        <v>0</v>
      </c>
      <c r="AK421" s="63">
        <f t="shared" ref="AK421:AK423" ca="1" si="1493">IF($C421="あり",IF($AD421&gt;=AK$4,M421/$AQ421,0),IF($AD421&gt;=AK$4,$AO421,0))</f>
        <v>0</v>
      </c>
      <c r="AL421" s="63">
        <f ca="1">IF($C421="あり",IF($AD421&gt;=7,N421/$AQ421,0),IF($AD421&gt;=7,$AO421*($AD421-6),0))</f>
        <v>0</v>
      </c>
      <c r="AM421" s="64" t="s">
        <v>46</v>
      </c>
      <c r="AN421" s="63">
        <f ca="1">SUM(AE421:AM421)</f>
        <v>0</v>
      </c>
      <c r="AO421" s="68" t="e">
        <f ca="1">1/(AC421+AD421)</f>
        <v>#DIV/0!</v>
      </c>
      <c r="AP421" s="67">
        <v>0</v>
      </c>
      <c r="AQ421" s="68">
        <f ca="1">IF(AC421&gt;=1,G421,0)+SUMIF($H$4:$M$4,"&lt;="&amp;AD421,$H421:$M421)+IF(AD421&gt;=7,N421,0)</f>
        <v>0</v>
      </c>
    </row>
    <row r="422" spans="1:43" x14ac:dyDescent="0.15">
      <c r="A422" s="50"/>
      <c r="B422" s="50"/>
      <c r="C422" s="145">
        <f ca="1">OFFSET(①簡易状況入力!$C$5,MATCH(A420,①簡易状況入力!$C$5:$C$104,0)-1,19)</f>
        <v>0</v>
      </c>
      <c r="D422" s="148" t="s">
        <v>50</v>
      </c>
      <c r="E422" s="56">
        <f t="shared" ref="E422" ca="1" si="1494">E421</f>
        <v>0</v>
      </c>
      <c r="F422" s="56">
        <f ca="1">F421</f>
        <v>0</v>
      </c>
      <c r="G422" s="104"/>
      <c r="H422" s="104"/>
      <c r="I422" s="104"/>
      <c r="J422" s="104"/>
      <c r="K422" s="104"/>
      <c r="L422" s="104"/>
      <c r="M422" s="104"/>
      <c r="N422" s="104"/>
      <c r="O422" s="106"/>
      <c r="Q422" s="50"/>
      <c r="R422" s="58"/>
      <c r="S422" s="165" t="s">
        <v>28</v>
      </c>
      <c r="T422" s="146" t="s">
        <v>35</v>
      </c>
      <c r="U422" s="35">
        <f ca="1">OFFSET(①簡易状況入力!$C$5,MATCH(A420,①簡易状況入力!$C$5:$C$104,0)-1,2)</f>
        <v>0</v>
      </c>
      <c r="V422" s="58"/>
      <c r="W422" s="146" t="s">
        <v>33</v>
      </c>
      <c r="X422" s="37">
        <f ca="1">OFFSET(①簡易状況入力!$C$5,MATCH(A420,①簡易状況入力!$C$5:$C$104,0)-1,6)</f>
        <v>0</v>
      </c>
      <c r="Y422" s="149">
        <f ca="1">OFFSET(①簡易状況入力!$C$5,MATCH(A420,①簡易状況入力!$C$5:$C$104,0)-1,11)</f>
        <v>0</v>
      </c>
      <c r="Z422" s="167">
        <f ca="1">OFFSET(①簡易状況入力!$C$5,MATCH(A420,①簡易状況入力!$C$5:$C$104,0)-1,12)</f>
        <v>0</v>
      </c>
      <c r="AA422" s="168"/>
      <c r="AB422" s="148" t="s">
        <v>50</v>
      </c>
      <c r="AC422" s="56">
        <f t="shared" ref="AC422:AD422" ca="1" si="1495">AC421</f>
        <v>0</v>
      </c>
      <c r="AD422" s="56">
        <f t="shared" ca="1" si="1495"/>
        <v>0</v>
      </c>
      <c r="AE422" s="63">
        <f ca="1">IF($C422="あり",IF(AC422&gt;=1,G422/AQ422,0),IF(AC422&gt;=1,AO422*AC422,0))</f>
        <v>0</v>
      </c>
      <c r="AF422" s="63">
        <f t="shared" ca="1" si="1488"/>
        <v>0</v>
      </c>
      <c r="AG422" s="63">
        <f t="shared" ca="1" si="1489"/>
        <v>0</v>
      </c>
      <c r="AH422" s="63">
        <f t="shared" ca="1" si="1490"/>
        <v>0</v>
      </c>
      <c r="AI422" s="63">
        <f t="shared" ca="1" si="1491"/>
        <v>0</v>
      </c>
      <c r="AJ422" s="63">
        <f t="shared" ca="1" si="1492"/>
        <v>0</v>
      </c>
      <c r="AK422" s="63">
        <f t="shared" ca="1" si="1493"/>
        <v>0</v>
      </c>
      <c r="AL422" s="63">
        <f ca="1">IF($C422="あり",IF($AD422&gt;=7,N422/$AQ422,0),IF($AD422&gt;=7,$AO422*($AD422-6),0))</f>
        <v>0</v>
      </c>
      <c r="AM422" s="65">
        <f ca="1">IF(C422="あり",O422/AQ422,AP422)</f>
        <v>0</v>
      </c>
      <c r="AN422" s="63">
        <f ca="1">SUM(AE422:AM422)</f>
        <v>0</v>
      </c>
      <c r="AO422" s="68" t="e">
        <f ca="1">1/(AC422+AD422)</f>
        <v>#DIV/0!</v>
      </c>
      <c r="AP422" s="67">
        <v>0</v>
      </c>
      <c r="AQ422" s="68">
        <f ca="1">IF(AC422&gt;=1,G422,0)+SUMIF($H$4:$M$4,"&lt;="&amp;AD422,$H422:$M422)+IF(AD422&gt;=7,N422,0)+O422</f>
        <v>0</v>
      </c>
    </row>
    <row r="423" spans="1:43" x14ac:dyDescent="0.15">
      <c r="A423" s="50"/>
      <c r="B423" s="50"/>
      <c r="C423" s="145">
        <f ca="1">OFFSET(①簡易状況入力!$C$5,MATCH(A420,①簡易状況入力!$C$5:$C$104,0)-1,20)</f>
        <v>0</v>
      </c>
      <c r="D423" s="148" t="s">
        <v>51</v>
      </c>
      <c r="E423" s="56">
        <f t="shared" ref="E423:F423" ca="1" si="1496">E422</f>
        <v>0</v>
      </c>
      <c r="F423" s="56">
        <f t="shared" ca="1" si="1496"/>
        <v>0</v>
      </c>
      <c r="G423" s="104"/>
      <c r="H423" s="104"/>
      <c r="I423" s="104"/>
      <c r="J423" s="104"/>
      <c r="K423" s="104"/>
      <c r="L423" s="104"/>
      <c r="M423" s="104"/>
      <c r="N423" s="104"/>
      <c r="O423" s="106"/>
      <c r="Q423" s="50"/>
      <c r="R423" s="58"/>
      <c r="S423" s="166"/>
      <c r="T423" s="146" t="s">
        <v>34</v>
      </c>
      <c r="U423" s="35">
        <f ca="1">OFFSET(①簡易状況入力!$C$5,MATCH(A420,①簡易状況入力!$C$5:$C$104,0)-1,3)</f>
        <v>0</v>
      </c>
      <c r="V423" s="58"/>
      <c r="W423" s="146" t="s">
        <v>118</v>
      </c>
      <c r="X423" s="37">
        <f ca="1">OFFSET(①簡易状況入力!$C$5,MATCH(A420,①簡易状況入力!$C$5:$C$104,0)-1,7)</f>
        <v>0</v>
      </c>
      <c r="Y423" s="149">
        <f ca="1">OFFSET(①簡易状況入力!$C$5,MATCH(A420,①簡易状況入力!$C$5:$C$104,0)-1,13)</f>
        <v>0</v>
      </c>
      <c r="Z423" s="167">
        <f ca="1">OFFSET(①簡易状況入力!$C$5,MATCH(A420,①簡易状況入力!$C$5:$C$104,0)-1,14)</f>
        <v>0</v>
      </c>
      <c r="AA423" s="168"/>
      <c r="AB423" s="148" t="s">
        <v>51</v>
      </c>
      <c r="AC423" s="56">
        <f t="shared" ref="AC423:AD423" ca="1" si="1497">AC422</f>
        <v>0</v>
      </c>
      <c r="AD423" s="56">
        <f t="shared" ca="1" si="1497"/>
        <v>0</v>
      </c>
      <c r="AE423" s="63">
        <f ca="1">IF($C423="あり",IF(AC423&gt;=1,G423/AQ423,0),IF(AC423&gt;=1,AO423*AC423,0))</f>
        <v>0</v>
      </c>
      <c r="AF423" s="63">
        <f t="shared" ca="1" si="1488"/>
        <v>0</v>
      </c>
      <c r="AG423" s="63">
        <f t="shared" ca="1" si="1489"/>
        <v>0</v>
      </c>
      <c r="AH423" s="63">
        <f t="shared" ca="1" si="1490"/>
        <v>0</v>
      </c>
      <c r="AI423" s="63">
        <f t="shared" ca="1" si="1491"/>
        <v>0</v>
      </c>
      <c r="AJ423" s="63">
        <f t="shared" ca="1" si="1492"/>
        <v>0</v>
      </c>
      <c r="AK423" s="63">
        <f t="shared" ca="1" si="1493"/>
        <v>0</v>
      </c>
      <c r="AL423" s="63">
        <f ca="1">IF($C423="あり",IF($AD423&gt;=7,N423/$AQ423,0),IF($AD423&gt;=7,$AO423*($AD423-6),0))</f>
        <v>0</v>
      </c>
      <c r="AM423" s="65">
        <f ca="1">IF(C423="あり",O423/AQ423,AP423)</f>
        <v>0</v>
      </c>
      <c r="AN423" s="63">
        <f ca="1">SUM(AE423:AM423)</f>
        <v>0</v>
      </c>
      <c r="AO423" s="68" t="e">
        <f ca="1">1/(AC423+AD423)</f>
        <v>#DIV/0!</v>
      </c>
      <c r="AP423" s="67">
        <v>0</v>
      </c>
      <c r="AQ423" s="68">
        <f ca="1">IF(AC423&gt;=1,G423,0)+SUMIF($H$4:$M$4,"&lt;="&amp;AD423,$H423:$M423)+IF(AD423&gt;=7,N423,0)+O423</f>
        <v>0</v>
      </c>
    </row>
    <row r="424" spans="1:43" x14ac:dyDescent="0.15">
      <c r="G424" s="107"/>
      <c r="H424" s="107"/>
      <c r="I424" s="107"/>
      <c r="J424" s="107"/>
      <c r="K424" s="107"/>
      <c r="L424" s="107"/>
      <c r="M424" s="107"/>
      <c r="N424" s="107"/>
      <c r="O424" s="107"/>
    </row>
    <row r="425" spans="1:43" x14ac:dyDescent="0.15">
      <c r="A425" s="59" t="s">
        <v>400</v>
      </c>
      <c r="B425" s="60">
        <f ca="1">OFFSET(①簡易状況入力!$C$5,MATCH(A425,①簡易状況入力!$C$5:$C$104,0)-1,1)</f>
        <v>0</v>
      </c>
      <c r="C425" s="145">
        <f ca="1">OFFSET(①簡易状況入力!$C$5,MATCH(A425,①簡易状況入力!$C$5:$C$104,0)-1,17)</f>
        <v>0</v>
      </c>
      <c r="D425" s="148" t="s">
        <v>47</v>
      </c>
      <c r="E425" s="56">
        <f ca="1">U428</f>
        <v>0</v>
      </c>
      <c r="F425" s="56">
        <f ca="1">U427</f>
        <v>0</v>
      </c>
      <c r="G425" s="102"/>
      <c r="H425" s="103"/>
      <c r="I425" s="103"/>
      <c r="J425" s="103"/>
      <c r="K425" s="103"/>
      <c r="L425" s="103"/>
      <c r="M425" s="103"/>
      <c r="N425" s="103"/>
      <c r="O425" s="103"/>
      <c r="Q425" s="57">
        <f ca="1">OFFSET(①簡易状況入力!$C$5,MATCH(A425,①簡易状況入力!$C$5:$C$104,0)-1,15)</f>
        <v>0</v>
      </c>
      <c r="R425" s="58"/>
      <c r="S425" s="58"/>
      <c r="T425" s="58"/>
      <c r="U425" s="58"/>
      <c r="V425" s="58"/>
      <c r="W425" s="58"/>
      <c r="X425" s="58"/>
      <c r="Y425" s="58"/>
      <c r="Z425" s="58"/>
      <c r="AA425" s="58"/>
      <c r="AB425" s="148" t="s">
        <v>47</v>
      </c>
      <c r="AC425" s="56">
        <f ca="1">U428</f>
        <v>0</v>
      </c>
      <c r="AD425" s="56">
        <f ca="1">U427</f>
        <v>0</v>
      </c>
      <c r="AE425" s="62" t="s">
        <v>46</v>
      </c>
      <c r="AF425" s="62" t="str">
        <f t="shared" ref="AF425" ca="1" si="1498">IF($C425="あり",IF(AF$4&lt;=$AD425,H425,"-"),IF(AF$4&lt;=$AD425,$AO425,"-"))</f>
        <v>-</v>
      </c>
      <c r="AG425" s="62" t="str">
        <f t="shared" ref="AG425" ca="1" si="1499">IF($C425="あり",IF(AG$4&lt;=$AD425,I425,"-"),IF(AG$4&lt;=$AD425,$AO425,"-"))</f>
        <v>-</v>
      </c>
      <c r="AH425" s="62" t="str">
        <f t="shared" ref="AH425" ca="1" si="1500">IF($C425="あり",IF(AH$4&lt;=$AD425,J425,"-"),IF(AH$4&lt;=$AD425,$AO425,"-"))</f>
        <v>-</v>
      </c>
      <c r="AI425" s="62" t="str">
        <f t="shared" ref="AI425" ca="1" si="1501">IF($C425="あり",IF(AI$4&lt;=$AD425,K425,"-"),IF(AI$4&lt;=$AD425,$AO425,"-"))</f>
        <v>-</v>
      </c>
      <c r="AJ425" s="62" t="str">
        <f t="shared" ref="AJ425" ca="1" si="1502">IF($C425="あり",IF(AJ$4&lt;=$AD425,L425,"-"),IF(AJ$4&lt;=$AD425,$AO425,"-"))</f>
        <v>-</v>
      </c>
      <c r="AK425" s="62" t="str">
        <f t="shared" ref="AK425" ca="1" si="1503">IF($C425="あり",IF(AK$4&lt;=$AD425,M425,"-"),IF(AK$4&lt;=$AD425,$AO425,"-"))</f>
        <v>-</v>
      </c>
      <c r="AL425" s="62" t="str">
        <f ca="1">IF($C425="あり",IF(7&lt;=$AD425,N425,"-"),IF(7&lt;=$AD425,$AO425*($AD425-6),"-"))</f>
        <v>-</v>
      </c>
      <c r="AM425" s="62">
        <f ca="1">IF(C425="あり",O425,AP425)</f>
        <v>0</v>
      </c>
      <c r="AN425" s="62">
        <f ca="1">SUM(U426,AF425:AM425)</f>
        <v>0</v>
      </c>
      <c r="AO425" s="42">
        <f ca="1">OFFSET(【DB】被害率係数!$A$4,MATCH(②詳細状況入力!$Y426,【DB】被害率係数!$A$4:$A$19,0)-1,16)</f>
        <v>0</v>
      </c>
      <c r="AP425" s="42">
        <f ca="1">OFFSET(【DB】被害率係数!$A$4,MATCH(②詳細状況入力!$Y426,【DB】被害率係数!$A$4:$A$19,0)-1,17)</f>
        <v>0</v>
      </c>
      <c r="AQ425" s="42"/>
    </row>
    <row r="426" spans="1:43" x14ac:dyDescent="0.15">
      <c r="A426" s="50"/>
      <c r="B426" s="50"/>
      <c r="C426" s="145">
        <f ca="1">OFFSET(①簡易状況入力!$C$5,MATCH(A425,①簡易状況入力!$C$5:$C$104,0)-1,18)</f>
        <v>0</v>
      </c>
      <c r="D426" s="148" t="s">
        <v>52</v>
      </c>
      <c r="E426" s="56">
        <f t="shared" ref="E426:F426" ca="1" si="1504">E425</f>
        <v>0</v>
      </c>
      <c r="F426" s="56">
        <f t="shared" ca="1" si="1504"/>
        <v>0</v>
      </c>
      <c r="G426" s="104"/>
      <c r="H426" s="104"/>
      <c r="I426" s="104"/>
      <c r="J426" s="104"/>
      <c r="K426" s="104"/>
      <c r="L426" s="104"/>
      <c r="M426" s="104"/>
      <c r="N426" s="104"/>
      <c r="O426" s="105"/>
      <c r="Q426" s="57">
        <f ca="1">OFFSET(①簡易状況入力!$C$5,MATCH(A425,①簡易状況入力!$C$5:$C$104,0)-1,16)</f>
        <v>0</v>
      </c>
      <c r="R426" s="58"/>
      <c r="S426" s="146" t="s">
        <v>115</v>
      </c>
      <c r="T426" s="146" t="s">
        <v>116</v>
      </c>
      <c r="U426" s="36">
        <f ca="1">OFFSET(①簡易状況入力!$C$5,MATCH(A425,①簡易状況入力!$C$5:$C$104,0)-1,4)</f>
        <v>0</v>
      </c>
      <c r="V426" s="58"/>
      <c r="W426" s="146" t="s">
        <v>30</v>
      </c>
      <c r="X426" s="37">
        <f ca="1">OFFSET(①簡易状況入力!$C$5,MATCH(A425,①簡易状況入力!$C$5:$C$104,0)-1,5)</f>
        <v>0</v>
      </c>
      <c r="Y426" s="149">
        <f ca="1">OFFSET(①簡易状況入力!$C$5,MATCH(A425,①簡易状況入力!$C$5:$C$104,0)-1,8)</f>
        <v>0</v>
      </c>
      <c r="Z426" s="149">
        <f ca="1">OFFSET(①簡易状況入力!$C$5,MATCH(A425,①簡易状況入力!$C$5:$C$104,0)-1,9)</f>
        <v>0</v>
      </c>
      <c r="AA426" s="149">
        <f ca="1">OFFSET(①簡易状況入力!$C$5,MATCH(A425,①簡易状況入力!$C$5:$C$104,0)-1,10)</f>
        <v>0</v>
      </c>
      <c r="AB426" s="148" t="s">
        <v>52</v>
      </c>
      <c r="AC426" s="56">
        <f t="shared" ref="AC426:AD426" ca="1" si="1505">AC425</f>
        <v>0</v>
      </c>
      <c r="AD426" s="56">
        <f t="shared" ca="1" si="1505"/>
        <v>0</v>
      </c>
      <c r="AE426" s="63">
        <f ca="1">IF($C426="あり",IF(AC426&gt;=1,G426/AQ426,0),IF(AC426&gt;=1,AO426*AC426,0))</f>
        <v>0</v>
      </c>
      <c r="AF426" s="63">
        <f t="shared" ref="AF426:AF428" ca="1" si="1506">IF($C426="あり",IF($AD426&gt;=AF$4,H426/$AQ426,0),IF($AD426&gt;=AF$4,$AO426,0))</f>
        <v>0</v>
      </c>
      <c r="AG426" s="63">
        <f t="shared" ref="AG426:AG428" ca="1" si="1507">IF($C426="あり",IF($AD426&gt;=AG$4,I426/$AQ426,0),IF($AD426&gt;=AG$4,$AO426,0))</f>
        <v>0</v>
      </c>
      <c r="AH426" s="63">
        <f t="shared" ref="AH426:AH428" ca="1" si="1508">IF($C426="あり",IF($AD426&gt;=AH$4,J426/$AQ426,0),IF($AD426&gt;=AH$4,$AO426,0))</f>
        <v>0</v>
      </c>
      <c r="AI426" s="63">
        <f t="shared" ref="AI426:AI428" ca="1" si="1509">IF($C426="あり",IF($AD426&gt;=AI$4,K426/$AQ426,0),IF($AD426&gt;=AI$4,$AO426,0))</f>
        <v>0</v>
      </c>
      <c r="AJ426" s="63">
        <f t="shared" ref="AJ426:AJ428" ca="1" si="1510">IF($C426="あり",IF($AD426&gt;=AJ$4,L426/$AQ426,0),IF($AD426&gt;=AJ$4,$AO426,0))</f>
        <v>0</v>
      </c>
      <c r="AK426" s="63">
        <f t="shared" ref="AK426:AK428" ca="1" si="1511">IF($C426="あり",IF($AD426&gt;=AK$4,M426/$AQ426,0),IF($AD426&gt;=AK$4,$AO426,0))</f>
        <v>0</v>
      </c>
      <c r="AL426" s="63">
        <f ca="1">IF($C426="あり",IF($AD426&gt;=7,N426/$AQ426,0),IF($AD426&gt;=7,$AO426*($AD426-6),0))</f>
        <v>0</v>
      </c>
      <c r="AM426" s="64" t="s">
        <v>46</v>
      </c>
      <c r="AN426" s="63">
        <f ca="1">SUM(AE426:AM426)</f>
        <v>0</v>
      </c>
      <c r="AO426" s="68" t="e">
        <f ca="1">1/(AC426+AD426)</f>
        <v>#DIV/0!</v>
      </c>
      <c r="AP426" s="67">
        <v>0</v>
      </c>
      <c r="AQ426" s="68">
        <f ca="1">IF(AC426&gt;=1,G426,0)+SUMIF($H$4:$M$4,"&lt;="&amp;AD426,$H426:$M426)+IF(AD426&gt;=7,N426,0)</f>
        <v>0</v>
      </c>
    </row>
    <row r="427" spans="1:43" x14ac:dyDescent="0.15">
      <c r="A427" s="50"/>
      <c r="B427" s="50"/>
      <c r="C427" s="145">
        <f ca="1">OFFSET(①簡易状況入力!$C$5,MATCH(A425,①簡易状況入力!$C$5:$C$104,0)-1,19)</f>
        <v>0</v>
      </c>
      <c r="D427" s="148" t="s">
        <v>50</v>
      </c>
      <c r="E427" s="56">
        <f t="shared" ref="E427" ca="1" si="1512">E426</f>
        <v>0</v>
      </c>
      <c r="F427" s="56">
        <f ca="1">F426</f>
        <v>0</v>
      </c>
      <c r="G427" s="104"/>
      <c r="H427" s="104"/>
      <c r="I427" s="104"/>
      <c r="J427" s="104"/>
      <c r="K427" s="104"/>
      <c r="L427" s="104"/>
      <c r="M427" s="104"/>
      <c r="N427" s="104"/>
      <c r="O427" s="106"/>
      <c r="Q427" s="50"/>
      <c r="R427" s="58"/>
      <c r="S427" s="165" t="s">
        <v>28</v>
      </c>
      <c r="T427" s="146" t="s">
        <v>35</v>
      </c>
      <c r="U427" s="35">
        <f ca="1">OFFSET(①簡易状況入力!$C$5,MATCH(A425,①簡易状況入力!$C$5:$C$104,0)-1,2)</f>
        <v>0</v>
      </c>
      <c r="V427" s="58"/>
      <c r="W427" s="146" t="s">
        <v>33</v>
      </c>
      <c r="X427" s="37">
        <f ca="1">OFFSET(①簡易状況入力!$C$5,MATCH(A425,①簡易状況入力!$C$5:$C$104,0)-1,6)</f>
        <v>0</v>
      </c>
      <c r="Y427" s="149">
        <f ca="1">OFFSET(①簡易状況入力!$C$5,MATCH(A425,①簡易状況入力!$C$5:$C$104,0)-1,11)</f>
        <v>0</v>
      </c>
      <c r="Z427" s="167">
        <f ca="1">OFFSET(①簡易状況入力!$C$5,MATCH(A425,①簡易状況入力!$C$5:$C$104,0)-1,12)</f>
        <v>0</v>
      </c>
      <c r="AA427" s="168"/>
      <c r="AB427" s="148" t="s">
        <v>50</v>
      </c>
      <c r="AC427" s="56">
        <f t="shared" ref="AC427:AD427" ca="1" si="1513">AC426</f>
        <v>0</v>
      </c>
      <c r="AD427" s="56">
        <f t="shared" ca="1" si="1513"/>
        <v>0</v>
      </c>
      <c r="AE427" s="63">
        <f ca="1">IF($C427="あり",IF(AC427&gt;=1,G427/AQ427,0),IF(AC427&gt;=1,AO427*AC427,0))</f>
        <v>0</v>
      </c>
      <c r="AF427" s="63">
        <f t="shared" ca="1" si="1506"/>
        <v>0</v>
      </c>
      <c r="AG427" s="63">
        <f t="shared" ca="1" si="1507"/>
        <v>0</v>
      </c>
      <c r="AH427" s="63">
        <f t="shared" ca="1" si="1508"/>
        <v>0</v>
      </c>
      <c r="AI427" s="63">
        <f t="shared" ca="1" si="1509"/>
        <v>0</v>
      </c>
      <c r="AJ427" s="63">
        <f t="shared" ca="1" si="1510"/>
        <v>0</v>
      </c>
      <c r="AK427" s="63">
        <f t="shared" ca="1" si="1511"/>
        <v>0</v>
      </c>
      <c r="AL427" s="63">
        <f ca="1">IF($C427="あり",IF($AD427&gt;=7,N427/$AQ427,0),IF($AD427&gt;=7,$AO427*($AD427-6),0))</f>
        <v>0</v>
      </c>
      <c r="AM427" s="65">
        <f ca="1">IF(C427="あり",O427/AQ427,AP427)</f>
        <v>0</v>
      </c>
      <c r="AN427" s="63">
        <f ca="1">SUM(AE427:AM427)</f>
        <v>0</v>
      </c>
      <c r="AO427" s="68" t="e">
        <f ca="1">1/(AC427+AD427)</f>
        <v>#DIV/0!</v>
      </c>
      <c r="AP427" s="67">
        <v>0</v>
      </c>
      <c r="AQ427" s="68">
        <f ca="1">IF(AC427&gt;=1,G427,0)+SUMIF($H$4:$M$4,"&lt;="&amp;AD427,$H427:$M427)+IF(AD427&gt;=7,N427,0)+O427</f>
        <v>0</v>
      </c>
    </row>
    <row r="428" spans="1:43" x14ac:dyDescent="0.15">
      <c r="A428" s="50"/>
      <c r="B428" s="50"/>
      <c r="C428" s="145">
        <f ca="1">OFFSET(①簡易状況入力!$C$5,MATCH(A425,①簡易状況入力!$C$5:$C$104,0)-1,20)</f>
        <v>0</v>
      </c>
      <c r="D428" s="148" t="s">
        <v>51</v>
      </c>
      <c r="E428" s="56">
        <f t="shared" ref="E428:F428" ca="1" si="1514">E427</f>
        <v>0</v>
      </c>
      <c r="F428" s="56">
        <f t="shared" ca="1" si="1514"/>
        <v>0</v>
      </c>
      <c r="G428" s="104"/>
      <c r="H428" s="104"/>
      <c r="I428" s="104"/>
      <c r="J428" s="104"/>
      <c r="K428" s="104"/>
      <c r="L428" s="104"/>
      <c r="M428" s="104"/>
      <c r="N428" s="104"/>
      <c r="O428" s="106"/>
      <c r="Q428" s="50"/>
      <c r="R428" s="58"/>
      <c r="S428" s="166"/>
      <c r="T428" s="146" t="s">
        <v>34</v>
      </c>
      <c r="U428" s="35">
        <f ca="1">OFFSET(①簡易状況入力!$C$5,MATCH(A425,①簡易状況入力!$C$5:$C$104,0)-1,3)</f>
        <v>0</v>
      </c>
      <c r="V428" s="58"/>
      <c r="W428" s="146" t="s">
        <v>118</v>
      </c>
      <c r="X428" s="37">
        <f ca="1">OFFSET(①簡易状況入力!$C$5,MATCH(A425,①簡易状況入力!$C$5:$C$104,0)-1,7)</f>
        <v>0</v>
      </c>
      <c r="Y428" s="149">
        <f ca="1">OFFSET(①簡易状況入力!$C$5,MATCH(A425,①簡易状況入力!$C$5:$C$104,0)-1,13)</f>
        <v>0</v>
      </c>
      <c r="Z428" s="167">
        <f ca="1">OFFSET(①簡易状況入力!$C$5,MATCH(A425,①簡易状況入力!$C$5:$C$104,0)-1,14)</f>
        <v>0</v>
      </c>
      <c r="AA428" s="168"/>
      <c r="AB428" s="148" t="s">
        <v>51</v>
      </c>
      <c r="AC428" s="56">
        <f t="shared" ref="AC428:AD428" ca="1" si="1515">AC427</f>
        <v>0</v>
      </c>
      <c r="AD428" s="56">
        <f t="shared" ca="1" si="1515"/>
        <v>0</v>
      </c>
      <c r="AE428" s="63">
        <f ca="1">IF($C428="あり",IF(AC428&gt;=1,G428/AQ428,0),IF(AC428&gt;=1,AO428*AC428,0))</f>
        <v>0</v>
      </c>
      <c r="AF428" s="63">
        <f t="shared" ca="1" si="1506"/>
        <v>0</v>
      </c>
      <c r="AG428" s="63">
        <f t="shared" ca="1" si="1507"/>
        <v>0</v>
      </c>
      <c r="AH428" s="63">
        <f t="shared" ca="1" si="1508"/>
        <v>0</v>
      </c>
      <c r="AI428" s="63">
        <f t="shared" ca="1" si="1509"/>
        <v>0</v>
      </c>
      <c r="AJ428" s="63">
        <f t="shared" ca="1" si="1510"/>
        <v>0</v>
      </c>
      <c r="AK428" s="63">
        <f t="shared" ca="1" si="1511"/>
        <v>0</v>
      </c>
      <c r="AL428" s="63">
        <f ca="1">IF($C428="あり",IF($AD428&gt;=7,N428/$AQ428,0),IF($AD428&gt;=7,$AO428*($AD428-6),0))</f>
        <v>0</v>
      </c>
      <c r="AM428" s="65">
        <f ca="1">IF(C428="あり",O428/AQ428,AP428)</f>
        <v>0</v>
      </c>
      <c r="AN428" s="63">
        <f ca="1">SUM(AE428:AM428)</f>
        <v>0</v>
      </c>
      <c r="AO428" s="68" t="e">
        <f ca="1">1/(AC428+AD428)</f>
        <v>#DIV/0!</v>
      </c>
      <c r="AP428" s="67">
        <v>0</v>
      </c>
      <c r="AQ428" s="68">
        <f ca="1">IF(AC428&gt;=1,G428,0)+SUMIF($H$4:$M$4,"&lt;="&amp;AD428,$H428:$M428)+IF(AD428&gt;=7,N428,0)+O428</f>
        <v>0</v>
      </c>
    </row>
    <row r="429" spans="1:43" x14ac:dyDescent="0.15">
      <c r="G429" s="107"/>
      <c r="H429" s="107"/>
      <c r="I429" s="107"/>
      <c r="J429" s="107"/>
      <c r="K429" s="107"/>
      <c r="L429" s="107"/>
      <c r="M429" s="107"/>
      <c r="N429" s="107"/>
      <c r="O429" s="107"/>
    </row>
    <row r="430" spans="1:43" x14ac:dyDescent="0.15">
      <c r="A430" s="59" t="s">
        <v>401</v>
      </c>
      <c r="B430" s="60">
        <f ca="1">OFFSET(①簡易状況入力!$C$5,MATCH(A430,①簡易状況入力!$C$5:$C$104,0)-1,1)</f>
        <v>0</v>
      </c>
      <c r="C430" s="145">
        <f ca="1">OFFSET(①簡易状況入力!$C$5,MATCH(A430,①簡易状況入力!$C$5:$C$104,0)-1,17)</f>
        <v>0</v>
      </c>
      <c r="D430" s="148" t="s">
        <v>47</v>
      </c>
      <c r="E430" s="56">
        <f ca="1">U433</f>
        <v>0</v>
      </c>
      <c r="F430" s="56">
        <f ca="1">U432</f>
        <v>0</v>
      </c>
      <c r="G430" s="102"/>
      <c r="H430" s="103"/>
      <c r="I430" s="103"/>
      <c r="J430" s="103"/>
      <c r="K430" s="103"/>
      <c r="L430" s="103"/>
      <c r="M430" s="103"/>
      <c r="N430" s="103"/>
      <c r="O430" s="103"/>
      <c r="Q430" s="57">
        <f ca="1">OFFSET(①簡易状況入力!$C$5,MATCH(A430,①簡易状況入力!$C$5:$C$104,0)-1,15)</f>
        <v>0</v>
      </c>
      <c r="R430" s="58"/>
      <c r="S430" s="58"/>
      <c r="T430" s="58"/>
      <c r="U430" s="58"/>
      <c r="V430" s="58"/>
      <c r="W430" s="58"/>
      <c r="X430" s="58"/>
      <c r="Y430" s="58"/>
      <c r="Z430" s="58"/>
      <c r="AA430" s="58"/>
      <c r="AB430" s="148" t="s">
        <v>47</v>
      </c>
      <c r="AC430" s="56">
        <f ca="1">U433</f>
        <v>0</v>
      </c>
      <c r="AD430" s="56">
        <f ca="1">U432</f>
        <v>0</v>
      </c>
      <c r="AE430" s="62" t="s">
        <v>46</v>
      </c>
      <c r="AF430" s="62" t="str">
        <f t="shared" ref="AF430" ca="1" si="1516">IF($C430="あり",IF(AF$4&lt;=$AD430,H430,"-"),IF(AF$4&lt;=$AD430,$AO430,"-"))</f>
        <v>-</v>
      </c>
      <c r="AG430" s="62" t="str">
        <f t="shared" ref="AG430" ca="1" si="1517">IF($C430="あり",IF(AG$4&lt;=$AD430,I430,"-"),IF(AG$4&lt;=$AD430,$AO430,"-"))</f>
        <v>-</v>
      </c>
      <c r="AH430" s="62" t="str">
        <f t="shared" ref="AH430" ca="1" si="1518">IF($C430="あり",IF(AH$4&lt;=$AD430,J430,"-"),IF(AH$4&lt;=$AD430,$AO430,"-"))</f>
        <v>-</v>
      </c>
      <c r="AI430" s="62" t="str">
        <f t="shared" ref="AI430" ca="1" si="1519">IF($C430="あり",IF(AI$4&lt;=$AD430,K430,"-"),IF(AI$4&lt;=$AD430,$AO430,"-"))</f>
        <v>-</v>
      </c>
      <c r="AJ430" s="62" t="str">
        <f t="shared" ref="AJ430" ca="1" si="1520">IF($C430="あり",IF(AJ$4&lt;=$AD430,L430,"-"),IF(AJ$4&lt;=$AD430,$AO430,"-"))</f>
        <v>-</v>
      </c>
      <c r="AK430" s="62" t="str">
        <f t="shared" ref="AK430" ca="1" si="1521">IF($C430="あり",IF(AK$4&lt;=$AD430,M430,"-"),IF(AK$4&lt;=$AD430,$AO430,"-"))</f>
        <v>-</v>
      </c>
      <c r="AL430" s="62" t="str">
        <f ca="1">IF($C430="あり",IF(7&lt;=$AD430,N430,"-"),IF(7&lt;=$AD430,$AO430*($AD430-6),"-"))</f>
        <v>-</v>
      </c>
      <c r="AM430" s="62">
        <f ca="1">IF(C430="あり",O430,AP430)</f>
        <v>0</v>
      </c>
      <c r="AN430" s="62">
        <f ca="1">SUM(U431,AF430:AM430)</f>
        <v>0</v>
      </c>
      <c r="AO430" s="42">
        <f ca="1">OFFSET(【DB】被害率係数!$A$4,MATCH(②詳細状況入力!$Y431,【DB】被害率係数!$A$4:$A$19,0)-1,16)</f>
        <v>0</v>
      </c>
      <c r="AP430" s="42">
        <f ca="1">OFFSET(【DB】被害率係数!$A$4,MATCH(②詳細状況入力!$Y431,【DB】被害率係数!$A$4:$A$19,0)-1,17)</f>
        <v>0</v>
      </c>
      <c r="AQ430" s="42"/>
    </row>
    <row r="431" spans="1:43" x14ac:dyDescent="0.15">
      <c r="A431" s="50"/>
      <c r="B431" s="50"/>
      <c r="C431" s="145">
        <f ca="1">OFFSET(①簡易状況入力!$C$5,MATCH(A430,①簡易状況入力!$C$5:$C$104,0)-1,18)</f>
        <v>0</v>
      </c>
      <c r="D431" s="148" t="s">
        <v>52</v>
      </c>
      <c r="E431" s="56">
        <f t="shared" ref="E431:F431" ca="1" si="1522">E430</f>
        <v>0</v>
      </c>
      <c r="F431" s="56">
        <f t="shared" ca="1" si="1522"/>
        <v>0</v>
      </c>
      <c r="G431" s="104"/>
      <c r="H431" s="104"/>
      <c r="I431" s="104"/>
      <c r="J431" s="104"/>
      <c r="K431" s="104"/>
      <c r="L431" s="104"/>
      <c r="M431" s="104"/>
      <c r="N431" s="104"/>
      <c r="O431" s="105"/>
      <c r="Q431" s="57">
        <f ca="1">OFFSET(①簡易状況入力!$C$5,MATCH(A430,①簡易状況入力!$C$5:$C$104,0)-1,16)</f>
        <v>0</v>
      </c>
      <c r="R431" s="58"/>
      <c r="S431" s="146" t="s">
        <v>115</v>
      </c>
      <c r="T431" s="146" t="s">
        <v>116</v>
      </c>
      <c r="U431" s="36">
        <f ca="1">OFFSET(①簡易状況入力!$C$5,MATCH(A430,①簡易状況入力!$C$5:$C$104,0)-1,4)</f>
        <v>0</v>
      </c>
      <c r="V431" s="58"/>
      <c r="W431" s="146" t="s">
        <v>30</v>
      </c>
      <c r="X431" s="37">
        <f ca="1">OFFSET(①簡易状況入力!$C$5,MATCH(A430,①簡易状況入力!$C$5:$C$104,0)-1,5)</f>
        <v>0</v>
      </c>
      <c r="Y431" s="149">
        <f ca="1">OFFSET(①簡易状況入力!$C$5,MATCH(A430,①簡易状況入力!$C$5:$C$104,0)-1,8)</f>
        <v>0</v>
      </c>
      <c r="Z431" s="149">
        <f ca="1">OFFSET(①簡易状況入力!$C$5,MATCH(A430,①簡易状況入力!$C$5:$C$104,0)-1,9)</f>
        <v>0</v>
      </c>
      <c r="AA431" s="149">
        <f ca="1">OFFSET(①簡易状況入力!$C$5,MATCH(A430,①簡易状況入力!$C$5:$C$104,0)-1,10)</f>
        <v>0</v>
      </c>
      <c r="AB431" s="148" t="s">
        <v>52</v>
      </c>
      <c r="AC431" s="56">
        <f t="shared" ref="AC431:AD431" ca="1" si="1523">AC430</f>
        <v>0</v>
      </c>
      <c r="AD431" s="56">
        <f t="shared" ca="1" si="1523"/>
        <v>0</v>
      </c>
      <c r="AE431" s="63">
        <f ca="1">IF($C431="あり",IF(AC431&gt;=1,G431/AQ431,0),IF(AC431&gt;=1,AO431*AC431,0))</f>
        <v>0</v>
      </c>
      <c r="AF431" s="63">
        <f t="shared" ref="AF431:AF433" ca="1" si="1524">IF($C431="あり",IF($AD431&gt;=AF$4,H431/$AQ431,0),IF($AD431&gt;=AF$4,$AO431,0))</f>
        <v>0</v>
      </c>
      <c r="AG431" s="63">
        <f t="shared" ref="AG431:AG433" ca="1" si="1525">IF($C431="あり",IF($AD431&gt;=AG$4,I431/$AQ431,0),IF($AD431&gt;=AG$4,$AO431,0))</f>
        <v>0</v>
      </c>
      <c r="AH431" s="63">
        <f t="shared" ref="AH431:AH433" ca="1" si="1526">IF($C431="あり",IF($AD431&gt;=AH$4,J431/$AQ431,0),IF($AD431&gt;=AH$4,$AO431,0))</f>
        <v>0</v>
      </c>
      <c r="AI431" s="63">
        <f t="shared" ref="AI431:AI433" ca="1" si="1527">IF($C431="あり",IF($AD431&gt;=AI$4,K431/$AQ431,0),IF($AD431&gt;=AI$4,$AO431,0))</f>
        <v>0</v>
      </c>
      <c r="AJ431" s="63">
        <f t="shared" ref="AJ431:AJ433" ca="1" si="1528">IF($C431="あり",IF($AD431&gt;=AJ$4,L431/$AQ431,0),IF($AD431&gt;=AJ$4,$AO431,0))</f>
        <v>0</v>
      </c>
      <c r="AK431" s="63">
        <f t="shared" ref="AK431:AK433" ca="1" si="1529">IF($C431="あり",IF($AD431&gt;=AK$4,M431/$AQ431,0),IF($AD431&gt;=AK$4,$AO431,0))</f>
        <v>0</v>
      </c>
      <c r="AL431" s="63">
        <f ca="1">IF($C431="あり",IF($AD431&gt;=7,N431/$AQ431,0),IF($AD431&gt;=7,$AO431*($AD431-6),0))</f>
        <v>0</v>
      </c>
      <c r="AM431" s="64" t="s">
        <v>46</v>
      </c>
      <c r="AN431" s="63">
        <f ca="1">SUM(AE431:AM431)</f>
        <v>0</v>
      </c>
      <c r="AO431" s="68" t="e">
        <f ca="1">1/(AC431+AD431)</f>
        <v>#DIV/0!</v>
      </c>
      <c r="AP431" s="67">
        <v>0</v>
      </c>
      <c r="AQ431" s="68">
        <f ca="1">IF(AC431&gt;=1,G431,0)+SUMIF($H$4:$M$4,"&lt;="&amp;AD431,$H431:$M431)+IF(AD431&gt;=7,N431,0)</f>
        <v>0</v>
      </c>
    </row>
    <row r="432" spans="1:43" x14ac:dyDescent="0.15">
      <c r="A432" s="50"/>
      <c r="B432" s="50"/>
      <c r="C432" s="145">
        <f ca="1">OFFSET(①簡易状況入力!$C$5,MATCH(A430,①簡易状況入力!$C$5:$C$104,0)-1,19)</f>
        <v>0</v>
      </c>
      <c r="D432" s="148" t="s">
        <v>50</v>
      </c>
      <c r="E432" s="56">
        <f t="shared" ref="E432" ca="1" si="1530">E431</f>
        <v>0</v>
      </c>
      <c r="F432" s="56">
        <f ca="1">F431</f>
        <v>0</v>
      </c>
      <c r="G432" s="104"/>
      <c r="H432" s="104"/>
      <c r="I432" s="104"/>
      <c r="J432" s="104"/>
      <c r="K432" s="104"/>
      <c r="L432" s="104"/>
      <c r="M432" s="104"/>
      <c r="N432" s="104"/>
      <c r="O432" s="106"/>
      <c r="Q432" s="50"/>
      <c r="R432" s="58"/>
      <c r="S432" s="165" t="s">
        <v>28</v>
      </c>
      <c r="T432" s="146" t="s">
        <v>35</v>
      </c>
      <c r="U432" s="35">
        <f ca="1">OFFSET(①簡易状況入力!$C$5,MATCH(A430,①簡易状況入力!$C$5:$C$104,0)-1,2)</f>
        <v>0</v>
      </c>
      <c r="V432" s="58"/>
      <c r="W432" s="146" t="s">
        <v>33</v>
      </c>
      <c r="X432" s="37">
        <f ca="1">OFFSET(①簡易状況入力!$C$5,MATCH(A430,①簡易状況入力!$C$5:$C$104,0)-1,6)</f>
        <v>0</v>
      </c>
      <c r="Y432" s="149">
        <f ca="1">OFFSET(①簡易状況入力!$C$5,MATCH(A430,①簡易状況入力!$C$5:$C$104,0)-1,11)</f>
        <v>0</v>
      </c>
      <c r="Z432" s="167">
        <f ca="1">OFFSET(①簡易状況入力!$C$5,MATCH(A430,①簡易状況入力!$C$5:$C$104,0)-1,12)</f>
        <v>0</v>
      </c>
      <c r="AA432" s="168"/>
      <c r="AB432" s="148" t="s">
        <v>50</v>
      </c>
      <c r="AC432" s="56">
        <f t="shared" ref="AC432:AD432" ca="1" si="1531">AC431</f>
        <v>0</v>
      </c>
      <c r="AD432" s="56">
        <f t="shared" ca="1" si="1531"/>
        <v>0</v>
      </c>
      <c r="AE432" s="63">
        <f ca="1">IF($C432="あり",IF(AC432&gt;=1,G432/AQ432,0),IF(AC432&gt;=1,AO432*AC432,0))</f>
        <v>0</v>
      </c>
      <c r="AF432" s="63">
        <f t="shared" ca="1" si="1524"/>
        <v>0</v>
      </c>
      <c r="AG432" s="63">
        <f t="shared" ca="1" si="1525"/>
        <v>0</v>
      </c>
      <c r="AH432" s="63">
        <f t="shared" ca="1" si="1526"/>
        <v>0</v>
      </c>
      <c r="AI432" s="63">
        <f t="shared" ca="1" si="1527"/>
        <v>0</v>
      </c>
      <c r="AJ432" s="63">
        <f t="shared" ca="1" si="1528"/>
        <v>0</v>
      </c>
      <c r="AK432" s="63">
        <f t="shared" ca="1" si="1529"/>
        <v>0</v>
      </c>
      <c r="AL432" s="63">
        <f ca="1">IF($C432="あり",IF($AD432&gt;=7,N432/$AQ432,0),IF($AD432&gt;=7,$AO432*($AD432-6),0))</f>
        <v>0</v>
      </c>
      <c r="AM432" s="65">
        <f ca="1">IF(C432="あり",O432/AQ432,AP432)</f>
        <v>0</v>
      </c>
      <c r="AN432" s="63">
        <f ca="1">SUM(AE432:AM432)</f>
        <v>0</v>
      </c>
      <c r="AO432" s="68" t="e">
        <f ca="1">1/(AC432+AD432)</f>
        <v>#DIV/0!</v>
      </c>
      <c r="AP432" s="67">
        <v>0</v>
      </c>
      <c r="AQ432" s="68">
        <f ca="1">IF(AC432&gt;=1,G432,0)+SUMIF($H$4:$M$4,"&lt;="&amp;AD432,$H432:$M432)+IF(AD432&gt;=7,N432,0)+O432</f>
        <v>0</v>
      </c>
    </row>
    <row r="433" spans="1:43" x14ac:dyDescent="0.15">
      <c r="A433" s="50"/>
      <c r="B433" s="50"/>
      <c r="C433" s="145">
        <f ca="1">OFFSET(①簡易状況入力!$C$5,MATCH(A430,①簡易状況入力!$C$5:$C$104,0)-1,20)</f>
        <v>0</v>
      </c>
      <c r="D433" s="148" t="s">
        <v>51</v>
      </c>
      <c r="E433" s="56">
        <f t="shared" ref="E433:F433" ca="1" si="1532">E432</f>
        <v>0</v>
      </c>
      <c r="F433" s="56">
        <f t="shared" ca="1" si="1532"/>
        <v>0</v>
      </c>
      <c r="G433" s="104"/>
      <c r="H433" s="104"/>
      <c r="I433" s="104"/>
      <c r="J433" s="104"/>
      <c r="K433" s="104"/>
      <c r="L433" s="104"/>
      <c r="M433" s="104"/>
      <c r="N433" s="104"/>
      <c r="O433" s="106"/>
      <c r="Q433" s="50"/>
      <c r="R433" s="58"/>
      <c r="S433" s="166"/>
      <c r="T433" s="146" t="s">
        <v>34</v>
      </c>
      <c r="U433" s="35">
        <f ca="1">OFFSET(①簡易状況入力!$C$5,MATCH(A430,①簡易状況入力!$C$5:$C$104,0)-1,3)</f>
        <v>0</v>
      </c>
      <c r="V433" s="58"/>
      <c r="W433" s="146" t="s">
        <v>118</v>
      </c>
      <c r="X433" s="37">
        <f ca="1">OFFSET(①簡易状況入力!$C$5,MATCH(A430,①簡易状況入力!$C$5:$C$104,0)-1,7)</f>
        <v>0</v>
      </c>
      <c r="Y433" s="149">
        <f ca="1">OFFSET(①簡易状況入力!$C$5,MATCH(A430,①簡易状況入力!$C$5:$C$104,0)-1,13)</f>
        <v>0</v>
      </c>
      <c r="Z433" s="167">
        <f ca="1">OFFSET(①簡易状況入力!$C$5,MATCH(A430,①簡易状況入力!$C$5:$C$104,0)-1,14)</f>
        <v>0</v>
      </c>
      <c r="AA433" s="168"/>
      <c r="AB433" s="148" t="s">
        <v>51</v>
      </c>
      <c r="AC433" s="56">
        <f t="shared" ref="AC433:AD433" ca="1" si="1533">AC432</f>
        <v>0</v>
      </c>
      <c r="AD433" s="56">
        <f t="shared" ca="1" si="1533"/>
        <v>0</v>
      </c>
      <c r="AE433" s="63">
        <f ca="1">IF($C433="あり",IF(AC433&gt;=1,G433/AQ433,0),IF(AC433&gt;=1,AO433*AC433,0))</f>
        <v>0</v>
      </c>
      <c r="AF433" s="63">
        <f t="shared" ca="1" si="1524"/>
        <v>0</v>
      </c>
      <c r="AG433" s="63">
        <f t="shared" ca="1" si="1525"/>
        <v>0</v>
      </c>
      <c r="AH433" s="63">
        <f t="shared" ca="1" si="1526"/>
        <v>0</v>
      </c>
      <c r="AI433" s="63">
        <f t="shared" ca="1" si="1527"/>
        <v>0</v>
      </c>
      <c r="AJ433" s="63">
        <f t="shared" ca="1" si="1528"/>
        <v>0</v>
      </c>
      <c r="AK433" s="63">
        <f t="shared" ca="1" si="1529"/>
        <v>0</v>
      </c>
      <c r="AL433" s="63">
        <f ca="1">IF($C433="あり",IF($AD433&gt;=7,N433/$AQ433,0),IF($AD433&gt;=7,$AO433*($AD433-6),0))</f>
        <v>0</v>
      </c>
      <c r="AM433" s="65">
        <f ca="1">IF(C433="あり",O433/AQ433,AP433)</f>
        <v>0</v>
      </c>
      <c r="AN433" s="63">
        <f ca="1">SUM(AE433:AM433)</f>
        <v>0</v>
      </c>
      <c r="AO433" s="68" t="e">
        <f ca="1">1/(AC433+AD433)</f>
        <v>#DIV/0!</v>
      </c>
      <c r="AP433" s="67">
        <v>0</v>
      </c>
      <c r="AQ433" s="68">
        <f ca="1">IF(AC433&gt;=1,G433,0)+SUMIF($H$4:$M$4,"&lt;="&amp;AD433,$H433:$M433)+IF(AD433&gt;=7,N433,0)+O433</f>
        <v>0</v>
      </c>
    </row>
    <row r="434" spans="1:43" x14ac:dyDescent="0.15">
      <c r="G434" s="107"/>
      <c r="H434" s="107"/>
      <c r="I434" s="107"/>
      <c r="J434" s="107"/>
      <c r="K434" s="107"/>
      <c r="L434" s="107"/>
      <c r="M434" s="107"/>
      <c r="N434" s="107"/>
      <c r="O434" s="107"/>
    </row>
    <row r="435" spans="1:43" x14ac:dyDescent="0.15">
      <c r="A435" s="59" t="s">
        <v>402</v>
      </c>
      <c r="B435" s="60">
        <f ca="1">OFFSET(①簡易状況入力!$C$5,MATCH(A435,①簡易状況入力!$C$5:$C$104,0)-1,1)</f>
        <v>0</v>
      </c>
      <c r="C435" s="145">
        <f ca="1">OFFSET(①簡易状況入力!$C$5,MATCH(A435,①簡易状況入力!$C$5:$C$104,0)-1,17)</f>
        <v>0</v>
      </c>
      <c r="D435" s="148" t="s">
        <v>47</v>
      </c>
      <c r="E435" s="56">
        <f ca="1">U438</f>
        <v>0</v>
      </c>
      <c r="F435" s="56">
        <f ca="1">U437</f>
        <v>0</v>
      </c>
      <c r="G435" s="102"/>
      <c r="H435" s="103"/>
      <c r="I435" s="103"/>
      <c r="J435" s="103"/>
      <c r="K435" s="103"/>
      <c r="L435" s="103"/>
      <c r="M435" s="103"/>
      <c r="N435" s="103"/>
      <c r="O435" s="103"/>
      <c r="Q435" s="57">
        <f ca="1">OFFSET(①簡易状況入力!$C$5,MATCH(A435,①簡易状況入力!$C$5:$C$104,0)-1,15)</f>
        <v>0</v>
      </c>
      <c r="R435" s="58"/>
      <c r="S435" s="58"/>
      <c r="T435" s="58"/>
      <c r="U435" s="58"/>
      <c r="V435" s="58"/>
      <c r="W435" s="58"/>
      <c r="X435" s="58"/>
      <c r="Y435" s="58"/>
      <c r="Z435" s="58"/>
      <c r="AA435" s="58"/>
      <c r="AB435" s="148" t="s">
        <v>47</v>
      </c>
      <c r="AC435" s="56">
        <f ca="1">U438</f>
        <v>0</v>
      </c>
      <c r="AD435" s="56">
        <f ca="1">U437</f>
        <v>0</v>
      </c>
      <c r="AE435" s="62" t="s">
        <v>46</v>
      </c>
      <c r="AF435" s="62" t="str">
        <f t="shared" ref="AF435" ca="1" si="1534">IF($C435="あり",IF(AF$4&lt;=$AD435,H435,"-"),IF(AF$4&lt;=$AD435,$AO435,"-"))</f>
        <v>-</v>
      </c>
      <c r="AG435" s="62" t="str">
        <f t="shared" ref="AG435" ca="1" si="1535">IF($C435="あり",IF(AG$4&lt;=$AD435,I435,"-"),IF(AG$4&lt;=$AD435,$AO435,"-"))</f>
        <v>-</v>
      </c>
      <c r="AH435" s="62" t="str">
        <f t="shared" ref="AH435" ca="1" si="1536">IF($C435="あり",IF(AH$4&lt;=$AD435,J435,"-"),IF(AH$4&lt;=$AD435,$AO435,"-"))</f>
        <v>-</v>
      </c>
      <c r="AI435" s="62" t="str">
        <f t="shared" ref="AI435" ca="1" si="1537">IF($C435="あり",IF(AI$4&lt;=$AD435,K435,"-"),IF(AI$4&lt;=$AD435,$AO435,"-"))</f>
        <v>-</v>
      </c>
      <c r="AJ435" s="62" t="str">
        <f t="shared" ref="AJ435" ca="1" si="1538">IF($C435="あり",IF(AJ$4&lt;=$AD435,L435,"-"),IF(AJ$4&lt;=$AD435,$AO435,"-"))</f>
        <v>-</v>
      </c>
      <c r="AK435" s="62" t="str">
        <f t="shared" ref="AK435" ca="1" si="1539">IF($C435="あり",IF(AK$4&lt;=$AD435,M435,"-"),IF(AK$4&lt;=$AD435,$AO435,"-"))</f>
        <v>-</v>
      </c>
      <c r="AL435" s="62" t="str">
        <f ca="1">IF($C435="あり",IF(7&lt;=$AD435,N435,"-"),IF(7&lt;=$AD435,$AO435*($AD435-6),"-"))</f>
        <v>-</v>
      </c>
      <c r="AM435" s="62">
        <f ca="1">IF(C435="あり",O435,AP435)</f>
        <v>0</v>
      </c>
      <c r="AN435" s="62">
        <f ca="1">SUM(U436,AF435:AM435)</f>
        <v>0</v>
      </c>
      <c r="AO435" s="42">
        <f ca="1">OFFSET(【DB】被害率係数!$A$4,MATCH(②詳細状況入力!$Y436,【DB】被害率係数!$A$4:$A$19,0)-1,16)</f>
        <v>0</v>
      </c>
      <c r="AP435" s="42">
        <f ca="1">OFFSET(【DB】被害率係数!$A$4,MATCH(②詳細状況入力!$Y436,【DB】被害率係数!$A$4:$A$19,0)-1,17)</f>
        <v>0</v>
      </c>
      <c r="AQ435" s="42"/>
    </row>
    <row r="436" spans="1:43" x14ac:dyDescent="0.15">
      <c r="A436" s="50"/>
      <c r="B436" s="50"/>
      <c r="C436" s="145">
        <f ca="1">OFFSET(①簡易状況入力!$C$5,MATCH(A435,①簡易状況入力!$C$5:$C$104,0)-1,18)</f>
        <v>0</v>
      </c>
      <c r="D436" s="148" t="s">
        <v>52</v>
      </c>
      <c r="E436" s="56">
        <f t="shared" ref="E436:F436" ca="1" si="1540">E435</f>
        <v>0</v>
      </c>
      <c r="F436" s="56">
        <f t="shared" ca="1" si="1540"/>
        <v>0</v>
      </c>
      <c r="G436" s="104"/>
      <c r="H436" s="104"/>
      <c r="I436" s="104"/>
      <c r="J436" s="104"/>
      <c r="K436" s="104"/>
      <c r="L436" s="104"/>
      <c r="M436" s="104"/>
      <c r="N436" s="104"/>
      <c r="O436" s="105"/>
      <c r="Q436" s="57">
        <f ca="1">OFFSET(①簡易状況入力!$C$5,MATCH(A435,①簡易状況入力!$C$5:$C$104,0)-1,16)</f>
        <v>0</v>
      </c>
      <c r="R436" s="58"/>
      <c r="S436" s="146" t="s">
        <v>115</v>
      </c>
      <c r="T436" s="146" t="s">
        <v>116</v>
      </c>
      <c r="U436" s="36">
        <f ca="1">OFFSET(①簡易状況入力!$C$5,MATCH(A435,①簡易状況入力!$C$5:$C$104,0)-1,4)</f>
        <v>0</v>
      </c>
      <c r="V436" s="58"/>
      <c r="W436" s="146" t="s">
        <v>30</v>
      </c>
      <c r="X436" s="37">
        <f ca="1">OFFSET(①簡易状況入力!$C$5,MATCH(A435,①簡易状況入力!$C$5:$C$104,0)-1,5)</f>
        <v>0</v>
      </c>
      <c r="Y436" s="149">
        <f ca="1">OFFSET(①簡易状況入力!$C$5,MATCH(A435,①簡易状況入力!$C$5:$C$104,0)-1,8)</f>
        <v>0</v>
      </c>
      <c r="Z436" s="149">
        <f ca="1">OFFSET(①簡易状況入力!$C$5,MATCH(A435,①簡易状況入力!$C$5:$C$104,0)-1,9)</f>
        <v>0</v>
      </c>
      <c r="AA436" s="149">
        <f ca="1">OFFSET(①簡易状況入力!$C$5,MATCH(A435,①簡易状況入力!$C$5:$C$104,0)-1,10)</f>
        <v>0</v>
      </c>
      <c r="AB436" s="148" t="s">
        <v>52</v>
      </c>
      <c r="AC436" s="56">
        <f t="shared" ref="AC436:AD436" ca="1" si="1541">AC435</f>
        <v>0</v>
      </c>
      <c r="AD436" s="56">
        <f t="shared" ca="1" si="1541"/>
        <v>0</v>
      </c>
      <c r="AE436" s="63">
        <f ca="1">IF($C436="あり",IF(AC436&gt;=1,G436/AQ436,0),IF(AC436&gt;=1,AO436*AC436,0))</f>
        <v>0</v>
      </c>
      <c r="AF436" s="63">
        <f t="shared" ref="AF436:AF438" ca="1" si="1542">IF($C436="あり",IF($AD436&gt;=AF$4,H436/$AQ436,0),IF($AD436&gt;=AF$4,$AO436,0))</f>
        <v>0</v>
      </c>
      <c r="AG436" s="63">
        <f t="shared" ref="AG436:AG438" ca="1" si="1543">IF($C436="あり",IF($AD436&gt;=AG$4,I436/$AQ436,0),IF($AD436&gt;=AG$4,$AO436,0))</f>
        <v>0</v>
      </c>
      <c r="AH436" s="63">
        <f t="shared" ref="AH436:AH438" ca="1" si="1544">IF($C436="あり",IF($AD436&gt;=AH$4,J436/$AQ436,0),IF($AD436&gt;=AH$4,$AO436,0))</f>
        <v>0</v>
      </c>
      <c r="AI436" s="63">
        <f t="shared" ref="AI436:AI438" ca="1" si="1545">IF($C436="あり",IF($AD436&gt;=AI$4,K436/$AQ436,0),IF($AD436&gt;=AI$4,$AO436,0))</f>
        <v>0</v>
      </c>
      <c r="AJ436" s="63">
        <f t="shared" ref="AJ436:AJ438" ca="1" si="1546">IF($C436="あり",IF($AD436&gt;=AJ$4,L436/$AQ436,0),IF($AD436&gt;=AJ$4,$AO436,0))</f>
        <v>0</v>
      </c>
      <c r="AK436" s="63">
        <f t="shared" ref="AK436:AK438" ca="1" si="1547">IF($C436="あり",IF($AD436&gt;=AK$4,M436/$AQ436,0),IF($AD436&gt;=AK$4,$AO436,0))</f>
        <v>0</v>
      </c>
      <c r="AL436" s="63">
        <f ca="1">IF($C436="あり",IF($AD436&gt;=7,N436/$AQ436,0),IF($AD436&gt;=7,$AO436*($AD436-6),0))</f>
        <v>0</v>
      </c>
      <c r="AM436" s="64" t="s">
        <v>46</v>
      </c>
      <c r="AN436" s="63">
        <f ca="1">SUM(AE436:AM436)</f>
        <v>0</v>
      </c>
      <c r="AO436" s="68" t="e">
        <f ca="1">1/(AC436+AD436)</f>
        <v>#DIV/0!</v>
      </c>
      <c r="AP436" s="67">
        <v>0</v>
      </c>
      <c r="AQ436" s="68">
        <f ca="1">IF(AC436&gt;=1,G436,0)+SUMIF($H$4:$M$4,"&lt;="&amp;AD436,$H436:$M436)+IF(AD436&gt;=7,N436,0)</f>
        <v>0</v>
      </c>
    </row>
    <row r="437" spans="1:43" x14ac:dyDescent="0.15">
      <c r="A437" s="50"/>
      <c r="B437" s="50"/>
      <c r="C437" s="145">
        <f ca="1">OFFSET(①簡易状況入力!$C$5,MATCH(A435,①簡易状況入力!$C$5:$C$104,0)-1,19)</f>
        <v>0</v>
      </c>
      <c r="D437" s="148" t="s">
        <v>50</v>
      </c>
      <c r="E437" s="56">
        <f t="shared" ref="E437" ca="1" si="1548">E436</f>
        <v>0</v>
      </c>
      <c r="F437" s="56">
        <f ca="1">F436</f>
        <v>0</v>
      </c>
      <c r="G437" s="104"/>
      <c r="H437" s="104"/>
      <c r="I437" s="104"/>
      <c r="J437" s="104"/>
      <c r="K437" s="104"/>
      <c r="L437" s="104"/>
      <c r="M437" s="104"/>
      <c r="N437" s="104"/>
      <c r="O437" s="106"/>
      <c r="Q437" s="50"/>
      <c r="R437" s="58"/>
      <c r="S437" s="165" t="s">
        <v>28</v>
      </c>
      <c r="T437" s="146" t="s">
        <v>35</v>
      </c>
      <c r="U437" s="35">
        <f ca="1">OFFSET(①簡易状況入力!$C$5,MATCH(A435,①簡易状況入力!$C$5:$C$104,0)-1,2)</f>
        <v>0</v>
      </c>
      <c r="V437" s="58"/>
      <c r="W437" s="146" t="s">
        <v>33</v>
      </c>
      <c r="X437" s="37">
        <f ca="1">OFFSET(①簡易状況入力!$C$5,MATCH(A435,①簡易状況入力!$C$5:$C$104,0)-1,6)</f>
        <v>0</v>
      </c>
      <c r="Y437" s="149">
        <f ca="1">OFFSET(①簡易状況入力!$C$5,MATCH(A435,①簡易状況入力!$C$5:$C$104,0)-1,11)</f>
        <v>0</v>
      </c>
      <c r="Z437" s="167">
        <f ca="1">OFFSET(①簡易状況入力!$C$5,MATCH(A435,①簡易状況入力!$C$5:$C$104,0)-1,12)</f>
        <v>0</v>
      </c>
      <c r="AA437" s="168"/>
      <c r="AB437" s="148" t="s">
        <v>50</v>
      </c>
      <c r="AC437" s="56">
        <f t="shared" ref="AC437:AD437" ca="1" si="1549">AC436</f>
        <v>0</v>
      </c>
      <c r="AD437" s="56">
        <f t="shared" ca="1" si="1549"/>
        <v>0</v>
      </c>
      <c r="AE437" s="63">
        <f ca="1">IF($C437="あり",IF(AC437&gt;=1,G437/AQ437,0),IF(AC437&gt;=1,AO437*AC437,0))</f>
        <v>0</v>
      </c>
      <c r="AF437" s="63">
        <f t="shared" ca="1" si="1542"/>
        <v>0</v>
      </c>
      <c r="AG437" s="63">
        <f t="shared" ca="1" si="1543"/>
        <v>0</v>
      </c>
      <c r="AH437" s="63">
        <f t="shared" ca="1" si="1544"/>
        <v>0</v>
      </c>
      <c r="AI437" s="63">
        <f t="shared" ca="1" si="1545"/>
        <v>0</v>
      </c>
      <c r="AJ437" s="63">
        <f t="shared" ca="1" si="1546"/>
        <v>0</v>
      </c>
      <c r="AK437" s="63">
        <f t="shared" ca="1" si="1547"/>
        <v>0</v>
      </c>
      <c r="AL437" s="63">
        <f ca="1">IF($C437="あり",IF($AD437&gt;=7,N437/$AQ437,0),IF($AD437&gt;=7,$AO437*($AD437-6),0))</f>
        <v>0</v>
      </c>
      <c r="AM437" s="65">
        <f ca="1">IF(C437="あり",O437/AQ437,AP437)</f>
        <v>0</v>
      </c>
      <c r="AN437" s="63">
        <f ca="1">SUM(AE437:AM437)</f>
        <v>0</v>
      </c>
      <c r="AO437" s="68" t="e">
        <f ca="1">1/(AC437+AD437)</f>
        <v>#DIV/0!</v>
      </c>
      <c r="AP437" s="67">
        <v>0</v>
      </c>
      <c r="AQ437" s="68">
        <f ca="1">IF(AC437&gt;=1,G437,0)+SUMIF($H$4:$M$4,"&lt;="&amp;AD437,$H437:$M437)+IF(AD437&gt;=7,N437,0)+O437</f>
        <v>0</v>
      </c>
    </row>
    <row r="438" spans="1:43" x14ac:dyDescent="0.15">
      <c r="A438" s="50"/>
      <c r="B438" s="50"/>
      <c r="C438" s="145">
        <f ca="1">OFFSET(①簡易状況入力!$C$5,MATCH(A435,①簡易状況入力!$C$5:$C$104,0)-1,20)</f>
        <v>0</v>
      </c>
      <c r="D438" s="148" t="s">
        <v>51</v>
      </c>
      <c r="E438" s="56">
        <f t="shared" ref="E438:F438" ca="1" si="1550">E437</f>
        <v>0</v>
      </c>
      <c r="F438" s="56">
        <f t="shared" ca="1" si="1550"/>
        <v>0</v>
      </c>
      <c r="G438" s="104"/>
      <c r="H438" s="104"/>
      <c r="I438" s="104"/>
      <c r="J438" s="104"/>
      <c r="K438" s="104"/>
      <c r="L438" s="104"/>
      <c r="M438" s="104"/>
      <c r="N438" s="104"/>
      <c r="O438" s="106"/>
      <c r="Q438" s="50"/>
      <c r="R438" s="58"/>
      <c r="S438" s="166"/>
      <c r="T438" s="146" t="s">
        <v>34</v>
      </c>
      <c r="U438" s="35">
        <f ca="1">OFFSET(①簡易状況入力!$C$5,MATCH(A435,①簡易状況入力!$C$5:$C$104,0)-1,3)</f>
        <v>0</v>
      </c>
      <c r="V438" s="58"/>
      <c r="W438" s="146" t="s">
        <v>118</v>
      </c>
      <c r="X438" s="37">
        <f ca="1">OFFSET(①簡易状況入力!$C$5,MATCH(A435,①簡易状況入力!$C$5:$C$104,0)-1,7)</f>
        <v>0</v>
      </c>
      <c r="Y438" s="149">
        <f ca="1">OFFSET(①簡易状況入力!$C$5,MATCH(A435,①簡易状況入力!$C$5:$C$104,0)-1,13)</f>
        <v>0</v>
      </c>
      <c r="Z438" s="167">
        <f ca="1">OFFSET(①簡易状況入力!$C$5,MATCH(A435,①簡易状況入力!$C$5:$C$104,0)-1,14)</f>
        <v>0</v>
      </c>
      <c r="AA438" s="168"/>
      <c r="AB438" s="148" t="s">
        <v>51</v>
      </c>
      <c r="AC438" s="56">
        <f t="shared" ref="AC438:AD438" ca="1" si="1551">AC437</f>
        <v>0</v>
      </c>
      <c r="AD438" s="56">
        <f t="shared" ca="1" si="1551"/>
        <v>0</v>
      </c>
      <c r="AE438" s="63">
        <f ca="1">IF($C438="あり",IF(AC438&gt;=1,G438/AQ438,0),IF(AC438&gt;=1,AO438*AC438,0))</f>
        <v>0</v>
      </c>
      <c r="AF438" s="63">
        <f t="shared" ca="1" si="1542"/>
        <v>0</v>
      </c>
      <c r="AG438" s="63">
        <f t="shared" ca="1" si="1543"/>
        <v>0</v>
      </c>
      <c r="AH438" s="63">
        <f t="shared" ca="1" si="1544"/>
        <v>0</v>
      </c>
      <c r="AI438" s="63">
        <f t="shared" ca="1" si="1545"/>
        <v>0</v>
      </c>
      <c r="AJ438" s="63">
        <f t="shared" ca="1" si="1546"/>
        <v>0</v>
      </c>
      <c r="AK438" s="63">
        <f t="shared" ca="1" si="1547"/>
        <v>0</v>
      </c>
      <c r="AL438" s="63">
        <f ca="1">IF($C438="あり",IF($AD438&gt;=7,N438/$AQ438,0),IF($AD438&gt;=7,$AO438*($AD438-6),0))</f>
        <v>0</v>
      </c>
      <c r="AM438" s="65">
        <f ca="1">IF(C438="あり",O438/AQ438,AP438)</f>
        <v>0</v>
      </c>
      <c r="AN438" s="63">
        <f ca="1">SUM(AE438:AM438)</f>
        <v>0</v>
      </c>
      <c r="AO438" s="68" t="e">
        <f ca="1">1/(AC438+AD438)</f>
        <v>#DIV/0!</v>
      </c>
      <c r="AP438" s="67">
        <v>0</v>
      </c>
      <c r="AQ438" s="68">
        <f ca="1">IF(AC438&gt;=1,G438,0)+SUMIF($H$4:$M$4,"&lt;="&amp;AD438,$H438:$M438)+IF(AD438&gt;=7,N438,0)+O438</f>
        <v>0</v>
      </c>
    </row>
    <row r="439" spans="1:43" x14ac:dyDescent="0.15">
      <c r="G439" s="107"/>
      <c r="H439" s="107"/>
      <c r="I439" s="107"/>
      <c r="J439" s="107"/>
      <c r="K439" s="107"/>
      <c r="L439" s="107"/>
      <c r="M439" s="107"/>
      <c r="N439" s="107"/>
      <c r="O439" s="107"/>
    </row>
    <row r="440" spans="1:43" x14ac:dyDescent="0.15">
      <c r="A440" s="59" t="s">
        <v>403</v>
      </c>
      <c r="B440" s="60">
        <f ca="1">OFFSET(①簡易状況入力!$C$5,MATCH(A440,①簡易状況入力!$C$5:$C$104,0)-1,1)</f>
        <v>0</v>
      </c>
      <c r="C440" s="145">
        <f ca="1">OFFSET(①簡易状況入力!$C$5,MATCH(A440,①簡易状況入力!$C$5:$C$104,0)-1,17)</f>
        <v>0</v>
      </c>
      <c r="D440" s="148" t="s">
        <v>47</v>
      </c>
      <c r="E440" s="56">
        <f ca="1">U443</f>
        <v>0</v>
      </c>
      <c r="F440" s="56">
        <f ca="1">U442</f>
        <v>0</v>
      </c>
      <c r="G440" s="102"/>
      <c r="H440" s="103"/>
      <c r="I440" s="103"/>
      <c r="J440" s="103"/>
      <c r="K440" s="103"/>
      <c r="L440" s="103"/>
      <c r="M440" s="103"/>
      <c r="N440" s="103"/>
      <c r="O440" s="103"/>
      <c r="Q440" s="57">
        <f ca="1">OFFSET(①簡易状況入力!$C$5,MATCH(A440,①簡易状況入力!$C$5:$C$104,0)-1,15)</f>
        <v>0</v>
      </c>
      <c r="R440" s="58"/>
      <c r="S440" s="58"/>
      <c r="T440" s="58"/>
      <c r="U440" s="58"/>
      <c r="V440" s="58"/>
      <c r="W440" s="58"/>
      <c r="X440" s="58"/>
      <c r="Y440" s="58"/>
      <c r="Z440" s="58"/>
      <c r="AA440" s="58"/>
      <c r="AB440" s="148" t="s">
        <v>47</v>
      </c>
      <c r="AC440" s="56">
        <f ca="1">U443</f>
        <v>0</v>
      </c>
      <c r="AD440" s="56">
        <f ca="1">U442</f>
        <v>0</v>
      </c>
      <c r="AE440" s="62" t="s">
        <v>46</v>
      </c>
      <c r="AF440" s="62" t="str">
        <f t="shared" ref="AF440" ca="1" si="1552">IF($C440="あり",IF(AF$4&lt;=$AD440,H440,"-"),IF(AF$4&lt;=$AD440,$AO440,"-"))</f>
        <v>-</v>
      </c>
      <c r="AG440" s="62" t="str">
        <f t="shared" ref="AG440" ca="1" si="1553">IF($C440="あり",IF(AG$4&lt;=$AD440,I440,"-"),IF(AG$4&lt;=$AD440,$AO440,"-"))</f>
        <v>-</v>
      </c>
      <c r="AH440" s="62" t="str">
        <f t="shared" ref="AH440" ca="1" si="1554">IF($C440="あり",IF(AH$4&lt;=$AD440,J440,"-"),IF(AH$4&lt;=$AD440,$AO440,"-"))</f>
        <v>-</v>
      </c>
      <c r="AI440" s="62" t="str">
        <f t="shared" ref="AI440" ca="1" si="1555">IF($C440="あり",IF(AI$4&lt;=$AD440,K440,"-"),IF(AI$4&lt;=$AD440,$AO440,"-"))</f>
        <v>-</v>
      </c>
      <c r="AJ440" s="62" t="str">
        <f t="shared" ref="AJ440" ca="1" si="1556">IF($C440="あり",IF(AJ$4&lt;=$AD440,L440,"-"),IF(AJ$4&lt;=$AD440,$AO440,"-"))</f>
        <v>-</v>
      </c>
      <c r="AK440" s="62" t="str">
        <f t="shared" ref="AK440" ca="1" si="1557">IF($C440="あり",IF(AK$4&lt;=$AD440,M440,"-"),IF(AK$4&lt;=$AD440,$AO440,"-"))</f>
        <v>-</v>
      </c>
      <c r="AL440" s="62" t="str">
        <f ca="1">IF($C440="あり",IF(7&lt;=$AD440,N440,"-"),IF(7&lt;=$AD440,$AO440*($AD440-6),"-"))</f>
        <v>-</v>
      </c>
      <c r="AM440" s="62">
        <f ca="1">IF(C440="あり",O440,AP440)</f>
        <v>0</v>
      </c>
      <c r="AN440" s="62">
        <f ca="1">SUM(U441,AF440:AM440)</f>
        <v>0</v>
      </c>
      <c r="AO440" s="42">
        <f ca="1">OFFSET(【DB】被害率係数!$A$4,MATCH(②詳細状況入力!$Y441,【DB】被害率係数!$A$4:$A$19,0)-1,16)</f>
        <v>0</v>
      </c>
      <c r="AP440" s="42">
        <f ca="1">OFFSET(【DB】被害率係数!$A$4,MATCH(②詳細状況入力!$Y441,【DB】被害率係数!$A$4:$A$19,0)-1,17)</f>
        <v>0</v>
      </c>
      <c r="AQ440" s="42"/>
    </row>
    <row r="441" spans="1:43" x14ac:dyDescent="0.15">
      <c r="A441" s="50"/>
      <c r="B441" s="50"/>
      <c r="C441" s="145">
        <f ca="1">OFFSET(①簡易状況入力!$C$5,MATCH(A440,①簡易状況入力!$C$5:$C$104,0)-1,18)</f>
        <v>0</v>
      </c>
      <c r="D441" s="148" t="s">
        <v>52</v>
      </c>
      <c r="E441" s="56">
        <f t="shared" ref="E441:F441" ca="1" si="1558">E440</f>
        <v>0</v>
      </c>
      <c r="F441" s="56">
        <f t="shared" ca="1" si="1558"/>
        <v>0</v>
      </c>
      <c r="G441" s="104"/>
      <c r="H441" s="104"/>
      <c r="I441" s="104"/>
      <c r="J441" s="104"/>
      <c r="K441" s="104"/>
      <c r="L441" s="104"/>
      <c r="M441" s="104"/>
      <c r="N441" s="104"/>
      <c r="O441" s="105"/>
      <c r="Q441" s="57">
        <f ca="1">OFFSET(①簡易状況入力!$C$5,MATCH(A440,①簡易状況入力!$C$5:$C$104,0)-1,16)</f>
        <v>0</v>
      </c>
      <c r="R441" s="58"/>
      <c r="S441" s="146" t="s">
        <v>115</v>
      </c>
      <c r="T441" s="146" t="s">
        <v>116</v>
      </c>
      <c r="U441" s="36">
        <f ca="1">OFFSET(①簡易状況入力!$C$5,MATCH(A440,①簡易状況入力!$C$5:$C$104,0)-1,4)</f>
        <v>0</v>
      </c>
      <c r="V441" s="58"/>
      <c r="W441" s="146" t="s">
        <v>30</v>
      </c>
      <c r="X441" s="37">
        <f ca="1">OFFSET(①簡易状況入力!$C$5,MATCH(A440,①簡易状況入力!$C$5:$C$104,0)-1,5)</f>
        <v>0</v>
      </c>
      <c r="Y441" s="149">
        <f ca="1">OFFSET(①簡易状況入力!$C$5,MATCH(A440,①簡易状況入力!$C$5:$C$104,0)-1,8)</f>
        <v>0</v>
      </c>
      <c r="Z441" s="149">
        <f ca="1">OFFSET(①簡易状況入力!$C$5,MATCH(A440,①簡易状況入力!$C$5:$C$104,0)-1,9)</f>
        <v>0</v>
      </c>
      <c r="AA441" s="149">
        <f ca="1">OFFSET(①簡易状況入力!$C$5,MATCH(A440,①簡易状況入力!$C$5:$C$104,0)-1,10)</f>
        <v>0</v>
      </c>
      <c r="AB441" s="148" t="s">
        <v>52</v>
      </c>
      <c r="AC441" s="56">
        <f t="shared" ref="AC441:AD441" ca="1" si="1559">AC440</f>
        <v>0</v>
      </c>
      <c r="AD441" s="56">
        <f t="shared" ca="1" si="1559"/>
        <v>0</v>
      </c>
      <c r="AE441" s="63">
        <f ca="1">IF($C441="あり",IF(AC441&gt;=1,G441/AQ441,0),IF(AC441&gt;=1,AO441*AC441,0))</f>
        <v>0</v>
      </c>
      <c r="AF441" s="63">
        <f t="shared" ref="AF441:AF443" ca="1" si="1560">IF($C441="あり",IF($AD441&gt;=AF$4,H441/$AQ441,0),IF($AD441&gt;=AF$4,$AO441,0))</f>
        <v>0</v>
      </c>
      <c r="AG441" s="63">
        <f t="shared" ref="AG441:AG443" ca="1" si="1561">IF($C441="あり",IF($AD441&gt;=AG$4,I441/$AQ441,0),IF($AD441&gt;=AG$4,$AO441,0))</f>
        <v>0</v>
      </c>
      <c r="AH441" s="63">
        <f t="shared" ref="AH441:AH443" ca="1" si="1562">IF($C441="あり",IF($AD441&gt;=AH$4,J441/$AQ441,0),IF($AD441&gt;=AH$4,$AO441,0))</f>
        <v>0</v>
      </c>
      <c r="AI441" s="63">
        <f t="shared" ref="AI441:AI443" ca="1" si="1563">IF($C441="あり",IF($AD441&gt;=AI$4,K441/$AQ441,0),IF($AD441&gt;=AI$4,$AO441,0))</f>
        <v>0</v>
      </c>
      <c r="AJ441" s="63">
        <f t="shared" ref="AJ441:AJ443" ca="1" si="1564">IF($C441="あり",IF($AD441&gt;=AJ$4,L441/$AQ441,0),IF($AD441&gt;=AJ$4,$AO441,0))</f>
        <v>0</v>
      </c>
      <c r="AK441" s="63">
        <f t="shared" ref="AK441:AK443" ca="1" si="1565">IF($C441="あり",IF($AD441&gt;=AK$4,M441/$AQ441,0),IF($AD441&gt;=AK$4,$AO441,0))</f>
        <v>0</v>
      </c>
      <c r="AL441" s="63">
        <f ca="1">IF($C441="あり",IF($AD441&gt;=7,N441/$AQ441,0),IF($AD441&gt;=7,$AO441*($AD441-6),0))</f>
        <v>0</v>
      </c>
      <c r="AM441" s="64" t="s">
        <v>46</v>
      </c>
      <c r="AN441" s="63">
        <f ca="1">SUM(AE441:AM441)</f>
        <v>0</v>
      </c>
      <c r="AO441" s="68" t="e">
        <f ca="1">1/(AC441+AD441)</f>
        <v>#DIV/0!</v>
      </c>
      <c r="AP441" s="67">
        <v>0</v>
      </c>
      <c r="AQ441" s="68">
        <f ca="1">IF(AC441&gt;=1,G441,0)+SUMIF($H$4:$M$4,"&lt;="&amp;AD441,$H441:$M441)+IF(AD441&gt;=7,N441,0)</f>
        <v>0</v>
      </c>
    </row>
    <row r="442" spans="1:43" x14ac:dyDescent="0.15">
      <c r="A442" s="50"/>
      <c r="B442" s="50"/>
      <c r="C442" s="145">
        <f ca="1">OFFSET(①簡易状況入力!$C$5,MATCH(A440,①簡易状況入力!$C$5:$C$104,0)-1,19)</f>
        <v>0</v>
      </c>
      <c r="D442" s="148" t="s">
        <v>50</v>
      </c>
      <c r="E442" s="56">
        <f t="shared" ref="E442" ca="1" si="1566">E441</f>
        <v>0</v>
      </c>
      <c r="F442" s="56">
        <f ca="1">F441</f>
        <v>0</v>
      </c>
      <c r="G442" s="104"/>
      <c r="H442" s="104"/>
      <c r="I442" s="104"/>
      <c r="J442" s="104"/>
      <c r="K442" s="104"/>
      <c r="L442" s="104"/>
      <c r="M442" s="104"/>
      <c r="N442" s="104"/>
      <c r="O442" s="106"/>
      <c r="Q442" s="50"/>
      <c r="R442" s="58"/>
      <c r="S442" s="165" t="s">
        <v>28</v>
      </c>
      <c r="T442" s="146" t="s">
        <v>35</v>
      </c>
      <c r="U442" s="35">
        <f ca="1">OFFSET(①簡易状況入力!$C$5,MATCH(A440,①簡易状況入力!$C$5:$C$104,0)-1,2)</f>
        <v>0</v>
      </c>
      <c r="V442" s="58"/>
      <c r="W442" s="146" t="s">
        <v>33</v>
      </c>
      <c r="X442" s="37">
        <f ca="1">OFFSET(①簡易状況入力!$C$5,MATCH(A440,①簡易状況入力!$C$5:$C$104,0)-1,6)</f>
        <v>0</v>
      </c>
      <c r="Y442" s="149">
        <f ca="1">OFFSET(①簡易状況入力!$C$5,MATCH(A440,①簡易状況入力!$C$5:$C$104,0)-1,11)</f>
        <v>0</v>
      </c>
      <c r="Z442" s="167">
        <f ca="1">OFFSET(①簡易状況入力!$C$5,MATCH(A440,①簡易状況入力!$C$5:$C$104,0)-1,12)</f>
        <v>0</v>
      </c>
      <c r="AA442" s="168"/>
      <c r="AB442" s="148" t="s">
        <v>50</v>
      </c>
      <c r="AC442" s="56">
        <f t="shared" ref="AC442:AD442" ca="1" si="1567">AC441</f>
        <v>0</v>
      </c>
      <c r="AD442" s="56">
        <f t="shared" ca="1" si="1567"/>
        <v>0</v>
      </c>
      <c r="AE442" s="63">
        <f ca="1">IF($C442="あり",IF(AC442&gt;=1,G442/AQ442,0),IF(AC442&gt;=1,AO442*AC442,0))</f>
        <v>0</v>
      </c>
      <c r="AF442" s="63">
        <f t="shared" ca="1" si="1560"/>
        <v>0</v>
      </c>
      <c r="AG442" s="63">
        <f t="shared" ca="1" si="1561"/>
        <v>0</v>
      </c>
      <c r="AH442" s="63">
        <f t="shared" ca="1" si="1562"/>
        <v>0</v>
      </c>
      <c r="AI442" s="63">
        <f t="shared" ca="1" si="1563"/>
        <v>0</v>
      </c>
      <c r="AJ442" s="63">
        <f t="shared" ca="1" si="1564"/>
        <v>0</v>
      </c>
      <c r="AK442" s="63">
        <f t="shared" ca="1" si="1565"/>
        <v>0</v>
      </c>
      <c r="AL442" s="63">
        <f ca="1">IF($C442="あり",IF($AD442&gt;=7,N442/$AQ442,0),IF($AD442&gt;=7,$AO442*($AD442-6),0))</f>
        <v>0</v>
      </c>
      <c r="AM442" s="65">
        <f ca="1">IF(C442="あり",O442/AQ442,AP442)</f>
        <v>0</v>
      </c>
      <c r="AN442" s="63">
        <f ca="1">SUM(AE442:AM442)</f>
        <v>0</v>
      </c>
      <c r="AO442" s="68" t="e">
        <f ca="1">1/(AC442+AD442)</f>
        <v>#DIV/0!</v>
      </c>
      <c r="AP442" s="67">
        <v>0</v>
      </c>
      <c r="AQ442" s="68">
        <f ca="1">IF(AC442&gt;=1,G442,0)+SUMIF($H$4:$M$4,"&lt;="&amp;AD442,$H442:$M442)+IF(AD442&gt;=7,N442,0)+O442</f>
        <v>0</v>
      </c>
    </row>
    <row r="443" spans="1:43" x14ac:dyDescent="0.15">
      <c r="A443" s="50"/>
      <c r="B443" s="50"/>
      <c r="C443" s="145">
        <f ca="1">OFFSET(①簡易状況入力!$C$5,MATCH(A440,①簡易状況入力!$C$5:$C$104,0)-1,20)</f>
        <v>0</v>
      </c>
      <c r="D443" s="148" t="s">
        <v>51</v>
      </c>
      <c r="E443" s="56">
        <f t="shared" ref="E443:F443" ca="1" si="1568">E442</f>
        <v>0</v>
      </c>
      <c r="F443" s="56">
        <f t="shared" ca="1" si="1568"/>
        <v>0</v>
      </c>
      <c r="G443" s="104"/>
      <c r="H443" s="104"/>
      <c r="I443" s="104"/>
      <c r="J443" s="104"/>
      <c r="K443" s="104"/>
      <c r="L443" s="104"/>
      <c r="M443" s="104"/>
      <c r="N443" s="104"/>
      <c r="O443" s="106"/>
      <c r="Q443" s="50"/>
      <c r="R443" s="58"/>
      <c r="S443" s="166"/>
      <c r="T443" s="146" t="s">
        <v>34</v>
      </c>
      <c r="U443" s="35">
        <f ca="1">OFFSET(①簡易状況入力!$C$5,MATCH(A440,①簡易状況入力!$C$5:$C$104,0)-1,3)</f>
        <v>0</v>
      </c>
      <c r="V443" s="58"/>
      <c r="W443" s="146" t="s">
        <v>118</v>
      </c>
      <c r="X443" s="37">
        <f ca="1">OFFSET(①簡易状況入力!$C$5,MATCH(A440,①簡易状況入力!$C$5:$C$104,0)-1,7)</f>
        <v>0</v>
      </c>
      <c r="Y443" s="149">
        <f ca="1">OFFSET(①簡易状況入力!$C$5,MATCH(A440,①簡易状況入力!$C$5:$C$104,0)-1,13)</f>
        <v>0</v>
      </c>
      <c r="Z443" s="167">
        <f ca="1">OFFSET(①簡易状況入力!$C$5,MATCH(A440,①簡易状況入力!$C$5:$C$104,0)-1,14)</f>
        <v>0</v>
      </c>
      <c r="AA443" s="168"/>
      <c r="AB443" s="148" t="s">
        <v>51</v>
      </c>
      <c r="AC443" s="56">
        <f t="shared" ref="AC443:AD443" ca="1" si="1569">AC442</f>
        <v>0</v>
      </c>
      <c r="AD443" s="56">
        <f t="shared" ca="1" si="1569"/>
        <v>0</v>
      </c>
      <c r="AE443" s="63">
        <f ca="1">IF($C443="あり",IF(AC443&gt;=1,G443/AQ443,0),IF(AC443&gt;=1,AO443*AC443,0))</f>
        <v>0</v>
      </c>
      <c r="AF443" s="63">
        <f t="shared" ca="1" si="1560"/>
        <v>0</v>
      </c>
      <c r="AG443" s="63">
        <f t="shared" ca="1" si="1561"/>
        <v>0</v>
      </c>
      <c r="AH443" s="63">
        <f t="shared" ca="1" si="1562"/>
        <v>0</v>
      </c>
      <c r="AI443" s="63">
        <f t="shared" ca="1" si="1563"/>
        <v>0</v>
      </c>
      <c r="AJ443" s="63">
        <f t="shared" ca="1" si="1564"/>
        <v>0</v>
      </c>
      <c r="AK443" s="63">
        <f t="shared" ca="1" si="1565"/>
        <v>0</v>
      </c>
      <c r="AL443" s="63">
        <f ca="1">IF($C443="あり",IF($AD443&gt;=7,N443/$AQ443,0),IF($AD443&gt;=7,$AO443*($AD443-6),0))</f>
        <v>0</v>
      </c>
      <c r="AM443" s="65">
        <f ca="1">IF(C443="あり",O443/AQ443,AP443)</f>
        <v>0</v>
      </c>
      <c r="AN443" s="63">
        <f ca="1">SUM(AE443:AM443)</f>
        <v>0</v>
      </c>
      <c r="AO443" s="68" t="e">
        <f ca="1">1/(AC443+AD443)</f>
        <v>#DIV/0!</v>
      </c>
      <c r="AP443" s="67">
        <v>0</v>
      </c>
      <c r="AQ443" s="68">
        <f ca="1">IF(AC443&gt;=1,G443,0)+SUMIF($H$4:$M$4,"&lt;="&amp;AD443,$H443:$M443)+IF(AD443&gt;=7,N443,0)+O443</f>
        <v>0</v>
      </c>
    </row>
    <row r="444" spans="1:43" x14ac:dyDescent="0.15">
      <c r="G444" s="107"/>
      <c r="H444" s="107"/>
      <c r="I444" s="107"/>
      <c r="J444" s="107"/>
      <c r="K444" s="107"/>
      <c r="L444" s="107"/>
      <c r="M444" s="107"/>
      <c r="N444" s="107"/>
      <c r="O444" s="107"/>
    </row>
    <row r="445" spans="1:43" x14ac:dyDescent="0.15">
      <c r="A445" s="59" t="s">
        <v>404</v>
      </c>
      <c r="B445" s="60">
        <f ca="1">OFFSET(①簡易状況入力!$C$5,MATCH(A445,①簡易状況入力!$C$5:$C$104,0)-1,1)</f>
        <v>0</v>
      </c>
      <c r="C445" s="145">
        <f ca="1">OFFSET(①簡易状況入力!$C$5,MATCH(A445,①簡易状況入力!$C$5:$C$104,0)-1,17)</f>
        <v>0</v>
      </c>
      <c r="D445" s="148" t="s">
        <v>47</v>
      </c>
      <c r="E445" s="56">
        <f ca="1">U448</f>
        <v>0</v>
      </c>
      <c r="F445" s="56">
        <f ca="1">U447</f>
        <v>0</v>
      </c>
      <c r="G445" s="102"/>
      <c r="H445" s="103"/>
      <c r="I445" s="103"/>
      <c r="J445" s="103"/>
      <c r="K445" s="103"/>
      <c r="L445" s="103"/>
      <c r="M445" s="103"/>
      <c r="N445" s="103"/>
      <c r="O445" s="103"/>
      <c r="Q445" s="57">
        <f ca="1">OFFSET(①簡易状況入力!$C$5,MATCH(A445,①簡易状況入力!$C$5:$C$104,0)-1,15)</f>
        <v>0</v>
      </c>
      <c r="R445" s="58"/>
      <c r="S445" s="58"/>
      <c r="T445" s="58"/>
      <c r="U445" s="58"/>
      <c r="V445" s="58"/>
      <c r="W445" s="58"/>
      <c r="X445" s="58"/>
      <c r="Y445" s="58"/>
      <c r="Z445" s="58"/>
      <c r="AA445" s="58"/>
      <c r="AB445" s="148" t="s">
        <v>47</v>
      </c>
      <c r="AC445" s="56">
        <f ca="1">U448</f>
        <v>0</v>
      </c>
      <c r="AD445" s="56">
        <f ca="1">U447</f>
        <v>0</v>
      </c>
      <c r="AE445" s="62" t="s">
        <v>46</v>
      </c>
      <c r="AF445" s="62" t="str">
        <f t="shared" ref="AF445" ca="1" si="1570">IF($C445="あり",IF(AF$4&lt;=$AD445,H445,"-"),IF(AF$4&lt;=$AD445,$AO445,"-"))</f>
        <v>-</v>
      </c>
      <c r="AG445" s="62" t="str">
        <f t="shared" ref="AG445" ca="1" si="1571">IF($C445="あり",IF(AG$4&lt;=$AD445,I445,"-"),IF(AG$4&lt;=$AD445,$AO445,"-"))</f>
        <v>-</v>
      </c>
      <c r="AH445" s="62" t="str">
        <f t="shared" ref="AH445" ca="1" si="1572">IF($C445="あり",IF(AH$4&lt;=$AD445,J445,"-"),IF(AH$4&lt;=$AD445,$AO445,"-"))</f>
        <v>-</v>
      </c>
      <c r="AI445" s="62" t="str">
        <f t="shared" ref="AI445" ca="1" si="1573">IF($C445="あり",IF(AI$4&lt;=$AD445,K445,"-"),IF(AI$4&lt;=$AD445,$AO445,"-"))</f>
        <v>-</v>
      </c>
      <c r="AJ445" s="62" t="str">
        <f t="shared" ref="AJ445" ca="1" si="1574">IF($C445="あり",IF(AJ$4&lt;=$AD445,L445,"-"),IF(AJ$4&lt;=$AD445,$AO445,"-"))</f>
        <v>-</v>
      </c>
      <c r="AK445" s="62" t="str">
        <f t="shared" ref="AK445" ca="1" si="1575">IF($C445="あり",IF(AK$4&lt;=$AD445,M445,"-"),IF(AK$4&lt;=$AD445,$AO445,"-"))</f>
        <v>-</v>
      </c>
      <c r="AL445" s="62" t="str">
        <f ca="1">IF($C445="あり",IF(7&lt;=$AD445,N445,"-"),IF(7&lt;=$AD445,$AO445*($AD445-6),"-"))</f>
        <v>-</v>
      </c>
      <c r="AM445" s="62">
        <f ca="1">IF(C445="あり",O445,AP445)</f>
        <v>0</v>
      </c>
      <c r="AN445" s="62">
        <f ca="1">SUM(U446,AF445:AM445)</f>
        <v>0</v>
      </c>
      <c r="AO445" s="42">
        <f ca="1">OFFSET(【DB】被害率係数!$A$4,MATCH(②詳細状況入力!$Y446,【DB】被害率係数!$A$4:$A$19,0)-1,16)</f>
        <v>0</v>
      </c>
      <c r="AP445" s="42">
        <f ca="1">OFFSET(【DB】被害率係数!$A$4,MATCH(②詳細状況入力!$Y446,【DB】被害率係数!$A$4:$A$19,0)-1,17)</f>
        <v>0</v>
      </c>
      <c r="AQ445" s="42"/>
    </row>
    <row r="446" spans="1:43" x14ac:dyDescent="0.15">
      <c r="A446" s="50"/>
      <c r="B446" s="50"/>
      <c r="C446" s="145">
        <f ca="1">OFFSET(①簡易状況入力!$C$5,MATCH(A445,①簡易状況入力!$C$5:$C$104,0)-1,18)</f>
        <v>0</v>
      </c>
      <c r="D446" s="148" t="s">
        <v>52</v>
      </c>
      <c r="E446" s="56">
        <f t="shared" ref="E446:F446" ca="1" si="1576">E445</f>
        <v>0</v>
      </c>
      <c r="F446" s="56">
        <f t="shared" ca="1" si="1576"/>
        <v>0</v>
      </c>
      <c r="G446" s="104"/>
      <c r="H446" s="104"/>
      <c r="I446" s="104"/>
      <c r="J446" s="104"/>
      <c r="K446" s="104"/>
      <c r="L446" s="104"/>
      <c r="M446" s="104"/>
      <c r="N446" s="104"/>
      <c r="O446" s="105"/>
      <c r="Q446" s="57">
        <f ca="1">OFFSET(①簡易状況入力!$C$5,MATCH(A445,①簡易状況入力!$C$5:$C$104,0)-1,16)</f>
        <v>0</v>
      </c>
      <c r="R446" s="58"/>
      <c r="S446" s="146" t="s">
        <v>115</v>
      </c>
      <c r="T446" s="146" t="s">
        <v>116</v>
      </c>
      <c r="U446" s="36">
        <f ca="1">OFFSET(①簡易状況入力!$C$5,MATCH(A445,①簡易状況入力!$C$5:$C$104,0)-1,4)</f>
        <v>0</v>
      </c>
      <c r="V446" s="58"/>
      <c r="W446" s="146" t="s">
        <v>30</v>
      </c>
      <c r="X446" s="37">
        <f ca="1">OFFSET(①簡易状況入力!$C$5,MATCH(A445,①簡易状況入力!$C$5:$C$104,0)-1,5)</f>
        <v>0</v>
      </c>
      <c r="Y446" s="149">
        <f ca="1">OFFSET(①簡易状況入力!$C$5,MATCH(A445,①簡易状況入力!$C$5:$C$104,0)-1,8)</f>
        <v>0</v>
      </c>
      <c r="Z446" s="149">
        <f ca="1">OFFSET(①簡易状況入力!$C$5,MATCH(A445,①簡易状況入力!$C$5:$C$104,0)-1,9)</f>
        <v>0</v>
      </c>
      <c r="AA446" s="149">
        <f ca="1">OFFSET(①簡易状況入力!$C$5,MATCH(A445,①簡易状況入力!$C$5:$C$104,0)-1,10)</f>
        <v>0</v>
      </c>
      <c r="AB446" s="148" t="s">
        <v>52</v>
      </c>
      <c r="AC446" s="56">
        <f t="shared" ref="AC446:AD446" ca="1" si="1577">AC445</f>
        <v>0</v>
      </c>
      <c r="AD446" s="56">
        <f t="shared" ca="1" si="1577"/>
        <v>0</v>
      </c>
      <c r="AE446" s="63">
        <f ca="1">IF($C446="あり",IF(AC446&gt;=1,G446/AQ446,0),IF(AC446&gt;=1,AO446*AC446,0))</f>
        <v>0</v>
      </c>
      <c r="AF446" s="63">
        <f t="shared" ref="AF446:AF448" ca="1" si="1578">IF($C446="あり",IF($AD446&gt;=AF$4,H446/$AQ446,0),IF($AD446&gt;=AF$4,$AO446,0))</f>
        <v>0</v>
      </c>
      <c r="AG446" s="63">
        <f t="shared" ref="AG446:AG448" ca="1" si="1579">IF($C446="あり",IF($AD446&gt;=AG$4,I446/$AQ446,0),IF($AD446&gt;=AG$4,$AO446,0))</f>
        <v>0</v>
      </c>
      <c r="AH446" s="63">
        <f t="shared" ref="AH446:AH448" ca="1" si="1580">IF($C446="あり",IF($AD446&gt;=AH$4,J446/$AQ446,0),IF($AD446&gt;=AH$4,$AO446,0))</f>
        <v>0</v>
      </c>
      <c r="AI446" s="63">
        <f t="shared" ref="AI446:AI448" ca="1" si="1581">IF($C446="あり",IF($AD446&gt;=AI$4,K446/$AQ446,0),IF($AD446&gt;=AI$4,$AO446,0))</f>
        <v>0</v>
      </c>
      <c r="AJ446" s="63">
        <f t="shared" ref="AJ446:AJ448" ca="1" si="1582">IF($C446="あり",IF($AD446&gt;=AJ$4,L446/$AQ446,0),IF($AD446&gt;=AJ$4,$AO446,0))</f>
        <v>0</v>
      </c>
      <c r="AK446" s="63">
        <f t="shared" ref="AK446:AK448" ca="1" si="1583">IF($C446="あり",IF($AD446&gt;=AK$4,M446/$AQ446,0),IF($AD446&gt;=AK$4,$AO446,0))</f>
        <v>0</v>
      </c>
      <c r="AL446" s="63">
        <f ca="1">IF($C446="あり",IF($AD446&gt;=7,N446/$AQ446,0),IF($AD446&gt;=7,$AO446*($AD446-6),0))</f>
        <v>0</v>
      </c>
      <c r="AM446" s="64" t="s">
        <v>46</v>
      </c>
      <c r="AN446" s="63">
        <f ca="1">SUM(AE446:AM446)</f>
        <v>0</v>
      </c>
      <c r="AO446" s="68" t="e">
        <f ca="1">1/(AC446+AD446)</f>
        <v>#DIV/0!</v>
      </c>
      <c r="AP446" s="67">
        <v>0</v>
      </c>
      <c r="AQ446" s="68">
        <f ca="1">IF(AC446&gt;=1,G446,0)+SUMIF($H$4:$M$4,"&lt;="&amp;AD446,$H446:$M446)+IF(AD446&gt;=7,N446,0)</f>
        <v>0</v>
      </c>
    </row>
    <row r="447" spans="1:43" x14ac:dyDescent="0.15">
      <c r="A447" s="50"/>
      <c r="B447" s="50"/>
      <c r="C447" s="145">
        <f ca="1">OFFSET(①簡易状況入力!$C$5,MATCH(A445,①簡易状況入力!$C$5:$C$104,0)-1,19)</f>
        <v>0</v>
      </c>
      <c r="D447" s="148" t="s">
        <v>50</v>
      </c>
      <c r="E447" s="56">
        <f t="shared" ref="E447" ca="1" si="1584">E446</f>
        <v>0</v>
      </c>
      <c r="F447" s="56">
        <f ca="1">F446</f>
        <v>0</v>
      </c>
      <c r="G447" s="104"/>
      <c r="H447" s="104"/>
      <c r="I447" s="104"/>
      <c r="J447" s="104"/>
      <c r="K447" s="104"/>
      <c r="L447" s="104"/>
      <c r="M447" s="104"/>
      <c r="N447" s="104"/>
      <c r="O447" s="106"/>
      <c r="Q447" s="50"/>
      <c r="R447" s="58"/>
      <c r="S447" s="165" t="s">
        <v>28</v>
      </c>
      <c r="T447" s="146" t="s">
        <v>35</v>
      </c>
      <c r="U447" s="35">
        <f ca="1">OFFSET(①簡易状況入力!$C$5,MATCH(A445,①簡易状況入力!$C$5:$C$104,0)-1,2)</f>
        <v>0</v>
      </c>
      <c r="V447" s="58"/>
      <c r="W447" s="146" t="s">
        <v>33</v>
      </c>
      <c r="X447" s="37">
        <f ca="1">OFFSET(①簡易状況入力!$C$5,MATCH(A445,①簡易状況入力!$C$5:$C$104,0)-1,6)</f>
        <v>0</v>
      </c>
      <c r="Y447" s="149">
        <f ca="1">OFFSET(①簡易状況入力!$C$5,MATCH(A445,①簡易状況入力!$C$5:$C$104,0)-1,11)</f>
        <v>0</v>
      </c>
      <c r="Z447" s="167">
        <f ca="1">OFFSET(①簡易状況入力!$C$5,MATCH(A445,①簡易状況入力!$C$5:$C$104,0)-1,12)</f>
        <v>0</v>
      </c>
      <c r="AA447" s="168"/>
      <c r="AB447" s="148" t="s">
        <v>50</v>
      </c>
      <c r="AC447" s="56">
        <f t="shared" ref="AC447:AD447" ca="1" si="1585">AC446</f>
        <v>0</v>
      </c>
      <c r="AD447" s="56">
        <f t="shared" ca="1" si="1585"/>
        <v>0</v>
      </c>
      <c r="AE447" s="63">
        <f ca="1">IF($C447="あり",IF(AC447&gt;=1,G447/AQ447,0),IF(AC447&gt;=1,AO447*AC447,0))</f>
        <v>0</v>
      </c>
      <c r="AF447" s="63">
        <f t="shared" ca="1" si="1578"/>
        <v>0</v>
      </c>
      <c r="AG447" s="63">
        <f t="shared" ca="1" si="1579"/>
        <v>0</v>
      </c>
      <c r="AH447" s="63">
        <f t="shared" ca="1" si="1580"/>
        <v>0</v>
      </c>
      <c r="AI447" s="63">
        <f t="shared" ca="1" si="1581"/>
        <v>0</v>
      </c>
      <c r="AJ447" s="63">
        <f t="shared" ca="1" si="1582"/>
        <v>0</v>
      </c>
      <c r="AK447" s="63">
        <f t="shared" ca="1" si="1583"/>
        <v>0</v>
      </c>
      <c r="AL447" s="63">
        <f ca="1">IF($C447="あり",IF($AD447&gt;=7,N447/$AQ447,0),IF($AD447&gt;=7,$AO447*($AD447-6),0))</f>
        <v>0</v>
      </c>
      <c r="AM447" s="65">
        <f ca="1">IF(C447="あり",O447/AQ447,AP447)</f>
        <v>0</v>
      </c>
      <c r="AN447" s="63">
        <f ca="1">SUM(AE447:AM447)</f>
        <v>0</v>
      </c>
      <c r="AO447" s="68" t="e">
        <f ca="1">1/(AC447+AD447)</f>
        <v>#DIV/0!</v>
      </c>
      <c r="AP447" s="67">
        <v>0</v>
      </c>
      <c r="AQ447" s="68">
        <f ca="1">IF(AC447&gt;=1,G447,0)+SUMIF($H$4:$M$4,"&lt;="&amp;AD447,$H447:$M447)+IF(AD447&gt;=7,N447,0)+O447</f>
        <v>0</v>
      </c>
    </row>
    <row r="448" spans="1:43" x14ac:dyDescent="0.15">
      <c r="A448" s="50"/>
      <c r="B448" s="50"/>
      <c r="C448" s="145">
        <f ca="1">OFFSET(①簡易状況入力!$C$5,MATCH(A445,①簡易状況入力!$C$5:$C$104,0)-1,20)</f>
        <v>0</v>
      </c>
      <c r="D448" s="148" t="s">
        <v>51</v>
      </c>
      <c r="E448" s="56">
        <f t="shared" ref="E448:F448" ca="1" si="1586">E447</f>
        <v>0</v>
      </c>
      <c r="F448" s="56">
        <f t="shared" ca="1" si="1586"/>
        <v>0</v>
      </c>
      <c r="G448" s="104"/>
      <c r="H448" s="104"/>
      <c r="I448" s="104"/>
      <c r="J448" s="104"/>
      <c r="K448" s="104"/>
      <c r="L448" s="104"/>
      <c r="M448" s="104"/>
      <c r="N448" s="104"/>
      <c r="O448" s="106"/>
      <c r="Q448" s="50"/>
      <c r="R448" s="58"/>
      <c r="S448" s="166"/>
      <c r="T448" s="146" t="s">
        <v>34</v>
      </c>
      <c r="U448" s="35">
        <f ca="1">OFFSET(①簡易状況入力!$C$5,MATCH(A445,①簡易状況入力!$C$5:$C$104,0)-1,3)</f>
        <v>0</v>
      </c>
      <c r="V448" s="58"/>
      <c r="W448" s="146" t="s">
        <v>118</v>
      </c>
      <c r="X448" s="37">
        <f ca="1">OFFSET(①簡易状況入力!$C$5,MATCH(A445,①簡易状況入力!$C$5:$C$104,0)-1,7)</f>
        <v>0</v>
      </c>
      <c r="Y448" s="149">
        <f ca="1">OFFSET(①簡易状況入力!$C$5,MATCH(A445,①簡易状況入力!$C$5:$C$104,0)-1,13)</f>
        <v>0</v>
      </c>
      <c r="Z448" s="167">
        <f ca="1">OFFSET(①簡易状況入力!$C$5,MATCH(A445,①簡易状況入力!$C$5:$C$104,0)-1,14)</f>
        <v>0</v>
      </c>
      <c r="AA448" s="168"/>
      <c r="AB448" s="148" t="s">
        <v>51</v>
      </c>
      <c r="AC448" s="56">
        <f t="shared" ref="AC448:AD448" ca="1" si="1587">AC447</f>
        <v>0</v>
      </c>
      <c r="AD448" s="56">
        <f t="shared" ca="1" si="1587"/>
        <v>0</v>
      </c>
      <c r="AE448" s="63">
        <f ca="1">IF($C448="あり",IF(AC448&gt;=1,G448/AQ448,0),IF(AC448&gt;=1,AO448*AC448,0))</f>
        <v>0</v>
      </c>
      <c r="AF448" s="63">
        <f t="shared" ca="1" si="1578"/>
        <v>0</v>
      </c>
      <c r="AG448" s="63">
        <f t="shared" ca="1" si="1579"/>
        <v>0</v>
      </c>
      <c r="AH448" s="63">
        <f t="shared" ca="1" si="1580"/>
        <v>0</v>
      </c>
      <c r="AI448" s="63">
        <f t="shared" ca="1" si="1581"/>
        <v>0</v>
      </c>
      <c r="AJ448" s="63">
        <f t="shared" ca="1" si="1582"/>
        <v>0</v>
      </c>
      <c r="AK448" s="63">
        <f t="shared" ca="1" si="1583"/>
        <v>0</v>
      </c>
      <c r="AL448" s="63">
        <f ca="1">IF($C448="あり",IF($AD448&gt;=7,N448/$AQ448,0),IF($AD448&gt;=7,$AO448*($AD448-6),0))</f>
        <v>0</v>
      </c>
      <c r="AM448" s="65">
        <f ca="1">IF(C448="あり",O448/AQ448,AP448)</f>
        <v>0</v>
      </c>
      <c r="AN448" s="63">
        <f ca="1">SUM(AE448:AM448)</f>
        <v>0</v>
      </c>
      <c r="AO448" s="68" t="e">
        <f ca="1">1/(AC448+AD448)</f>
        <v>#DIV/0!</v>
      </c>
      <c r="AP448" s="67">
        <v>0</v>
      </c>
      <c r="AQ448" s="68">
        <f ca="1">IF(AC448&gt;=1,G448,0)+SUMIF($H$4:$M$4,"&lt;="&amp;AD448,$H448:$M448)+IF(AD448&gt;=7,N448,0)+O448</f>
        <v>0</v>
      </c>
    </row>
    <row r="449" spans="1:43" x14ac:dyDescent="0.15">
      <c r="G449" s="107"/>
      <c r="H449" s="107"/>
      <c r="I449" s="107"/>
      <c r="J449" s="107"/>
      <c r="K449" s="107"/>
      <c r="L449" s="107"/>
      <c r="M449" s="107"/>
      <c r="N449" s="107"/>
      <c r="O449" s="107"/>
    </row>
    <row r="450" spans="1:43" x14ac:dyDescent="0.15">
      <c r="A450" s="59" t="s">
        <v>405</v>
      </c>
      <c r="B450" s="60">
        <f ca="1">OFFSET(①簡易状況入力!$C$5,MATCH(A450,①簡易状況入力!$C$5:$C$104,0)-1,1)</f>
        <v>0</v>
      </c>
      <c r="C450" s="145">
        <f ca="1">OFFSET(①簡易状況入力!$C$5,MATCH(A450,①簡易状況入力!$C$5:$C$104,0)-1,17)</f>
        <v>0</v>
      </c>
      <c r="D450" s="148" t="s">
        <v>47</v>
      </c>
      <c r="E450" s="56">
        <f ca="1">U453</f>
        <v>0</v>
      </c>
      <c r="F450" s="56">
        <f ca="1">U452</f>
        <v>0</v>
      </c>
      <c r="G450" s="102"/>
      <c r="H450" s="103"/>
      <c r="I450" s="103"/>
      <c r="J450" s="103"/>
      <c r="K450" s="103"/>
      <c r="L450" s="103"/>
      <c r="M450" s="103"/>
      <c r="N450" s="103"/>
      <c r="O450" s="103"/>
      <c r="Q450" s="57">
        <f ca="1">OFFSET(①簡易状況入力!$C$5,MATCH(A450,①簡易状況入力!$C$5:$C$104,0)-1,15)</f>
        <v>0</v>
      </c>
      <c r="R450" s="58"/>
      <c r="S450" s="58"/>
      <c r="T450" s="58"/>
      <c r="U450" s="58"/>
      <c r="V450" s="58"/>
      <c r="W450" s="58"/>
      <c r="X450" s="58"/>
      <c r="Y450" s="58"/>
      <c r="Z450" s="58"/>
      <c r="AA450" s="58"/>
      <c r="AB450" s="148" t="s">
        <v>47</v>
      </c>
      <c r="AC450" s="56">
        <f ca="1">U453</f>
        <v>0</v>
      </c>
      <c r="AD450" s="56">
        <f ca="1">U452</f>
        <v>0</v>
      </c>
      <c r="AE450" s="62" t="s">
        <v>46</v>
      </c>
      <c r="AF450" s="62" t="str">
        <f t="shared" ref="AF450" ca="1" si="1588">IF($C450="あり",IF(AF$4&lt;=$AD450,H450,"-"),IF(AF$4&lt;=$AD450,$AO450,"-"))</f>
        <v>-</v>
      </c>
      <c r="AG450" s="62" t="str">
        <f t="shared" ref="AG450" ca="1" si="1589">IF($C450="あり",IF(AG$4&lt;=$AD450,I450,"-"),IF(AG$4&lt;=$AD450,$AO450,"-"))</f>
        <v>-</v>
      </c>
      <c r="AH450" s="62" t="str">
        <f t="shared" ref="AH450" ca="1" si="1590">IF($C450="あり",IF(AH$4&lt;=$AD450,J450,"-"),IF(AH$4&lt;=$AD450,$AO450,"-"))</f>
        <v>-</v>
      </c>
      <c r="AI450" s="62" t="str">
        <f t="shared" ref="AI450" ca="1" si="1591">IF($C450="あり",IF(AI$4&lt;=$AD450,K450,"-"),IF(AI$4&lt;=$AD450,$AO450,"-"))</f>
        <v>-</v>
      </c>
      <c r="AJ450" s="62" t="str">
        <f t="shared" ref="AJ450" ca="1" si="1592">IF($C450="あり",IF(AJ$4&lt;=$AD450,L450,"-"),IF(AJ$4&lt;=$AD450,$AO450,"-"))</f>
        <v>-</v>
      </c>
      <c r="AK450" s="62" t="str">
        <f t="shared" ref="AK450" ca="1" si="1593">IF($C450="あり",IF(AK$4&lt;=$AD450,M450,"-"),IF(AK$4&lt;=$AD450,$AO450,"-"))</f>
        <v>-</v>
      </c>
      <c r="AL450" s="62" t="str">
        <f ca="1">IF($C450="あり",IF(7&lt;=$AD450,N450,"-"),IF(7&lt;=$AD450,$AO450*($AD450-6),"-"))</f>
        <v>-</v>
      </c>
      <c r="AM450" s="62">
        <f ca="1">IF(C450="あり",O450,AP450)</f>
        <v>0</v>
      </c>
      <c r="AN450" s="62">
        <f ca="1">SUM(U451,AF450:AM450)</f>
        <v>0</v>
      </c>
      <c r="AO450" s="42">
        <f ca="1">OFFSET(【DB】被害率係数!$A$4,MATCH(②詳細状況入力!$Y451,【DB】被害率係数!$A$4:$A$19,0)-1,16)</f>
        <v>0</v>
      </c>
      <c r="AP450" s="42">
        <f ca="1">OFFSET(【DB】被害率係数!$A$4,MATCH(②詳細状況入力!$Y451,【DB】被害率係数!$A$4:$A$19,0)-1,17)</f>
        <v>0</v>
      </c>
      <c r="AQ450" s="42"/>
    </row>
    <row r="451" spans="1:43" x14ac:dyDescent="0.15">
      <c r="A451" s="50"/>
      <c r="B451" s="50"/>
      <c r="C451" s="145">
        <f ca="1">OFFSET(①簡易状況入力!$C$5,MATCH(A450,①簡易状況入力!$C$5:$C$104,0)-1,18)</f>
        <v>0</v>
      </c>
      <c r="D451" s="148" t="s">
        <v>52</v>
      </c>
      <c r="E451" s="56">
        <f t="shared" ref="E451:F451" ca="1" si="1594">E450</f>
        <v>0</v>
      </c>
      <c r="F451" s="56">
        <f t="shared" ca="1" si="1594"/>
        <v>0</v>
      </c>
      <c r="G451" s="104"/>
      <c r="H451" s="104"/>
      <c r="I451" s="104"/>
      <c r="J451" s="104"/>
      <c r="K451" s="104"/>
      <c r="L451" s="104"/>
      <c r="M451" s="104"/>
      <c r="N451" s="104"/>
      <c r="O451" s="105"/>
      <c r="Q451" s="57">
        <f ca="1">OFFSET(①簡易状況入力!$C$5,MATCH(A450,①簡易状況入力!$C$5:$C$104,0)-1,16)</f>
        <v>0</v>
      </c>
      <c r="R451" s="58"/>
      <c r="S451" s="146" t="s">
        <v>115</v>
      </c>
      <c r="T451" s="146" t="s">
        <v>116</v>
      </c>
      <c r="U451" s="36">
        <f ca="1">OFFSET(①簡易状況入力!$C$5,MATCH(A450,①簡易状況入力!$C$5:$C$104,0)-1,4)</f>
        <v>0</v>
      </c>
      <c r="V451" s="58"/>
      <c r="W451" s="146" t="s">
        <v>30</v>
      </c>
      <c r="X451" s="37">
        <f ca="1">OFFSET(①簡易状況入力!$C$5,MATCH(A450,①簡易状況入力!$C$5:$C$104,0)-1,5)</f>
        <v>0</v>
      </c>
      <c r="Y451" s="149">
        <f ca="1">OFFSET(①簡易状況入力!$C$5,MATCH(A450,①簡易状況入力!$C$5:$C$104,0)-1,8)</f>
        <v>0</v>
      </c>
      <c r="Z451" s="149">
        <f ca="1">OFFSET(①簡易状況入力!$C$5,MATCH(A450,①簡易状況入力!$C$5:$C$104,0)-1,9)</f>
        <v>0</v>
      </c>
      <c r="AA451" s="149">
        <f ca="1">OFFSET(①簡易状況入力!$C$5,MATCH(A450,①簡易状況入力!$C$5:$C$104,0)-1,10)</f>
        <v>0</v>
      </c>
      <c r="AB451" s="148" t="s">
        <v>52</v>
      </c>
      <c r="AC451" s="56">
        <f t="shared" ref="AC451:AD451" ca="1" si="1595">AC450</f>
        <v>0</v>
      </c>
      <c r="AD451" s="56">
        <f t="shared" ca="1" si="1595"/>
        <v>0</v>
      </c>
      <c r="AE451" s="63">
        <f ca="1">IF($C451="あり",IF(AC451&gt;=1,G451/AQ451,0),IF(AC451&gt;=1,AO451*AC451,0))</f>
        <v>0</v>
      </c>
      <c r="AF451" s="63">
        <f t="shared" ref="AF451:AF453" ca="1" si="1596">IF($C451="あり",IF($AD451&gt;=AF$4,H451/$AQ451,0),IF($AD451&gt;=AF$4,$AO451,0))</f>
        <v>0</v>
      </c>
      <c r="AG451" s="63">
        <f t="shared" ref="AG451:AG453" ca="1" si="1597">IF($C451="あり",IF($AD451&gt;=AG$4,I451/$AQ451,0),IF($AD451&gt;=AG$4,$AO451,0))</f>
        <v>0</v>
      </c>
      <c r="AH451" s="63">
        <f t="shared" ref="AH451:AH453" ca="1" si="1598">IF($C451="あり",IF($AD451&gt;=AH$4,J451/$AQ451,0),IF($AD451&gt;=AH$4,$AO451,0))</f>
        <v>0</v>
      </c>
      <c r="AI451" s="63">
        <f t="shared" ref="AI451:AI453" ca="1" si="1599">IF($C451="あり",IF($AD451&gt;=AI$4,K451/$AQ451,0),IF($AD451&gt;=AI$4,$AO451,0))</f>
        <v>0</v>
      </c>
      <c r="AJ451" s="63">
        <f t="shared" ref="AJ451:AJ453" ca="1" si="1600">IF($C451="あり",IF($AD451&gt;=AJ$4,L451/$AQ451,0),IF($AD451&gt;=AJ$4,$AO451,0))</f>
        <v>0</v>
      </c>
      <c r="AK451" s="63">
        <f t="shared" ref="AK451:AK453" ca="1" si="1601">IF($C451="あり",IF($AD451&gt;=AK$4,M451/$AQ451,0),IF($AD451&gt;=AK$4,$AO451,0))</f>
        <v>0</v>
      </c>
      <c r="AL451" s="63">
        <f ca="1">IF($C451="あり",IF($AD451&gt;=7,N451/$AQ451,0),IF($AD451&gt;=7,$AO451*($AD451-6),0))</f>
        <v>0</v>
      </c>
      <c r="AM451" s="64" t="s">
        <v>46</v>
      </c>
      <c r="AN451" s="63">
        <f ca="1">SUM(AE451:AM451)</f>
        <v>0</v>
      </c>
      <c r="AO451" s="68" t="e">
        <f ca="1">1/(AC451+AD451)</f>
        <v>#DIV/0!</v>
      </c>
      <c r="AP451" s="67">
        <v>0</v>
      </c>
      <c r="AQ451" s="68">
        <f ca="1">IF(AC451&gt;=1,G451,0)+SUMIF($H$4:$M$4,"&lt;="&amp;AD451,$H451:$M451)+IF(AD451&gt;=7,N451,0)</f>
        <v>0</v>
      </c>
    </row>
    <row r="452" spans="1:43" x14ac:dyDescent="0.15">
      <c r="A452" s="50"/>
      <c r="B452" s="50"/>
      <c r="C452" s="145">
        <f ca="1">OFFSET(①簡易状況入力!$C$5,MATCH(A450,①簡易状況入力!$C$5:$C$104,0)-1,19)</f>
        <v>0</v>
      </c>
      <c r="D452" s="148" t="s">
        <v>50</v>
      </c>
      <c r="E452" s="56">
        <f t="shared" ref="E452" ca="1" si="1602">E451</f>
        <v>0</v>
      </c>
      <c r="F452" s="56">
        <f ca="1">F451</f>
        <v>0</v>
      </c>
      <c r="G452" s="104"/>
      <c r="H452" s="104"/>
      <c r="I452" s="104"/>
      <c r="J452" s="104"/>
      <c r="K452" s="104"/>
      <c r="L452" s="104"/>
      <c r="M452" s="104"/>
      <c r="N452" s="104"/>
      <c r="O452" s="106"/>
      <c r="Q452" s="50"/>
      <c r="R452" s="58"/>
      <c r="S452" s="165" t="s">
        <v>28</v>
      </c>
      <c r="T452" s="146" t="s">
        <v>35</v>
      </c>
      <c r="U452" s="35">
        <f ca="1">OFFSET(①簡易状況入力!$C$5,MATCH(A450,①簡易状況入力!$C$5:$C$104,0)-1,2)</f>
        <v>0</v>
      </c>
      <c r="V452" s="58"/>
      <c r="W452" s="146" t="s">
        <v>33</v>
      </c>
      <c r="X452" s="37">
        <f ca="1">OFFSET(①簡易状況入力!$C$5,MATCH(A450,①簡易状況入力!$C$5:$C$104,0)-1,6)</f>
        <v>0</v>
      </c>
      <c r="Y452" s="149">
        <f ca="1">OFFSET(①簡易状況入力!$C$5,MATCH(A450,①簡易状況入力!$C$5:$C$104,0)-1,11)</f>
        <v>0</v>
      </c>
      <c r="Z452" s="167">
        <f ca="1">OFFSET(①簡易状況入力!$C$5,MATCH(A450,①簡易状況入力!$C$5:$C$104,0)-1,12)</f>
        <v>0</v>
      </c>
      <c r="AA452" s="168"/>
      <c r="AB452" s="148" t="s">
        <v>50</v>
      </c>
      <c r="AC452" s="56">
        <f t="shared" ref="AC452:AD452" ca="1" si="1603">AC451</f>
        <v>0</v>
      </c>
      <c r="AD452" s="56">
        <f t="shared" ca="1" si="1603"/>
        <v>0</v>
      </c>
      <c r="AE452" s="63">
        <f ca="1">IF($C452="あり",IF(AC452&gt;=1,G452/AQ452,0),IF(AC452&gt;=1,AO452*AC452,0))</f>
        <v>0</v>
      </c>
      <c r="AF452" s="63">
        <f t="shared" ca="1" si="1596"/>
        <v>0</v>
      </c>
      <c r="AG452" s="63">
        <f t="shared" ca="1" si="1597"/>
        <v>0</v>
      </c>
      <c r="AH452" s="63">
        <f t="shared" ca="1" si="1598"/>
        <v>0</v>
      </c>
      <c r="AI452" s="63">
        <f t="shared" ca="1" si="1599"/>
        <v>0</v>
      </c>
      <c r="AJ452" s="63">
        <f t="shared" ca="1" si="1600"/>
        <v>0</v>
      </c>
      <c r="AK452" s="63">
        <f t="shared" ca="1" si="1601"/>
        <v>0</v>
      </c>
      <c r="AL452" s="63">
        <f ca="1">IF($C452="あり",IF($AD452&gt;=7,N452/$AQ452,0),IF($AD452&gt;=7,$AO452*($AD452-6),0))</f>
        <v>0</v>
      </c>
      <c r="AM452" s="65">
        <f ca="1">IF(C452="あり",O452/AQ452,AP452)</f>
        <v>0</v>
      </c>
      <c r="AN452" s="63">
        <f ca="1">SUM(AE452:AM452)</f>
        <v>0</v>
      </c>
      <c r="AO452" s="68" t="e">
        <f ca="1">1/(AC452+AD452)</f>
        <v>#DIV/0!</v>
      </c>
      <c r="AP452" s="67">
        <v>0</v>
      </c>
      <c r="AQ452" s="68">
        <f ca="1">IF(AC452&gt;=1,G452,0)+SUMIF($H$4:$M$4,"&lt;="&amp;AD452,$H452:$M452)+IF(AD452&gt;=7,N452,0)+O452</f>
        <v>0</v>
      </c>
    </row>
    <row r="453" spans="1:43" x14ac:dyDescent="0.15">
      <c r="A453" s="50"/>
      <c r="B453" s="50"/>
      <c r="C453" s="145">
        <f ca="1">OFFSET(①簡易状況入力!$C$5,MATCH(A450,①簡易状況入力!$C$5:$C$104,0)-1,20)</f>
        <v>0</v>
      </c>
      <c r="D453" s="148" t="s">
        <v>51</v>
      </c>
      <c r="E453" s="56">
        <f t="shared" ref="E453:F453" ca="1" si="1604">E452</f>
        <v>0</v>
      </c>
      <c r="F453" s="56">
        <f t="shared" ca="1" si="1604"/>
        <v>0</v>
      </c>
      <c r="G453" s="104"/>
      <c r="H453" s="104"/>
      <c r="I453" s="104"/>
      <c r="J453" s="104"/>
      <c r="K453" s="104"/>
      <c r="L453" s="104"/>
      <c r="M453" s="104"/>
      <c r="N453" s="104"/>
      <c r="O453" s="106"/>
      <c r="Q453" s="50"/>
      <c r="R453" s="58"/>
      <c r="S453" s="166"/>
      <c r="T453" s="146" t="s">
        <v>34</v>
      </c>
      <c r="U453" s="35">
        <f ca="1">OFFSET(①簡易状況入力!$C$5,MATCH(A450,①簡易状況入力!$C$5:$C$104,0)-1,3)</f>
        <v>0</v>
      </c>
      <c r="V453" s="58"/>
      <c r="W453" s="146" t="s">
        <v>118</v>
      </c>
      <c r="X453" s="37">
        <f ca="1">OFFSET(①簡易状況入力!$C$5,MATCH(A450,①簡易状況入力!$C$5:$C$104,0)-1,7)</f>
        <v>0</v>
      </c>
      <c r="Y453" s="149">
        <f ca="1">OFFSET(①簡易状況入力!$C$5,MATCH(A450,①簡易状況入力!$C$5:$C$104,0)-1,13)</f>
        <v>0</v>
      </c>
      <c r="Z453" s="167">
        <f ca="1">OFFSET(①簡易状況入力!$C$5,MATCH(A450,①簡易状況入力!$C$5:$C$104,0)-1,14)</f>
        <v>0</v>
      </c>
      <c r="AA453" s="168"/>
      <c r="AB453" s="148" t="s">
        <v>51</v>
      </c>
      <c r="AC453" s="56">
        <f t="shared" ref="AC453:AD453" ca="1" si="1605">AC452</f>
        <v>0</v>
      </c>
      <c r="AD453" s="56">
        <f t="shared" ca="1" si="1605"/>
        <v>0</v>
      </c>
      <c r="AE453" s="63">
        <f ca="1">IF($C453="あり",IF(AC453&gt;=1,G453/AQ453,0),IF(AC453&gt;=1,AO453*AC453,0))</f>
        <v>0</v>
      </c>
      <c r="AF453" s="63">
        <f t="shared" ca="1" si="1596"/>
        <v>0</v>
      </c>
      <c r="AG453" s="63">
        <f t="shared" ca="1" si="1597"/>
        <v>0</v>
      </c>
      <c r="AH453" s="63">
        <f t="shared" ca="1" si="1598"/>
        <v>0</v>
      </c>
      <c r="AI453" s="63">
        <f t="shared" ca="1" si="1599"/>
        <v>0</v>
      </c>
      <c r="AJ453" s="63">
        <f t="shared" ca="1" si="1600"/>
        <v>0</v>
      </c>
      <c r="AK453" s="63">
        <f t="shared" ca="1" si="1601"/>
        <v>0</v>
      </c>
      <c r="AL453" s="63">
        <f ca="1">IF($C453="あり",IF($AD453&gt;=7,N453/$AQ453,0),IF($AD453&gt;=7,$AO453*($AD453-6),0))</f>
        <v>0</v>
      </c>
      <c r="AM453" s="65">
        <f ca="1">IF(C453="あり",O453/AQ453,AP453)</f>
        <v>0</v>
      </c>
      <c r="AN453" s="63">
        <f ca="1">SUM(AE453:AM453)</f>
        <v>0</v>
      </c>
      <c r="AO453" s="68" t="e">
        <f ca="1">1/(AC453+AD453)</f>
        <v>#DIV/0!</v>
      </c>
      <c r="AP453" s="67">
        <v>0</v>
      </c>
      <c r="AQ453" s="68">
        <f ca="1">IF(AC453&gt;=1,G453,0)+SUMIF($H$4:$M$4,"&lt;="&amp;AD453,$H453:$M453)+IF(AD453&gt;=7,N453,0)+O453</f>
        <v>0</v>
      </c>
    </row>
    <row r="454" spans="1:43" x14ac:dyDescent="0.15">
      <c r="G454" s="107"/>
      <c r="H454" s="107"/>
      <c r="I454" s="107"/>
      <c r="J454" s="107"/>
      <c r="K454" s="107"/>
      <c r="L454" s="107"/>
      <c r="M454" s="107"/>
      <c r="N454" s="107"/>
      <c r="O454" s="107"/>
    </row>
    <row r="455" spans="1:43" x14ac:dyDescent="0.15">
      <c r="A455" s="59" t="s">
        <v>406</v>
      </c>
      <c r="B455" s="60">
        <f ca="1">OFFSET(①簡易状況入力!$C$5,MATCH(A455,①簡易状況入力!$C$5:$C$104,0)-1,1)</f>
        <v>0</v>
      </c>
      <c r="C455" s="145">
        <f ca="1">OFFSET(①簡易状況入力!$C$5,MATCH(A455,①簡易状況入力!$C$5:$C$104,0)-1,17)</f>
        <v>0</v>
      </c>
      <c r="D455" s="148" t="s">
        <v>47</v>
      </c>
      <c r="E455" s="56">
        <f ca="1">U458</f>
        <v>0</v>
      </c>
      <c r="F455" s="56">
        <f ca="1">U457</f>
        <v>0</v>
      </c>
      <c r="G455" s="102"/>
      <c r="H455" s="103"/>
      <c r="I455" s="103"/>
      <c r="J455" s="103"/>
      <c r="K455" s="103"/>
      <c r="L455" s="103"/>
      <c r="M455" s="103"/>
      <c r="N455" s="103"/>
      <c r="O455" s="103"/>
      <c r="Q455" s="57">
        <f ca="1">OFFSET(①簡易状況入力!$C$5,MATCH(A455,①簡易状況入力!$C$5:$C$104,0)-1,15)</f>
        <v>0</v>
      </c>
      <c r="R455" s="58"/>
      <c r="S455" s="58"/>
      <c r="T455" s="58"/>
      <c r="U455" s="58"/>
      <c r="V455" s="58"/>
      <c r="W455" s="58"/>
      <c r="X455" s="58"/>
      <c r="Y455" s="58"/>
      <c r="Z455" s="58"/>
      <c r="AA455" s="58"/>
      <c r="AB455" s="148" t="s">
        <v>47</v>
      </c>
      <c r="AC455" s="56">
        <f ca="1">U458</f>
        <v>0</v>
      </c>
      <c r="AD455" s="56">
        <f ca="1">U457</f>
        <v>0</v>
      </c>
      <c r="AE455" s="62" t="s">
        <v>46</v>
      </c>
      <c r="AF455" s="62" t="str">
        <f t="shared" ref="AF455" ca="1" si="1606">IF($C455="あり",IF(AF$4&lt;=$AD455,H455,"-"),IF(AF$4&lt;=$AD455,$AO455,"-"))</f>
        <v>-</v>
      </c>
      <c r="AG455" s="62" t="str">
        <f t="shared" ref="AG455" ca="1" si="1607">IF($C455="あり",IF(AG$4&lt;=$AD455,I455,"-"),IF(AG$4&lt;=$AD455,$AO455,"-"))</f>
        <v>-</v>
      </c>
      <c r="AH455" s="62" t="str">
        <f t="shared" ref="AH455" ca="1" si="1608">IF($C455="あり",IF(AH$4&lt;=$AD455,J455,"-"),IF(AH$4&lt;=$AD455,$AO455,"-"))</f>
        <v>-</v>
      </c>
      <c r="AI455" s="62" t="str">
        <f t="shared" ref="AI455" ca="1" si="1609">IF($C455="あり",IF(AI$4&lt;=$AD455,K455,"-"),IF(AI$4&lt;=$AD455,$AO455,"-"))</f>
        <v>-</v>
      </c>
      <c r="AJ455" s="62" t="str">
        <f t="shared" ref="AJ455" ca="1" si="1610">IF($C455="あり",IF(AJ$4&lt;=$AD455,L455,"-"),IF(AJ$4&lt;=$AD455,$AO455,"-"))</f>
        <v>-</v>
      </c>
      <c r="AK455" s="62" t="str">
        <f t="shared" ref="AK455" ca="1" si="1611">IF($C455="あり",IF(AK$4&lt;=$AD455,M455,"-"),IF(AK$4&lt;=$AD455,$AO455,"-"))</f>
        <v>-</v>
      </c>
      <c r="AL455" s="62" t="str">
        <f ca="1">IF($C455="あり",IF(7&lt;=$AD455,N455,"-"),IF(7&lt;=$AD455,$AO455*($AD455-6),"-"))</f>
        <v>-</v>
      </c>
      <c r="AM455" s="62">
        <f ca="1">IF(C455="あり",O455,AP455)</f>
        <v>0</v>
      </c>
      <c r="AN455" s="62">
        <f ca="1">SUM(U456,AF455:AM455)</f>
        <v>0</v>
      </c>
      <c r="AO455" s="42">
        <f ca="1">OFFSET(【DB】被害率係数!$A$4,MATCH(②詳細状況入力!$Y456,【DB】被害率係数!$A$4:$A$19,0)-1,16)</f>
        <v>0</v>
      </c>
      <c r="AP455" s="42">
        <f ca="1">OFFSET(【DB】被害率係数!$A$4,MATCH(②詳細状況入力!$Y456,【DB】被害率係数!$A$4:$A$19,0)-1,17)</f>
        <v>0</v>
      </c>
      <c r="AQ455" s="42"/>
    </row>
    <row r="456" spans="1:43" x14ac:dyDescent="0.15">
      <c r="A456" s="50"/>
      <c r="B456" s="50"/>
      <c r="C456" s="145">
        <f ca="1">OFFSET(①簡易状況入力!$C$5,MATCH(A455,①簡易状況入力!$C$5:$C$104,0)-1,18)</f>
        <v>0</v>
      </c>
      <c r="D456" s="148" t="s">
        <v>52</v>
      </c>
      <c r="E456" s="56">
        <f t="shared" ref="E456:F456" ca="1" si="1612">E455</f>
        <v>0</v>
      </c>
      <c r="F456" s="56">
        <f t="shared" ca="1" si="1612"/>
        <v>0</v>
      </c>
      <c r="G456" s="104"/>
      <c r="H456" s="104"/>
      <c r="I456" s="104"/>
      <c r="J456" s="104"/>
      <c r="K456" s="104"/>
      <c r="L456" s="104"/>
      <c r="M456" s="104"/>
      <c r="N456" s="104"/>
      <c r="O456" s="105"/>
      <c r="Q456" s="57">
        <f ca="1">OFFSET(①簡易状況入力!$C$5,MATCH(A455,①簡易状況入力!$C$5:$C$104,0)-1,16)</f>
        <v>0</v>
      </c>
      <c r="R456" s="58"/>
      <c r="S456" s="146" t="s">
        <v>115</v>
      </c>
      <c r="T456" s="146" t="s">
        <v>116</v>
      </c>
      <c r="U456" s="36">
        <f ca="1">OFFSET(①簡易状況入力!$C$5,MATCH(A455,①簡易状況入力!$C$5:$C$104,0)-1,4)</f>
        <v>0</v>
      </c>
      <c r="V456" s="58"/>
      <c r="W456" s="146" t="s">
        <v>30</v>
      </c>
      <c r="X456" s="37">
        <f ca="1">OFFSET(①簡易状況入力!$C$5,MATCH(A455,①簡易状況入力!$C$5:$C$104,0)-1,5)</f>
        <v>0</v>
      </c>
      <c r="Y456" s="149">
        <f ca="1">OFFSET(①簡易状況入力!$C$5,MATCH(A455,①簡易状況入力!$C$5:$C$104,0)-1,8)</f>
        <v>0</v>
      </c>
      <c r="Z456" s="149">
        <f ca="1">OFFSET(①簡易状況入力!$C$5,MATCH(A455,①簡易状況入力!$C$5:$C$104,0)-1,9)</f>
        <v>0</v>
      </c>
      <c r="AA456" s="149">
        <f ca="1">OFFSET(①簡易状況入力!$C$5,MATCH(A455,①簡易状況入力!$C$5:$C$104,0)-1,10)</f>
        <v>0</v>
      </c>
      <c r="AB456" s="148" t="s">
        <v>52</v>
      </c>
      <c r="AC456" s="56">
        <f t="shared" ref="AC456:AD456" ca="1" si="1613">AC455</f>
        <v>0</v>
      </c>
      <c r="AD456" s="56">
        <f t="shared" ca="1" si="1613"/>
        <v>0</v>
      </c>
      <c r="AE456" s="63">
        <f ca="1">IF($C456="あり",IF(AC456&gt;=1,G456/AQ456,0),IF(AC456&gt;=1,AO456*AC456,0))</f>
        <v>0</v>
      </c>
      <c r="AF456" s="63">
        <f t="shared" ref="AF456:AF458" ca="1" si="1614">IF($C456="あり",IF($AD456&gt;=AF$4,H456/$AQ456,0),IF($AD456&gt;=AF$4,$AO456,0))</f>
        <v>0</v>
      </c>
      <c r="AG456" s="63">
        <f t="shared" ref="AG456:AG458" ca="1" si="1615">IF($C456="あり",IF($AD456&gt;=AG$4,I456/$AQ456,0),IF($AD456&gt;=AG$4,$AO456,0))</f>
        <v>0</v>
      </c>
      <c r="AH456" s="63">
        <f t="shared" ref="AH456:AH458" ca="1" si="1616">IF($C456="あり",IF($AD456&gt;=AH$4,J456/$AQ456,0),IF($AD456&gt;=AH$4,$AO456,0))</f>
        <v>0</v>
      </c>
      <c r="AI456" s="63">
        <f t="shared" ref="AI456:AI458" ca="1" si="1617">IF($C456="あり",IF($AD456&gt;=AI$4,K456/$AQ456,0),IF($AD456&gt;=AI$4,$AO456,0))</f>
        <v>0</v>
      </c>
      <c r="AJ456" s="63">
        <f t="shared" ref="AJ456:AJ458" ca="1" si="1618">IF($C456="あり",IF($AD456&gt;=AJ$4,L456/$AQ456,0),IF($AD456&gt;=AJ$4,$AO456,0))</f>
        <v>0</v>
      </c>
      <c r="AK456" s="63">
        <f t="shared" ref="AK456:AK458" ca="1" si="1619">IF($C456="あり",IF($AD456&gt;=AK$4,M456/$AQ456,0),IF($AD456&gt;=AK$4,$AO456,0))</f>
        <v>0</v>
      </c>
      <c r="AL456" s="63">
        <f ca="1">IF($C456="あり",IF($AD456&gt;=7,N456/$AQ456,0),IF($AD456&gt;=7,$AO456*($AD456-6),0))</f>
        <v>0</v>
      </c>
      <c r="AM456" s="64" t="s">
        <v>46</v>
      </c>
      <c r="AN456" s="63">
        <f ca="1">SUM(AE456:AM456)</f>
        <v>0</v>
      </c>
      <c r="AO456" s="68" t="e">
        <f ca="1">1/(AC456+AD456)</f>
        <v>#DIV/0!</v>
      </c>
      <c r="AP456" s="67">
        <v>0</v>
      </c>
      <c r="AQ456" s="68">
        <f ca="1">IF(AC456&gt;=1,G456,0)+SUMIF($H$4:$M$4,"&lt;="&amp;AD456,$H456:$M456)+IF(AD456&gt;=7,N456,0)</f>
        <v>0</v>
      </c>
    </row>
    <row r="457" spans="1:43" x14ac:dyDescent="0.15">
      <c r="A457" s="50"/>
      <c r="B457" s="50"/>
      <c r="C457" s="145">
        <f ca="1">OFFSET(①簡易状況入力!$C$5,MATCH(A455,①簡易状況入力!$C$5:$C$104,0)-1,19)</f>
        <v>0</v>
      </c>
      <c r="D457" s="148" t="s">
        <v>50</v>
      </c>
      <c r="E457" s="56">
        <f t="shared" ref="E457" ca="1" si="1620">E456</f>
        <v>0</v>
      </c>
      <c r="F457" s="56">
        <f ca="1">F456</f>
        <v>0</v>
      </c>
      <c r="G457" s="104"/>
      <c r="H457" s="104"/>
      <c r="I457" s="104"/>
      <c r="J457" s="104"/>
      <c r="K457" s="104"/>
      <c r="L457" s="104"/>
      <c r="M457" s="104"/>
      <c r="N457" s="104"/>
      <c r="O457" s="106"/>
      <c r="Q457" s="50"/>
      <c r="R457" s="58"/>
      <c r="S457" s="165" t="s">
        <v>28</v>
      </c>
      <c r="T457" s="146" t="s">
        <v>35</v>
      </c>
      <c r="U457" s="35">
        <f ca="1">OFFSET(①簡易状況入力!$C$5,MATCH(A455,①簡易状況入力!$C$5:$C$104,0)-1,2)</f>
        <v>0</v>
      </c>
      <c r="V457" s="58"/>
      <c r="W457" s="146" t="s">
        <v>33</v>
      </c>
      <c r="X457" s="37">
        <f ca="1">OFFSET(①簡易状況入力!$C$5,MATCH(A455,①簡易状況入力!$C$5:$C$104,0)-1,6)</f>
        <v>0</v>
      </c>
      <c r="Y457" s="149">
        <f ca="1">OFFSET(①簡易状況入力!$C$5,MATCH(A455,①簡易状況入力!$C$5:$C$104,0)-1,11)</f>
        <v>0</v>
      </c>
      <c r="Z457" s="167">
        <f ca="1">OFFSET(①簡易状況入力!$C$5,MATCH(A455,①簡易状況入力!$C$5:$C$104,0)-1,12)</f>
        <v>0</v>
      </c>
      <c r="AA457" s="168"/>
      <c r="AB457" s="148" t="s">
        <v>50</v>
      </c>
      <c r="AC457" s="56">
        <f t="shared" ref="AC457:AD457" ca="1" si="1621">AC456</f>
        <v>0</v>
      </c>
      <c r="AD457" s="56">
        <f t="shared" ca="1" si="1621"/>
        <v>0</v>
      </c>
      <c r="AE457" s="63">
        <f ca="1">IF($C457="あり",IF(AC457&gt;=1,G457/AQ457,0),IF(AC457&gt;=1,AO457*AC457,0))</f>
        <v>0</v>
      </c>
      <c r="AF457" s="63">
        <f t="shared" ca="1" si="1614"/>
        <v>0</v>
      </c>
      <c r="AG457" s="63">
        <f t="shared" ca="1" si="1615"/>
        <v>0</v>
      </c>
      <c r="AH457" s="63">
        <f t="shared" ca="1" si="1616"/>
        <v>0</v>
      </c>
      <c r="AI457" s="63">
        <f t="shared" ca="1" si="1617"/>
        <v>0</v>
      </c>
      <c r="AJ457" s="63">
        <f t="shared" ca="1" si="1618"/>
        <v>0</v>
      </c>
      <c r="AK457" s="63">
        <f t="shared" ca="1" si="1619"/>
        <v>0</v>
      </c>
      <c r="AL457" s="63">
        <f ca="1">IF($C457="あり",IF($AD457&gt;=7,N457/$AQ457,0),IF($AD457&gt;=7,$AO457*($AD457-6),0))</f>
        <v>0</v>
      </c>
      <c r="AM457" s="65">
        <f ca="1">IF(C457="あり",O457/AQ457,AP457)</f>
        <v>0</v>
      </c>
      <c r="AN457" s="63">
        <f ca="1">SUM(AE457:AM457)</f>
        <v>0</v>
      </c>
      <c r="AO457" s="68" t="e">
        <f ca="1">1/(AC457+AD457)</f>
        <v>#DIV/0!</v>
      </c>
      <c r="AP457" s="67">
        <v>0</v>
      </c>
      <c r="AQ457" s="68">
        <f ca="1">IF(AC457&gt;=1,G457,0)+SUMIF($H$4:$M$4,"&lt;="&amp;AD457,$H457:$M457)+IF(AD457&gt;=7,N457,0)+O457</f>
        <v>0</v>
      </c>
    </row>
    <row r="458" spans="1:43" x14ac:dyDescent="0.15">
      <c r="A458" s="50"/>
      <c r="B458" s="50"/>
      <c r="C458" s="145">
        <f ca="1">OFFSET(①簡易状況入力!$C$5,MATCH(A455,①簡易状況入力!$C$5:$C$104,0)-1,20)</f>
        <v>0</v>
      </c>
      <c r="D458" s="148" t="s">
        <v>51</v>
      </c>
      <c r="E458" s="56">
        <f t="shared" ref="E458:F458" ca="1" si="1622">E457</f>
        <v>0</v>
      </c>
      <c r="F458" s="56">
        <f t="shared" ca="1" si="1622"/>
        <v>0</v>
      </c>
      <c r="G458" s="104"/>
      <c r="H458" s="104"/>
      <c r="I458" s="104"/>
      <c r="J458" s="104"/>
      <c r="K458" s="104"/>
      <c r="L458" s="104"/>
      <c r="M458" s="104"/>
      <c r="N458" s="104"/>
      <c r="O458" s="106"/>
      <c r="Q458" s="50"/>
      <c r="R458" s="58"/>
      <c r="S458" s="166"/>
      <c r="T458" s="146" t="s">
        <v>34</v>
      </c>
      <c r="U458" s="35">
        <f ca="1">OFFSET(①簡易状況入力!$C$5,MATCH(A455,①簡易状況入力!$C$5:$C$104,0)-1,3)</f>
        <v>0</v>
      </c>
      <c r="V458" s="58"/>
      <c r="W458" s="146" t="s">
        <v>118</v>
      </c>
      <c r="X458" s="37">
        <f ca="1">OFFSET(①簡易状況入力!$C$5,MATCH(A455,①簡易状況入力!$C$5:$C$104,0)-1,7)</f>
        <v>0</v>
      </c>
      <c r="Y458" s="149">
        <f ca="1">OFFSET(①簡易状況入力!$C$5,MATCH(A455,①簡易状況入力!$C$5:$C$104,0)-1,13)</f>
        <v>0</v>
      </c>
      <c r="Z458" s="167">
        <f ca="1">OFFSET(①簡易状況入力!$C$5,MATCH(A455,①簡易状況入力!$C$5:$C$104,0)-1,14)</f>
        <v>0</v>
      </c>
      <c r="AA458" s="168"/>
      <c r="AB458" s="148" t="s">
        <v>51</v>
      </c>
      <c r="AC458" s="56">
        <f t="shared" ref="AC458:AD458" ca="1" si="1623">AC457</f>
        <v>0</v>
      </c>
      <c r="AD458" s="56">
        <f t="shared" ca="1" si="1623"/>
        <v>0</v>
      </c>
      <c r="AE458" s="63">
        <f ca="1">IF($C458="あり",IF(AC458&gt;=1,G458/AQ458,0),IF(AC458&gt;=1,AO458*AC458,0))</f>
        <v>0</v>
      </c>
      <c r="AF458" s="63">
        <f t="shared" ca="1" si="1614"/>
        <v>0</v>
      </c>
      <c r="AG458" s="63">
        <f t="shared" ca="1" si="1615"/>
        <v>0</v>
      </c>
      <c r="AH458" s="63">
        <f t="shared" ca="1" si="1616"/>
        <v>0</v>
      </c>
      <c r="AI458" s="63">
        <f t="shared" ca="1" si="1617"/>
        <v>0</v>
      </c>
      <c r="AJ458" s="63">
        <f t="shared" ca="1" si="1618"/>
        <v>0</v>
      </c>
      <c r="AK458" s="63">
        <f t="shared" ca="1" si="1619"/>
        <v>0</v>
      </c>
      <c r="AL458" s="63">
        <f ca="1">IF($C458="あり",IF($AD458&gt;=7,N458/$AQ458,0),IF($AD458&gt;=7,$AO458*($AD458-6),0))</f>
        <v>0</v>
      </c>
      <c r="AM458" s="65">
        <f ca="1">IF(C458="あり",O458/AQ458,AP458)</f>
        <v>0</v>
      </c>
      <c r="AN458" s="63">
        <f ca="1">SUM(AE458:AM458)</f>
        <v>0</v>
      </c>
      <c r="AO458" s="68" t="e">
        <f ca="1">1/(AC458+AD458)</f>
        <v>#DIV/0!</v>
      </c>
      <c r="AP458" s="67">
        <v>0</v>
      </c>
      <c r="AQ458" s="68">
        <f ca="1">IF(AC458&gt;=1,G458,0)+SUMIF($H$4:$M$4,"&lt;="&amp;AD458,$H458:$M458)+IF(AD458&gt;=7,N458,0)+O458</f>
        <v>0</v>
      </c>
    </row>
    <row r="459" spans="1:43" x14ac:dyDescent="0.15">
      <c r="G459" s="107"/>
      <c r="H459" s="107"/>
      <c r="I459" s="107"/>
      <c r="J459" s="107"/>
      <c r="K459" s="107"/>
      <c r="L459" s="107"/>
      <c r="M459" s="107"/>
      <c r="N459" s="107"/>
      <c r="O459" s="107"/>
    </row>
    <row r="460" spans="1:43" x14ac:dyDescent="0.15">
      <c r="A460" s="59" t="s">
        <v>407</v>
      </c>
      <c r="B460" s="60">
        <f ca="1">OFFSET(①簡易状況入力!$C$5,MATCH(A460,①簡易状況入力!$C$5:$C$104,0)-1,1)</f>
        <v>0</v>
      </c>
      <c r="C460" s="145">
        <f ca="1">OFFSET(①簡易状況入力!$C$5,MATCH(A460,①簡易状況入力!$C$5:$C$104,0)-1,17)</f>
        <v>0</v>
      </c>
      <c r="D460" s="148" t="s">
        <v>47</v>
      </c>
      <c r="E460" s="56">
        <f ca="1">U463</f>
        <v>0</v>
      </c>
      <c r="F460" s="56">
        <f ca="1">U462</f>
        <v>0</v>
      </c>
      <c r="G460" s="102"/>
      <c r="H460" s="103"/>
      <c r="I460" s="103"/>
      <c r="J460" s="103"/>
      <c r="K460" s="103"/>
      <c r="L460" s="103"/>
      <c r="M460" s="103"/>
      <c r="N460" s="103"/>
      <c r="O460" s="103"/>
      <c r="Q460" s="57">
        <f ca="1">OFFSET(①簡易状況入力!$C$5,MATCH(A460,①簡易状況入力!$C$5:$C$104,0)-1,15)</f>
        <v>0</v>
      </c>
      <c r="R460" s="58"/>
      <c r="S460" s="58"/>
      <c r="T460" s="58"/>
      <c r="U460" s="58"/>
      <c r="V460" s="58"/>
      <c r="W460" s="58"/>
      <c r="X460" s="58"/>
      <c r="Y460" s="58"/>
      <c r="Z460" s="58"/>
      <c r="AA460" s="58"/>
      <c r="AB460" s="148" t="s">
        <v>47</v>
      </c>
      <c r="AC460" s="56">
        <f ca="1">U463</f>
        <v>0</v>
      </c>
      <c r="AD460" s="56">
        <f ca="1">U462</f>
        <v>0</v>
      </c>
      <c r="AE460" s="62" t="s">
        <v>46</v>
      </c>
      <c r="AF460" s="62" t="str">
        <f t="shared" ref="AF460" ca="1" si="1624">IF($C460="あり",IF(AF$4&lt;=$AD460,H460,"-"),IF(AF$4&lt;=$AD460,$AO460,"-"))</f>
        <v>-</v>
      </c>
      <c r="AG460" s="62" t="str">
        <f t="shared" ref="AG460" ca="1" si="1625">IF($C460="あり",IF(AG$4&lt;=$AD460,I460,"-"),IF(AG$4&lt;=$AD460,$AO460,"-"))</f>
        <v>-</v>
      </c>
      <c r="AH460" s="62" t="str">
        <f t="shared" ref="AH460" ca="1" si="1626">IF($C460="あり",IF(AH$4&lt;=$AD460,J460,"-"),IF(AH$4&lt;=$AD460,$AO460,"-"))</f>
        <v>-</v>
      </c>
      <c r="AI460" s="62" t="str">
        <f t="shared" ref="AI460" ca="1" si="1627">IF($C460="あり",IF(AI$4&lt;=$AD460,K460,"-"),IF(AI$4&lt;=$AD460,$AO460,"-"))</f>
        <v>-</v>
      </c>
      <c r="AJ460" s="62" t="str">
        <f t="shared" ref="AJ460" ca="1" si="1628">IF($C460="あり",IF(AJ$4&lt;=$AD460,L460,"-"),IF(AJ$4&lt;=$AD460,$AO460,"-"))</f>
        <v>-</v>
      </c>
      <c r="AK460" s="62" t="str">
        <f t="shared" ref="AK460" ca="1" si="1629">IF($C460="あり",IF(AK$4&lt;=$AD460,M460,"-"),IF(AK$4&lt;=$AD460,$AO460,"-"))</f>
        <v>-</v>
      </c>
      <c r="AL460" s="62" t="str">
        <f ca="1">IF($C460="あり",IF(7&lt;=$AD460,N460,"-"),IF(7&lt;=$AD460,$AO460*($AD460-6),"-"))</f>
        <v>-</v>
      </c>
      <c r="AM460" s="62">
        <f ca="1">IF(C460="あり",O460,AP460)</f>
        <v>0</v>
      </c>
      <c r="AN460" s="62">
        <f ca="1">SUM(U461,AF460:AM460)</f>
        <v>0</v>
      </c>
      <c r="AO460" s="42">
        <f ca="1">OFFSET(【DB】被害率係数!$A$4,MATCH(②詳細状況入力!$Y461,【DB】被害率係数!$A$4:$A$19,0)-1,16)</f>
        <v>0</v>
      </c>
      <c r="AP460" s="42">
        <f ca="1">OFFSET(【DB】被害率係数!$A$4,MATCH(②詳細状況入力!$Y461,【DB】被害率係数!$A$4:$A$19,0)-1,17)</f>
        <v>0</v>
      </c>
      <c r="AQ460" s="42"/>
    </row>
    <row r="461" spans="1:43" x14ac:dyDescent="0.15">
      <c r="A461" s="50"/>
      <c r="B461" s="50"/>
      <c r="C461" s="145">
        <f ca="1">OFFSET(①簡易状況入力!$C$5,MATCH(A460,①簡易状況入力!$C$5:$C$104,0)-1,18)</f>
        <v>0</v>
      </c>
      <c r="D461" s="148" t="s">
        <v>52</v>
      </c>
      <c r="E461" s="56">
        <f t="shared" ref="E461:F461" ca="1" si="1630">E460</f>
        <v>0</v>
      </c>
      <c r="F461" s="56">
        <f t="shared" ca="1" si="1630"/>
        <v>0</v>
      </c>
      <c r="G461" s="104"/>
      <c r="H461" s="104"/>
      <c r="I461" s="104"/>
      <c r="J461" s="104"/>
      <c r="K461" s="104"/>
      <c r="L461" s="104"/>
      <c r="M461" s="104"/>
      <c r="N461" s="104"/>
      <c r="O461" s="105"/>
      <c r="Q461" s="57">
        <f ca="1">OFFSET(①簡易状況入力!$C$5,MATCH(A460,①簡易状況入力!$C$5:$C$104,0)-1,16)</f>
        <v>0</v>
      </c>
      <c r="R461" s="58"/>
      <c r="S461" s="146" t="s">
        <v>115</v>
      </c>
      <c r="T461" s="146" t="s">
        <v>116</v>
      </c>
      <c r="U461" s="36">
        <f ca="1">OFFSET(①簡易状況入力!$C$5,MATCH(A460,①簡易状況入力!$C$5:$C$104,0)-1,4)</f>
        <v>0</v>
      </c>
      <c r="V461" s="58"/>
      <c r="W461" s="146" t="s">
        <v>30</v>
      </c>
      <c r="X461" s="37">
        <f ca="1">OFFSET(①簡易状況入力!$C$5,MATCH(A460,①簡易状況入力!$C$5:$C$104,0)-1,5)</f>
        <v>0</v>
      </c>
      <c r="Y461" s="149">
        <f ca="1">OFFSET(①簡易状況入力!$C$5,MATCH(A460,①簡易状況入力!$C$5:$C$104,0)-1,8)</f>
        <v>0</v>
      </c>
      <c r="Z461" s="149">
        <f ca="1">OFFSET(①簡易状況入力!$C$5,MATCH(A460,①簡易状況入力!$C$5:$C$104,0)-1,9)</f>
        <v>0</v>
      </c>
      <c r="AA461" s="149">
        <f ca="1">OFFSET(①簡易状況入力!$C$5,MATCH(A460,①簡易状況入力!$C$5:$C$104,0)-1,10)</f>
        <v>0</v>
      </c>
      <c r="AB461" s="148" t="s">
        <v>52</v>
      </c>
      <c r="AC461" s="56">
        <f t="shared" ref="AC461:AD461" ca="1" si="1631">AC460</f>
        <v>0</v>
      </c>
      <c r="AD461" s="56">
        <f t="shared" ca="1" si="1631"/>
        <v>0</v>
      </c>
      <c r="AE461" s="63">
        <f ca="1">IF($C461="あり",IF(AC461&gt;=1,G461/AQ461,0),IF(AC461&gt;=1,AO461*AC461,0))</f>
        <v>0</v>
      </c>
      <c r="AF461" s="63">
        <f t="shared" ref="AF461:AF463" ca="1" si="1632">IF($C461="あり",IF($AD461&gt;=AF$4,H461/$AQ461,0),IF($AD461&gt;=AF$4,$AO461,0))</f>
        <v>0</v>
      </c>
      <c r="AG461" s="63">
        <f t="shared" ref="AG461:AG463" ca="1" si="1633">IF($C461="あり",IF($AD461&gt;=AG$4,I461/$AQ461,0),IF($AD461&gt;=AG$4,$AO461,0))</f>
        <v>0</v>
      </c>
      <c r="AH461" s="63">
        <f t="shared" ref="AH461:AH463" ca="1" si="1634">IF($C461="あり",IF($AD461&gt;=AH$4,J461/$AQ461,0),IF($AD461&gt;=AH$4,$AO461,0))</f>
        <v>0</v>
      </c>
      <c r="AI461" s="63">
        <f t="shared" ref="AI461:AI463" ca="1" si="1635">IF($C461="あり",IF($AD461&gt;=AI$4,K461/$AQ461,0),IF($AD461&gt;=AI$4,$AO461,0))</f>
        <v>0</v>
      </c>
      <c r="AJ461" s="63">
        <f t="shared" ref="AJ461:AJ463" ca="1" si="1636">IF($C461="あり",IF($AD461&gt;=AJ$4,L461/$AQ461,0),IF($AD461&gt;=AJ$4,$AO461,0))</f>
        <v>0</v>
      </c>
      <c r="AK461" s="63">
        <f t="shared" ref="AK461:AK463" ca="1" si="1637">IF($C461="あり",IF($AD461&gt;=AK$4,M461/$AQ461,0),IF($AD461&gt;=AK$4,$AO461,0))</f>
        <v>0</v>
      </c>
      <c r="AL461" s="63">
        <f ca="1">IF($C461="あり",IF($AD461&gt;=7,N461/$AQ461,0),IF($AD461&gt;=7,$AO461*($AD461-6),0))</f>
        <v>0</v>
      </c>
      <c r="AM461" s="64" t="s">
        <v>46</v>
      </c>
      <c r="AN461" s="63">
        <f ca="1">SUM(AE461:AM461)</f>
        <v>0</v>
      </c>
      <c r="AO461" s="68" t="e">
        <f ca="1">1/(AC461+AD461)</f>
        <v>#DIV/0!</v>
      </c>
      <c r="AP461" s="67">
        <v>0</v>
      </c>
      <c r="AQ461" s="68">
        <f ca="1">IF(AC461&gt;=1,G461,0)+SUMIF($H$4:$M$4,"&lt;="&amp;AD461,$H461:$M461)+IF(AD461&gt;=7,N461,0)</f>
        <v>0</v>
      </c>
    </row>
    <row r="462" spans="1:43" x14ac:dyDescent="0.15">
      <c r="A462" s="50"/>
      <c r="B462" s="50"/>
      <c r="C462" s="145">
        <f ca="1">OFFSET(①簡易状況入力!$C$5,MATCH(A460,①簡易状況入力!$C$5:$C$104,0)-1,19)</f>
        <v>0</v>
      </c>
      <c r="D462" s="148" t="s">
        <v>50</v>
      </c>
      <c r="E462" s="56">
        <f t="shared" ref="E462" ca="1" si="1638">E461</f>
        <v>0</v>
      </c>
      <c r="F462" s="56">
        <f ca="1">F461</f>
        <v>0</v>
      </c>
      <c r="G462" s="104"/>
      <c r="H462" s="104"/>
      <c r="I462" s="104"/>
      <c r="J462" s="104"/>
      <c r="K462" s="104"/>
      <c r="L462" s="104"/>
      <c r="M462" s="104"/>
      <c r="N462" s="104"/>
      <c r="O462" s="106"/>
      <c r="Q462" s="50"/>
      <c r="R462" s="58"/>
      <c r="S462" s="165" t="s">
        <v>28</v>
      </c>
      <c r="T462" s="146" t="s">
        <v>35</v>
      </c>
      <c r="U462" s="35">
        <f ca="1">OFFSET(①簡易状況入力!$C$5,MATCH(A460,①簡易状況入力!$C$5:$C$104,0)-1,2)</f>
        <v>0</v>
      </c>
      <c r="V462" s="58"/>
      <c r="W462" s="146" t="s">
        <v>33</v>
      </c>
      <c r="X462" s="37">
        <f ca="1">OFFSET(①簡易状況入力!$C$5,MATCH(A460,①簡易状況入力!$C$5:$C$104,0)-1,6)</f>
        <v>0</v>
      </c>
      <c r="Y462" s="149">
        <f ca="1">OFFSET(①簡易状況入力!$C$5,MATCH(A460,①簡易状況入力!$C$5:$C$104,0)-1,11)</f>
        <v>0</v>
      </c>
      <c r="Z462" s="167">
        <f ca="1">OFFSET(①簡易状況入力!$C$5,MATCH(A460,①簡易状況入力!$C$5:$C$104,0)-1,12)</f>
        <v>0</v>
      </c>
      <c r="AA462" s="168"/>
      <c r="AB462" s="148" t="s">
        <v>50</v>
      </c>
      <c r="AC462" s="56">
        <f t="shared" ref="AC462:AD462" ca="1" si="1639">AC461</f>
        <v>0</v>
      </c>
      <c r="AD462" s="56">
        <f t="shared" ca="1" si="1639"/>
        <v>0</v>
      </c>
      <c r="AE462" s="63">
        <f ca="1">IF($C462="あり",IF(AC462&gt;=1,G462/AQ462,0),IF(AC462&gt;=1,AO462*AC462,0))</f>
        <v>0</v>
      </c>
      <c r="AF462" s="63">
        <f t="shared" ca="1" si="1632"/>
        <v>0</v>
      </c>
      <c r="AG462" s="63">
        <f t="shared" ca="1" si="1633"/>
        <v>0</v>
      </c>
      <c r="AH462" s="63">
        <f t="shared" ca="1" si="1634"/>
        <v>0</v>
      </c>
      <c r="AI462" s="63">
        <f t="shared" ca="1" si="1635"/>
        <v>0</v>
      </c>
      <c r="AJ462" s="63">
        <f t="shared" ca="1" si="1636"/>
        <v>0</v>
      </c>
      <c r="AK462" s="63">
        <f t="shared" ca="1" si="1637"/>
        <v>0</v>
      </c>
      <c r="AL462" s="63">
        <f ca="1">IF($C462="あり",IF($AD462&gt;=7,N462/$AQ462,0),IF($AD462&gt;=7,$AO462*($AD462-6),0))</f>
        <v>0</v>
      </c>
      <c r="AM462" s="65">
        <f ca="1">IF(C462="あり",O462/AQ462,AP462)</f>
        <v>0</v>
      </c>
      <c r="AN462" s="63">
        <f ca="1">SUM(AE462:AM462)</f>
        <v>0</v>
      </c>
      <c r="AO462" s="68" t="e">
        <f ca="1">1/(AC462+AD462)</f>
        <v>#DIV/0!</v>
      </c>
      <c r="AP462" s="67">
        <v>0</v>
      </c>
      <c r="AQ462" s="68">
        <f ca="1">IF(AC462&gt;=1,G462,0)+SUMIF($H$4:$M$4,"&lt;="&amp;AD462,$H462:$M462)+IF(AD462&gt;=7,N462,0)+O462</f>
        <v>0</v>
      </c>
    </row>
    <row r="463" spans="1:43" x14ac:dyDescent="0.15">
      <c r="A463" s="50"/>
      <c r="B463" s="50"/>
      <c r="C463" s="145">
        <f ca="1">OFFSET(①簡易状況入力!$C$5,MATCH(A460,①簡易状況入力!$C$5:$C$104,0)-1,20)</f>
        <v>0</v>
      </c>
      <c r="D463" s="148" t="s">
        <v>51</v>
      </c>
      <c r="E463" s="56">
        <f t="shared" ref="E463:F463" ca="1" si="1640">E462</f>
        <v>0</v>
      </c>
      <c r="F463" s="56">
        <f t="shared" ca="1" si="1640"/>
        <v>0</v>
      </c>
      <c r="G463" s="104"/>
      <c r="H463" s="104"/>
      <c r="I463" s="104"/>
      <c r="J463" s="104"/>
      <c r="K463" s="104"/>
      <c r="L463" s="104"/>
      <c r="M463" s="104"/>
      <c r="N463" s="104"/>
      <c r="O463" s="106"/>
      <c r="Q463" s="50"/>
      <c r="R463" s="58"/>
      <c r="S463" s="166"/>
      <c r="T463" s="146" t="s">
        <v>34</v>
      </c>
      <c r="U463" s="35">
        <f ca="1">OFFSET(①簡易状況入力!$C$5,MATCH(A460,①簡易状況入力!$C$5:$C$104,0)-1,3)</f>
        <v>0</v>
      </c>
      <c r="V463" s="58"/>
      <c r="W463" s="146" t="s">
        <v>118</v>
      </c>
      <c r="X463" s="37">
        <f ca="1">OFFSET(①簡易状況入力!$C$5,MATCH(A460,①簡易状況入力!$C$5:$C$104,0)-1,7)</f>
        <v>0</v>
      </c>
      <c r="Y463" s="149">
        <f ca="1">OFFSET(①簡易状況入力!$C$5,MATCH(A460,①簡易状況入力!$C$5:$C$104,0)-1,13)</f>
        <v>0</v>
      </c>
      <c r="Z463" s="167">
        <f ca="1">OFFSET(①簡易状況入力!$C$5,MATCH(A460,①簡易状況入力!$C$5:$C$104,0)-1,14)</f>
        <v>0</v>
      </c>
      <c r="AA463" s="168"/>
      <c r="AB463" s="148" t="s">
        <v>51</v>
      </c>
      <c r="AC463" s="56">
        <f t="shared" ref="AC463:AD463" ca="1" si="1641">AC462</f>
        <v>0</v>
      </c>
      <c r="AD463" s="56">
        <f t="shared" ca="1" si="1641"/>
        <v>0</v>
      </c>
      <c r="AE463" s="63">
        <f ca="1">IF($C463="あり",IF(AC463&gt;=1,G463/AQ463,0),IF(AC463&gt;=1,AO463*AC463,0))</f>
        <v>0</v>
      </c>
      <c r="AF463" s="63">
        <f t="shared" ca="1" si="1632"/>
        <v>0</v>
      </c>
      <c r="AG463" s="63">
        <f t="shared" ca="1" si="1633"/>
        <v>0</v>
      </c>
      <c r="AH463" s="63">
        <f t="shared" ca="1" si="1634"/>
        <v>0</v>
      </c>
      <c r="AI463" s="63">
        <f t="shared" ca="1" si="1635"/>
        <v>0</v>
      </c>
      <c r="AJ463" s="63">
        <f t="shared" ca="1" si="1636"/>
        <v>0</v>
      </c>
      <c r="AK463" s="63">
        <f t="shared" ca="1" si="1637"/>
        <v>0</v>
      </c>
      <c r="AL463" s="63">
        <f ca="1">IF($C463="あり",IF($AD463&gt;=7,N463/$AQ463,0),IF($AD463&gt;=7,$AO463*($AD463-6),0))</f>
        <v>0</v>
      </c>
      <c r="AM463" s="65">
        <f ca="1">IF(C463="あり",O463/AQ463,AP463)</f>
        <v>0</v>
      </c>
      <c r="AN463" s="63">
        <f ca="1">SUM(AE463:AM463)</f>
        <v>0</v>
      </c>
      <c r="AO463" s="68" t="e">
        <f ca="1">1/(AC463+AD463)</f>
        <v>#DIV/0!</v>
      </c>
      <c r="AP463" s="67">
        <v>0</v>
      </c>
      <c r="AQ463" s="68">
        <f ca="1">IF(AC463&gt;=1,G463,0)+SUMIF($H$4:$M$4,"&lt;="&amp;AD463,$H463:$M463)+IF(AD463&gt;=7,N463,0)+O463</f>
        <v>0</v>
      </c>
    </row>
    <row r="464" spans="1:43" x14ac:dyDescent="0.15">
      <c r="G464" s="107"/>
      <c r="H464" s="107"/>
      <c r="I464" s="107"/>
      <c r="J464" s="107"/>
      <c r="K464" s="107"/>
      <c r="L464" s="107"/>
      <c r="M464" s="107"/>
      <c r="N464" s="107"/>
      <c r="O464" s="107"/>
    </row>
    <row r="465" spans="1:43" x14ac:dyDescent="0.15">
      <c r="A465" s="59" t="s">
        <v>408</v>
      </c>
      <c r="B465" s="60">
        <f ca="1">OFFSET(①簡易状況入力!$C$5,MATCH(A465,①簡易状況入力!$C$5:$C$104,0)-1,1)</f>
        <v>0</v>
      </c>
      <c r="C465" s="145">
        <f ca="1">OFFSET(①簡易状況入力!$C$5,MATCH(A465,①簡易状況入力!$C$5:$C$104,0)-1,17)</f>
        <v>0</v>
      </c>
      <c r="D465" s="148" t="s">
        <v>47</v>
      </c>
      <c r="E465" s="56">
        <f ca="1">U468</f>
        <v>0</v>
      </c>
      <c r="F465" s="56">
        <f ca="1">U467</f>
        <v>0</v>
      </c>
      <c r="G465" s="102"/>
      <c r="H465" s="103"/>
      <c r="I465" s="103"/>
      <c r="J465" s="103"/>
      <c r="K465" s="103"/>
      <c r="L465" s="103"/>
      <c r="M465" s="103"/>
      <c r="N465" s="103"/>
      <c r="O465" s="103"/>
      <c r="Q465" s="57">
        <f ca="1">OFFSET(①簡易状況入力!$C$5,MATCH(A465,①簡易状況入力!$C$5:$C$104,0)-1,15)</f>
        <v>0</v>
      </c>
      <c r="R465" s="58"/>
      <c r="S465" s="58"/>
      <c r="T465" s="58"/>
      <c r="U465" s="58"/>
      <c r="V465" s="58"/>
      <c r="W465" s="58"/>
      <c r="X465" s="58"/>
      <c r="Y465" s="58"/>
      <c r="Z465" s="58"/>
      <c r="AA465" s="58"/>
      <c r="AB465" s="148" t="s">
        <v>47</v>
      </c>
      <c r="AC465" s="56">
        <f ca="1">U468</f>
        <v>0</v>
      </c>
      <c r="AD465" s="56">
        <f ca="1">U467</f>
        <v>0</v>
      </c>
      <c r="AE465" s="62" t="s">
        <v>46</v>
      </c>
      <c r="AF465" s="62" t="str">
        <f t="shared" ref="AF465" ca="1" si="1642">IF($C465="あり",IF(AF$4&lt;=$AD465,H465,"-"),IF(AF$4&lt;=$AD465,$AO465,"-"))</f>
        <v>-</v>
      </c>
      <c r="AG465" s="62" t="str">
        <f t="shared" ref="AG465" ca="1" si="1643">IF($C465="あり",IF(AG$4&lt;=$AD465,I465,"-"),IF(AG$4&lt;=$AD465,$AO465,"-"))</f>
        <v>-</v>
      </c>
      <c r="AH465" s="62" t="str">
        <f t="shared" ref="AH465" ca="1" si="1644">IF($C465="あり",IF(AH$4&lt;=$AD465,J465,"-"),IF(AH$4&lt;=$AD465,$AO465,"-"))</f>
        <v>-</v>
      </c>
      <c r="AI465" s="62" t="str">
        <f t="shared" ref="AI465" ca="1" si="1645">IF($C465="あり",IF(AI$4&lt;=$AD465,K465,"-"),IF(AI$4&lt;=$AD465,$AO465,"-"))</f>
        <v>-</v>
      </c>
      <c r="AJ465" s="62" t="str">
        <f t="shared" ref="AJ465" ca="1" si="1646">IF($C465="あり",IF(AJ$4&lt;=$AD465,L465,"-"),IF(AJ$4&lt;=$AD465,$AO465,"-"))</f>
        <v>-</v>
      </c>
      <c r="AK465" s="62" t="str">
        <f t="shared" ref="AK465" ca="1" si="1647">IF($C465="あり",IF(AK$4&lt;=$AD465,M465,"-"),IF(AK$4&lt;=$AD465,$AO465,"-"))</f>
        <v>-</v>
      </c>
      <c r="AL465" s="62" t="str">
        <f ca="1">IF($C465="あり",IF(7&lt;=$AD465,N465,"-"),IF(7&lt;=$AD465,$AO465*($AD465-6),"-"))</f>
        <v>-</v>
      </c>
      <c r="AM465" s="62">
        <f ca="1">IF(C465="あり",O465,AP465)</f>
        <v>0</v>
      </c>
      <c r="AN465" s="62">
        <f ca="1">SUM(U466,AF465:AM465)</f>
        <v>0</v>
      </c>
      <c r="AO465" s="42">
        <f ca="1">OFFSET(【DB】被害率係数!$A$4,MATCH(②詳細状況入力!$Y466,【DB】被害率係数!$A$4:$A$19,0)-1,16)</f>
        <v>0</v>
      </c>
      <c r="AP465" s="42">
        <f ca="1">OFFSET(【DB】被害率係数!$A$4,MATCH(②詳細状況入力!$Y466,【DB】被害率係数!$A$4:$A$19,0)-1,17)</f>
        <v>0</v>
      </c>
      <c r="AQ465" s="42"/>
    </row>
    <row r="466" spans="1:43" x14ac:dyDescent="0.15">
      <c r="A466" s="50"/>
      <c r="B466" s="50"/>
      <c r="C466" s="145">
        <f ca="1">OFFSET(①簡易状況入力!$C$5,MATCH(A465,①簡易状況入力!$C$5:$C$104,0)-1,18)</f>
        <v>0</v>
      </c>
      <c r="D466" s="148" t="s">
        <v>52</v>
      </c>
      <c r="E466" s="56">
        <f t="shared" ref="E466:F466" ca="1" si="1648">E465</f>
        <v>0</v>
      </c>
      <c r="F466" s="56">
        <f t="shared" ca="1" si="1648"/>
        <v>0</v>
      </c>
      <c r="G466" s="104"/>
      <c r="H466" s="104"/>
      <c r="I466" s="104"/>
      <c r="J466" s="104"/>
      <c r="K466" s="104"/>
      <c r="L466" s="104"/>
      <c r="M466" s="104"/>
      <c r="N466" s="104"/>
      <c r="O466" s="105"/>
      <c r="Q466" s="57">
        <f ca="1">OFFSET(①簡易状況入力!$C$5,MATCH(A465,①簡易状況入力!$C$5:$C$104,0)-1,16)</f>
        <v>0</v>
      </c>
      <c r="R466" s="58"/>
      <c r="S466" s="146" t="s">
        <v>115</v>
      </c>
      <c r="T466" s="146" t="s">
        <v>116</v>
      </c>
      <c r="U466" s="36">
        <f ca="1">OFFSET(①簡易状況入力!$C$5,MATCH(A465,①簡易状況入力!$C$5:$C$104,0)-1,4)</f>
        <v>0</v>
      </c>
      <c r="V466" s="58"/>
      <c r="W466" s="146" t="s">
        <v>30</v>
      </c>
      <c r="X466" s="37">
        <f ca="1">OFFSET(①簡易状況入力!$C$5,MATCH(A465,①簡易状況入力!$C$5:$C$104,0)-1,5)</f>
        <v>0</v>
      </c>
      <c r="Y466" s="149">
        <f ca="1">OFFSET(①簡易状況入力!$C$5,MATCH(A465,①簡易状況入力!$C$5:$C$104,0)-1,8)</f>
        <v>0</v>
      </c>
      <c r="Z466" s="149">
        <f ca="1">OFFSET(①簡易状況入力!$C$5,MATCH(A465,①簡易状況入力!$C$5:$C$104,0)-1,9)</f>
        <v>0</v>
      </c>
      <c r="AA466" s="149">
        <f ca="1">OFFSET(①簡易状況入力!$C$5,MATCH(A465,①簡易状況入力!$C$5:$C$104,0)-1,10)</f>
        <v>0</v>
      </c>
      <c r="AB466" s="148" t="s">
        <v>52</v>
      </c>
      <c r="AC466" s="56">
        <f t="shared" ref="AC466:AD466" ca="1" si="1649">AC465</f>
        <v>0</v>
      </c>
      <c r="AD466" s="56">
        <f t="shared" ca="1" si="1649"/>
        <v>0</v>
      </c>
      <c r="AE466" s="63">
        <f ca="1">IF($C466="あり",IF(AC466&gt;=1,G466/AQ466,0),IF(AC466&gt;=1,AO466*AC466,0))</f>
        <v>0</v>
      </c>
      <c r="AF466" s="63">
        <f t="shared" ref="AF466:AF468" ca="1" si="1650">IF($C466="あり",IF($AD466&gt;=AF$4,H466/$AQ466,0),IF($AD466&gt;=AF$4,$AO466,0))</f>
        <v>0</v>
      </c>
      <c r="AG466" s="63">
        <f t="shared" ref="AG466:AG468" ca="1" si="1651">IF($C466="あり",IF($AD466&gt;=AG$4,I466/$AQ466,0),IF($AD466&gt;=AG$4,$AO466,0))</f>
        <v>0</v>
      </c>
      <c r="AH466" s="63">
        <f t="shared" ref="AH466:AH468" ca="1" si="1652">IF($C466="あり",IF($AD466&gt;=AH$4,J466/$AQ466,0),IF($AD466&gt;=AH$4,$AO466,0))</f>
        <v>0</v>
      </c>
      <c r="AI466" s="63">
        <f t="shared" ref="AI466:AI468" ca="1" si="1653">IF($C466="あり",IF($AD466&gt;=AI$4,K466/$AQ466,0),IF($AD466&gt;=AI$4,$AO466,0))</f>
        <v>0</v>
      </c>
      <c r="AJ466" s="63">
        <f t="shared" ref="AJ466:AJ468" ca="1" si="1654">IF($C466="あり",IF($AD466&gt;=AJ$4,L466/$AQ466,0),IF($AD466&gt;=AJ$4,$AO466,0))</f>
        <v>0</v>
      </c>
      <c r="AK466" s="63">
        <f t="shared" ref="AK466:AK468" ca="1" si="1655">IF($C466="あり",IF($AD466&gt;=AK$4,M466/$AQ466,0),IF($AD466&gt;=AK$4,$AO466,0))</f>
        <v>0</v>
      </c>
      <c r="AL466" s="63">
        <f ca="1">IF($C466="あり",IF($AD466&gt;=7,N466/$AQ466,0),IF($AD466&gt;=7,$AO466*($AD466-6),0))</f>
        <v>0</v>
      </c>
      <c r="AM466" s="64" t="s">
        <v>46</v>
      </c>
      <c r="AN466" s="63">
        <f ca="1">SUM(AE466:AM466)</f>
        <v>0</v>
      </c>
      <c r="AO466" s="68" t="e">
        <f ca="1">1/(AC466+AD466)</f>
        <v>#DIV/0!</v>
      </c>
      <c r="AP466" s="67">
        <v>0</v>
      </c>
      <c r="AQ466" s="68">
        <f ca="1">IF(AC466&gt;=1,G466,0)+SUMIF($H$4:$M$4,"&lt;="&amp;AD466,$H466:$M466)+IF(AD466&gt;=7,N466,0)</f>
        <v>0</v>
      </c>
    </row>
    <row r="467" spans="1:43" x14ac:dyDescent="0.15">
      <c r="A467" s="50"/>
      <c r="B467" s="50"/>
      <c r="C467" s="145">
        <f ca="1">OFFSET(①簡易状況入力!$C$5,MATCH(A465,①簡易状況入力!$C$5:$C$104,0)-1,19)</f>
        <v>0</v>
      </c>
      <c r="D467" s="148" t="s">
        <v>50</v>
      </c>
      <c r="E467" s="56">
        <f t="shared" ref="E467" ca="1" si="1656">E466</f>
        <v>0</v>
      </c>
      <c r="F467" s="56">
        <f ca="1">F466</f>
        <v>0</v>
      </c>
      <c r="G467" s="104"/>
      <c r="H467" s="104"/>
      <c r="I467" s="104"/>
      <c r="J467" s="104"/>
      <c r="K467" s="104"/>
      <c r="L467" s="104"/>
      <c r="M467" s="104"/>
      <c r="N467" s="104"/>
      <c r="O467" s="106"/>
      <c r="Q467" s="50"/>
      <c r="R467" s="58"/>
      <c r="S467" s="165" t="s">
        <v>28</v>
      </c>
      <c r="T467" s="146" t="s">
        <v>35</v>
      </c>
      <c r="U467" s="35">
        <f ca="1">OFFSET(①簡易状況入力!$C$5,MATCH(A465,①簡易状況入力!$C$5:$C$104,0)-1,2)</f>
        <v>0</v>
      </c>
      <c r="V467" s="58"/>
      <c r="W467" s="146" t="s">
        <v>33</v>
      </c>
      <c r="X467" s="37">
        <f ca="1">OFFSET(①簡易状況入力!$C$5,MATCH(A465,①簡易状況入力!$C$5:$C$104,0)-1,6)</f>
        <v>0</v>
      </c>
      <c r="Y467" s="149">
        <f ca="1">OFFSET(①簡易状況入力!$C$5,MATCH(A465,①簡易状況入力!$C$5:$C$104,0)-1,11)</f>
        <v>0</v>
      </c>
      <c r="Z467" s="167">
        <f ca="1">OFFSET(①簡易状況入力!$C$5,MATCH(A465,①簡易状況入力!$C$5:$C$104,0)-1,12)</f>
        <v>0</v>
      </c>
      <c r="AA467" s="168"/>
      <c r="AB467" s="148" t="s">
        <v>50</v>
      </c>
      <c r="AC467" s="56">
        <f t="shared" ref="AC467:AD467" ca="1" si="1657">AC466</f>
        <v>0</v>
      </c>
      <c r="AD467" s="56">
        <f t="shared" ca="1" si="1657"/>
        <v>0</v>
      </c>
      <c r="AE467" s="63">
        <f ca="1">IF($C467="あり",IF(AC467&gt;=1,G467/AQ467,0),IF(AC467&gt;=1,AO467*AC467,0))</f>
        <v>0</v>
      </c>
      <c r="AF467" s="63">
        <f t="shared" ca="1" si="1650"/>
        <v>0</v>
      </c>
      <c r="AG467" s="63">
        <f t="shared" ca="1" si="1651"/>
        <v>0</v>
      </c>
      <c r="AH467" s="63">
        <f t="shared" ca="1" si="1652"/>
        <v>0</v>
      </c>
      <c r="AI467" s="63">
        <f t="shared" ca="1" si="1653"/>
        <v>0</v>
      </c>
      <c r="AJ467" s="63">
        <f t="shared" ca="1" si="1654"/>
        <v>0</v>
      </c>
      <c r="AK467" s="63">
        <f t="shared" ca="1" si="1655"/>
        <v>0</v>
      </c>
      <c r="AL467" s="63">
        <f ca="1">IF($C467="あり",IF($AD467&gt;=7,N467/$AQ467,0),IF($AD467&gt;=7,$AO467*($AD467-6),0))</f>
        <v>0</v>
      </c>
      <c r="AM467" s="65">
        <f ca="1">IF(C467="あり",O467/AQ467,AP467)</f>
        <v>0</v>
      </c>
      <c r="AN467" s="63">
        <f ca="1">SUM(AE467:AM467)</f>
        <v>0</v>
      </c>
      <c r="AO467" s="68" t="e">
        <f ca="1">1/(AC467+AD467)</f>
        <v>#DIV/0!</v>
      </c>
      <c r="AP467" s="67">
        <v>0</v>
      </c>
      <c r="AQ467" s="68">
        <f ca="1">IF(AC467&gt;=1,G467,0)+SUMIF($H$4:$M$4,"&lt;="&amp;AD467,$H467:$M467)+IF(AD467&gt;=7,N467,0)+O467</f>
        <v>0</v>
      </c>
    </row>
    <row r="468" spans="1:43" x14ac:dyDescent="0.15">
      <c r="A468" s="50"/>
      <c r="B468" s="50"/>
      <c r="C468" s="145">
        <f ca="1">OFFSET(①簡易状況入力!$C$5,MATCH(A465,①簡易状況入力!$C$5:$C$104,0)-1,20)</f>
        <v>0</v>
      </c>
      <c r="D468" s="148" t="s">
        <v>51</v>
      </c>
      <c r="E468" s="56">
        <f t="shared" ref="E468:F468" ca="1" si="1658">E467</f>
        <v>0</v>
      </c>
      <c r="F468" s="56">
        <f t="shared" ca="1" si="1658"/>
        <v>0</v>
      </c>
      <c r="G468" s="104"/>
      <c r="H468" s="104"/>
      <c r="I468" s="104"/>
      <c r="J468" s="104"/>
      <c r="K468" s="104"/>
      <c r="L468" s="104"/>
      <c r="M468" s="104"/>
      <c r="N468" s="104"/>
      <c r="O468" s="106"/>
      <c r="Q468" s="50"/>
      <c r="R468" s="58"/>
      <c r="S468" s="166"/>
      <c r="T468" s="146" t="s">
        <v>34</v>
      </c>
      <c r="U468" s="35">
        <f ca="1">OFFSET(①簡易状況入力!$C$5,MATCH(A465,①簡易状況入力!$C$5:$C$104,0)-1,3)</f>
        <v>0</v>
      </c>
      <c r="V468" s="58"/>
      <c r="W468" s="146" t="s">
        <v>118</v>
      </c>
      <c r="X468" s="37">
        <f ca="1">OFFSET(①簡易状況入力!$C$5,MATCH(A465,①簡易状況入力!$C$5:$C$104,0)-1,7)</f>
        <v>0</v>
      </c>
      <c r="Y468" s="149">
        <f ca="1">OFFSET(①簡易状況入力!$C$5,MATCH(A465,①簡易状況入力!$C$5:$C$104,0)-1,13)</f>
        <v>0</v>
      </c>
      <c r="Z468" s="167">
        <f ca="1">OFFSET(①簡易状況入力!$C$5,MATCH(A465,①簡易状況入力!$C$5:$C$104,0)-1,14)</f>
        <v>0</v>
      </c>
      <c r="AA468" s="168"/>
      <c r="AB468" s="148" t="s">
        <v>51</v>
      </c>
      <c r="AC468" s="56">
        <f t="shared" ref="AC468:AD468" ca="1" si="1659">AC467</f>
        <v>0</v>
      </c>
      <c r="AD468" s="56">
        <f t="shared" ca="1" si="1659"/>
        <v>0</v>
      </c>
      <c r="AE468" s="63">
        <f ca="1">IF($C468="あり",IF(AC468&gt;=1,G468/AQ468,0),IF(AC468&gt;=1,AO468*AC468,0))</f>
        <v>0</v>
      </c>
      <c r="AF468" s="63">
        <f t="shared" ca="1" si="1650"/>
        <v>0</v>
      </c>
      <c r="AG468" s="63">
        <f t="shared" ca="1" si="1651"/>
        <v>0</v>
      </c>
      <c r="AH468" s="63">
        <f t="shared" ca="1" si="1652"/>
        <v>0</v>
      </c>
      <c r="AI468" s="63">
        <f t="shared" ca="1" si="1653"/>
        <v>0</v>
      </c>
      <c r="AJ468" s="63">
        <f t="shared" ca="1" si="1654"/>
        <v>0</v>
      </c>
      <c r="AK468" s="63">
        <f t="shared" ca="1" si="1655"/>
        <v>0</v>
      </c>
      <c r="AL468" s="63">
        <f ca="1">IF($C468="あり",IF($AD468&gt;=7,N468/$AQ468,0),IF($AD468&gt;=7,$AO468*($AD468-6),0))</f>
        <v>0</v>
      </c>
      <c r="AM468" s="65">
        <f ca="1">IF(C468="あり",O468/AQ468,AP468)</f>
        <v>0</v>
      </c>
      <c r="AN468" s="63">
        <f ca="1">SUM(AE468:AM468)</f>
        <v>0</v>
      </c>
      <c r="AO468" s="68" t="e">
        <f ca="1">1/(AC468+AD468)</f>
        <v>#DIV/0!</v>
      </c>
      <c r="AP468" s="67">
        <v>0</v>
      </c>
      <c r="AQ468" s="68">
        <f ca="1">IF(AC468&gt;=1,G468,0)+SUMIF($H$4:$M$4,"&lt;="&amp;AD468,$H468:$M468)+IF(AD468&gt;=7,N468,0)+O468</f>
        <v>0</v>
      </c>
    </row>
    <row r="469" spans="1:43" x14ac:dyDescent="0.15">
      <c r="G469" s="107"/>
      <c r="H469" s="107"/>
      <c r="I469" s="107"/>
      <c r="J469" s="107"/>
      <c r="K469" s="107"/>
      <c r="L469" s="107"/>
      <c r="M469" s="107"/>
      <c r="N469" s="107"/>
      <c r="O469" s="107"/>
    </row>
    <row r="470" spans="1:43" x14ac:dyDescent="0.15">
      <c r="A470" s="59" t="s">
        <v>409</v>
      </c>
      <c r="B470" s="60">
        <f ca="1">OFFSET(①簡易状況入力!$C$5,MATCH(A470,①簡易状況入力!$C$5:$C$104,0)-1,1)</f>
        <v>0</v>
      </c>
      <c r="C470" s="145">
        <f ca="1">OFFSET(①簡易状況入力!$C$5,MATCH(A470,①簡易状況入力!$C$5:$C$104,0)-1,17)</f>
        <v>0</v>
      </c>
      <c r="D470" s="148" t="s">
        <v>47</v>
      </c>
      <c r="E470" s="56">
        <f ca="1">U473</f>
        <v>0</v>
      </c>
      <c r="F470" s="56">
        <f ca="1">U472</f>
        <v>0</v>
      </c>
      <c r="G470" s="102"/>
      <c r="H470" s="103"/>
      <c r="I470" s="103"/>
      <c r="J470" s="103"/>
      <c r="K470" s="103"/>
      <c r="L470" s="103"/>
      <c r="M470" s="103"/>
      <c r="N470" s="103"/>
      <c r="O470" s="103"/>
      <c r="Q470" s="57">
        <f ca="1">OFFSET(①簡易状況入力!$C$5,MATCH(A470,①簡易状況入力!$C$5:$C$104,0)-1,15)</f>
        <v>0</v>
      </c>
      <c r="R470" s="58"/>
      <c r="S470" s="58"/>
      <c r="T470" s="58"/>
      <c r="U470" s="58"/>
      <c r="V470" s="58"/>
      <c r="W470" s="58"/>
      <c r="X470" s="58"/>
      <c r="Y470" s="58"/>
      <c r="Z470" s="58"/>
      <c r="AA470" s="58"/>
      <c r="AB470" s="148" t="s">
        <v>47</v>
      </c>
      <c r="AC470" s="56">
        <f ca="1">U473</f>
        <v>0</v>
      </c>
      <c r="AD470" s="56">
        <f ca="1">U472</f>
        <v>0</v>
      </c>
      <c r="AE470" s="62" t="s">
        <v>46</v>
      </c>
      <c r="AF470" s="62" t="str">
        <f t="shared" ref="AF470" ca="1" si="1660">IF($C470="あり",IF(AF$4&lt;=$AD470,H470,"-"),IF(AF$4&lt;=$AD470,$AO470,"-"))</f>
        <v>-</v>
      </c>
      <c r="AG470" s="62" t="str">
        <f t="shared" ref="AG470" ca="1" si="1661">IF($C470="あり",IF(AG$4&lt;=$AD470,I470,"-"),IF(AG$4&lt;=$AD470,$AO470,"-"))</f>
        <v>-</v>
      </c>
      <c r="AH470" s="62" t="str">
        <f t="shared" ref="AH470" ca="1" si="1662">IF($C470="あり",IF(AH$4&lt;=$AD470,J470,"-"),IF(AH$4&lt;=$AD470,$AO470,"-"))</f>
        <v>-</v>
      </c>
      <c r="AI470" s="62" t="str">
        <f t="shared" ref="AI470" ca="1" si="1663">IF($C470="あり",IF(AI$4&lt;=$AD470,K470,"-"),IF(AI$4&lt;=$AD470,$AO470,"-"))</f>
        <v>-</v>
      </c>
      <c r="AJ470" s="62" t="str">
        <f t="shared" ref="AJ470" ca="1" si="1664">IF($C470="あり",IF(AJ$4&lt;=$AD470,L470,"-"),IF(AJ$4&lt;=$AD470,$AO470,"-"))</f>
        <v>-</v>
      </c>
      <c r="AK470" s="62" t="str">
        <f t="shared" ref="AK470" ca="1" si="1665">IF($C470="あり",IF(AK$4&lt;=$AD470,M470,"-"),IF(AK$4&lt;=$AD470,$AO470,"-"))</f>
        <v>-</v>
      </c>
      <c r="AL470" s="62" t="str">
        <f ca="1">IF($C470="あり",IF(7&lt;=$AD470,N470,"-"),IF(7&lt;=$AD470,$AO470*($AD470-6),"-"))</f>
        <v>-</v>
      </c>
      <c r="AM470" s="62">
        <f ca="1">IF(C470="あり",O470,AP470)</f>
        <v>0</v>
      </c>
      <c r="AN470" s="62">
        <f ca="1">SUM(U471,AF470:AM470)</f>
        <v>0</v>
      </c>
      <c r="AO470" s="42">
        <f ca="1">OFFSET(【DB】被害率係数!$A$4,MATCH(②詳細状況入力!$Y471,【DB】被害率係数!$A$4:$A$19,0)-1,16)</f>
        <v>0</v>
      </c>
      <c r="AP470" s="42">
        <f ca="1">OFFSET(【DB】被害率係数!$A$4,MATCH(②詳細状況入力!$Y471,【DB】被害率係数!$A$4:$A$19,0)-1,17)</f>
        <v>0</v>
      </c>
      <c r="AQ470" s="42"/>
    </row>
    <row r="471" spans="1:43" x14ac:dyDescent="0.15">
      <c r="A471" s="50"/>
      <c r="B471" s="50"/>
      <c r="C471" s="145">
        <f ca="1">OFFSET(①簡易状況入力!$C$5,MATCH(A470,①簡易状況入力!$C$5:$C$104,0)-1,18)</f>
        <v>0</v>
      </c>
      <c r="D471" s="148" t="s">
        <v>52</v>
      </c>
      <c r="E471" s="56">
        <f t="shared" ref="E471:F471" ca="1" si="1666">E470</f>
        <v>0</v>
      </c>
      <c r="F471" s="56">
        <f t="shared" ca="1" si="1666"/>
        <v>0</v>
      </c>
      <c r="G471" s="104"/>
      <c r="H471" s="104"/>
      <c r="I471" s="104"/>
      <c r="J471" s="104"/>
      <c r="K471" s="104"/>
      <c r="L471" s="104"/>
      <c r="M471" s="104"/>
      <c r="N471" s="104"/>
      <c r="O471" s="105"/>
      <c r="Q471" s="57">
        <f ca="1">OFFSET(①簡易状況入力!$C$5,MATCH(A470,①簡易状況入力!$C$5:$C$104,0)-1,16)</f>
        <v>0</v>
      </c>
      <c r="R471" s="58"/>
      <c r="S471" s="146" t="s">
        <v>115</v>
      </c>
      <c r="T471" s="146" t="s">
        <v>116</v>
      </c>
      <c r="U471" s="36">
        <f ca="1">OFFSET(①簡易状況入力!$C$5,MATCH(A470,①簡易状況入力!$C$5:$C$104,0)-1,4)</f>
        <v>0</v>
      </c>
      <c r="V471" s="58"/>
      <c r="W471" s="146" t="s">
        <v>30</v>
      </c>
      <c r="X471" s="37">
        <f ca="1">OFFSET(①簡易状況入力!$C$5,MATCH(A470,①簡易状況入力!$C$5:$C$104,0)-1,5)</f>
        <v>0</v>
      </c>
      <c r="Y471" s="149">
        <f ca="1">OFFSET(①簡易状況入力!$C$5,MATCH(A470,①簡易状況入力!$C$5:$C$104,0)-1,8)</f>
        <v>0</v>
      </c>
      <c r="Z471" s="149">
        <f ca="1">OFFSET(①簡易状況入力!$C$5,MATCH(A470,①簡易状況入力!$C$5:$C$104,0)-1,9)</f>
        <v>0</v>
      </c>
      <c r="AA471" s="149">
        <f ca="1">OFFSET(①簡易状況入力!$C$5,MATCH(A470,①簡易状況入力!$C$5:$C$104,0)-1,10)</f>
        <v>0</v>
      </c>
      <c r="AB471" s="148" t="s">
        <v>52</v>
      </c>
      <c r="AC471" s="56">
        <f t="shared" ref="AC471:AD471" ca="1" si="1667">AC470</f>
        <v>0</v>
      </c>
      <c r="AD471" s="56">
        <f t="shared" ca="1" si="1667"/>
        <v>0</v>
      </c>
      <c r="AE471" s="63">
        <f ca="1">IF($C471="あり",IF(AC471&gt;=1,G471/AQ471,0),IF(AC471&gt;=1,AO471*AC471,0))</f>
        <v>0</v>
      </c>
      <c r="AF471" s="63">
        <f t="shared" ref="AF471:AF473" ca="1" si="1668">IF($C471="あり",IF($AD471&gt;=AF$4,H471/$AQ471,0),IF($AD471&gt;=AF$4,$AO471,0))</f>
        <v>0</v>
      </c>
      <c r="AG471" s="63">
        <f t="shared" ref="AG471:AG473" ca="1" si="1669">IF($C471="あり",IF($AD471&gt;=AG$4,I471/$AQ471,0),IF($AD471&gt;=AG$4,$AO471,0))</f>
        <v>0</v>
      </c>
      <c r="AH471" s="63">
        <f t="shared" ref="AH471:AH473" ca="1" si="1670">IF($C471="あり",IF($AD471&gt;=AH$4,J471/$AQ471,0),IF($AD471&gt;=AH$4,$AO471,0))</f>
        <v>0</v>
      </c>
      <c r="AI471" s="63">
        <f t="shared" ref="AI471:AI473" ca="1" si="1671">IF($C471="あり",IF($AD471&gt;=AI$4,K471/$AQ471,0),IF($AD471&gt;=AI$4,$AO471,0))</f>
        <v>0</v>
      </c>
      <c r="AJ471" s="63">
        <f t="shared" ref="AJ471:AJ473" ca="1" si="1672">IF($C471="あり",IF($AD471&gt;=AJ$4,L471/$AQ471,0),IF($AD471&gt;=AJ$4,$AO471,0))</f>
        <v>0</v>
      </c>
      <c r="AK471" s="63">
        <f t="shared" ref="AK471:AK473" ca="1" si="1673">IF($C471="あり",IF($AD471&gt;=AK$4,M471/$AQ471,0),IF($AD471&gt;=AK$4,$AO471,0))</f>
        <v>0</v>
      </c>
      <c r="AL471" s="63">
        <f ca="1">IF($C471="あり",IF($AD471&gt;=7,N471/$AQ471,0),IF($AD471&gt;=7,$AO471*($AD471-6),0))</f>
        <v>0</v>
      </c>
      <c r="AM471" s="64" t="s">
        <v>46</v>
      </c>
      <c r="AN471" s="63">
        <f ca="1">SUM(AE471:AM471)</f>
        <v>0</v>
      </c>
      <c r="AO471" s="68" t="e">
        <f ca="1">1/(AC471+AD471)</f>
        <v>#DIV/0!</v>
      </c>
      <c r="AP471" s="67">
        <v>0</v>
      </c>
      <c r="AQ471" s="68">
        <f ca="1">IF(AC471&gt;=1,G471,0)+SUMIF($H$4:$M$4,"&lt;="&amp;AD471,$H471:$M471)+IF(AD471&gt;=7,N471,0)</f>
        <v>0</v>
      </c>
    </row>
    <row r="472" spans="1:43" x14ac:dyDescent="0.15">
      <c r="A472" s="50"/>
      <c r="B472" s="50"/>
      <c r="C472" s="145">
        <f ca="1">OFFSET(①簡易状況入力!$C$5,MATCH(A470,①簡易状況入力!$C$5:$C$104,0)-1,19)</f>
        <v>0</v>
      </c>
      <c r="D472" s="148" t="s">
        <v>50</v>
      </c>
      <c r="E472" s="56">
        <f t="shared" ref="E472" ca="1" si="1674">E471</f>
        <v>0</v>
      </c>
      <c r="F472" s="56">
        <f ca="1">F471</f>
        <v>0</v>
      </c>
      <c r="G472" s="104"/>
      <c r="H472" s="104"/>
      <c r="I472" s="104"/>
      <c r="J472" s="104"/>
      <c r="K472" s="104"/>
      <c r="L472" s="104"/>
      <c r="M472" s="104"/>
      <c r="N472" s="104"/>
      <c r="O472" s="106"/>
      <c r="Q472" s="50"/>
      <c r="R472" s="58"/>
      <c r="S472" s="165" t="s">
        <v>28</v>
      </c>
      <c r="T472" s="146" t="s">
        <v>35</v>
      </c>
      <c r="U472" s="35">
        <f ca="1">OFFSET(①簡易状況入力!$C$5,MATCH(A470,①簡易状況入力!$C$5:$C$104,0)-1,2)</f>
        <v>0</v>
      </c>
      <c r="V472" s="58"/>
      <c r="W472" s="146" t="s">
        <v>33</v>
      </c>
      <c r="X472" s="37">
        <f ca="1">OFFSET(①簡易状況入力!$C$5,MATCH(A470,①簡易状況入力!$C$5:$C$104,0)-1,6)</f>
        <v>0</v>
      </c>
      <c r="Y472" s="149">
        <f ca="1">OFFSET(①簡易状況入力!$C$5,MATCH(A470,①簡易状況入力!$C$5:$C$104,0)-1,11)</f>
        <v>0</v>
      </c>
      <c r="Z472" s="167">
        <f ca="1">OFFSET(①簡易状況入力!$C$5,MATCH(A470,①簡易状況入力!$C$5:$C$104,0)-1,12)</f>
        <v>0</v>
      </c>
      <c r="AA472" s="168"/>
      <c r="AB472" s="148" t="s">
        <v>50</v>
      </c>
      <c r="AC472" s="56">
        <f t="shared" ref="AC472:AD472" ca="1" si="1675">AC471</f>
        <v>0</v>
      </c>
      <c r="AD472" s="56">
        <f t="shared" ca="1" si="1675"/>
        <v>0</v>
      </c>
      <c r="AE472" s="63">
        <f ca="1">IF($C472="あり",IF(AC472&gt;=1,G472/AQ472,0),IF(AC472&gt;=1,AO472*AC472,0))</f>
        <v>0</v>
      </c>
      <c r="AF472" s="63">
        <f t="shared" ca="1" si="1668"/>
        <v>0</v>
      </c>
      <c r="AG472" s="63">
        <f t="shared" ca="1" si="1669"/>
        <v>0</v>
      </c>
      <c r="AH472" s="63">
        <f t="shared" ca="1" si="1670"/>
        <v>0</v>
      </c>
      <c r="AI472" s="63">
        <f t="shared" ca="1" si="1671"/>
        <v>0</v>
      </c>
      <c r="AJ472" s="63">
        <f t="shared" ca="1" si="1672"/>
        <v>0</v>
      </c>
      <c r="AK472" s="63">
        <f t="shared" ca="1" si="1673"/>
        <v>0</v>
      </c>
      <c r="AL472" s="63">
        <f ca="1">IF($C472="あり",IF($AD472&gt;=7,N472/$AQ472,0),IF($AD472&gt;=7,$AO472*($AD472-6),0))</f>
        <v>0</v>
      </c>
      <c r="AM472" s="65">
        <f ca="1">IF(C472="あり",O472/AQ472,AP472)</f>
        <v>0</v>
      </c>
      <c r="AN472" s="63">
        <f ca="1">SUM(AE472:AM472)</f>
        <v>0</v>
      </c>
      <c r="AO472" s="68" t="e">
        <f ca="1">1/(AC472+AD472)</f>
        <v>#DIV/0!</v>
      </c>
      <c r="AP472" s="67">
        <v>0</v>
      </c>
      <c r="AQ472" s="68">
        <f ca="1">IF(AC472&gt;=1,G472,0)+SUMIF($H$4:$M$4,"&lt;="&amp;AD472,$H472:$M472)+IF(AD472&gt;=7,N472,0)+O472</f>
        <v>0</v>
      </c>
    </row>
    <row r="473" spans="1:43" x14ac:dyDescent="0.15">
      <c r="A473" s="50"/>
      <c r="B473" s="50"/>
      <c r="C473" s="145">
        <f ca="1">OFFSET(①簡易状況入力!$C$5,MATCH(A470,①簡易状況入力!$C$5:$C$104,0)-1,20)</f>
        <v>0</v>
      </c>
      <c r="D473" s="148" t="s">
        <v>51</v>
      </c>
      <c r="E473" s="56">
        <f t="shared" ref="E473:F473" ca="1" si="1676">E472</f>
        <v>0</v>
      </c>
      <c r="F473" s="56">
        <f t="shared" ca="1" si="1676"/>
        <v>0</v>
      </c>
      <c r="G473" s="104"/>
      <c r="H473" s="104"/>
      <c r="I473" s="104"/>
      <c r="J473" s="104"/>
      <c r="K473" s="104"/>
      <c r="L473" s="104"/>
      <c r="M473" s="104"/>
      <c r="N473" s="104"/>
      <c r="O473" s="106"/>
      <c r="Q473" s="50"/>
      <c r="R473" s="58"/>
      <c r="S473" s="166"/>
      <c r="T473" s="146" t="s">
        <v>34</v>
      </c>
      <c r="U473" s="35">
        <f ca="1">OFFSET(①簡易状況入力!$C$5,MATCH(A470,①簡易状況入力!$C$5:$C$104,0)-1,3)</f>
        <v>0</v>
      </c>
      <c r="V473" s="58"/>
      <c r="W473" s="146" t="s">
        <v>118</v>
      </c>
      <c r="X473" s="37">
        <f ca="1">OFFSET(①簡易状況入力!$C$5,MATCH(A470,①簡易状況入力!$C$5:$C$104,0)-1,7)</f>
        <v>0</v>
      </c>
      <c r="Y473" s="149">
        <f ca="1">OFFSET(①簡易状況入力!$C$5,MATCH(A470,①簡易状況入力!$C$5:$C$104,0)-1,13)</f>
        <v>0</v>
      </c>
      <c r="Z473" s="167">
        <f ca="1">OFFSET(①簡易状況入力!$C$5,MATCH(A470,①簡易状況入力!$C$5:$C$104,0)-1,14)</f>
        <v>0</v>
      </c>
      <c r="AA473" s="168"/>
      <c r="AB473" s="148" t="s">
        <v>51</v>
      </c>
      <c r="AC473" s="56">
        <f t="shared" ref="AC473:AD473" ca="1" si="1677">AC472</f>
        <v>0</v>
      </c>
      <c r="AD473" s="56">
        <f t="shared" ca="1" si="1677"/>
        <v>0</v>
      </c>
      <c r="AE473" s="63">
        <f ca="1">IF($C473="あり",IF(AC473&gt;=1,G473/AQ473,0),IF(AC473&gt;=1,AO473*AC473,0))</f>
        <v>0</v>
      </c>
      <c r="AF473" s="63">
        <f t="shared" ca="1" si="1668"/>
        <v>0</v>
      </c>
      <c r="AG473" s="63">
        <f t="shared" ca="1" si="1669"/>
        <v>0</v>
      </c>
      <c r="AH473" s="63">
        <f t="shared" ca="1" si="1670"/>
        <v>0</v>
      </c>
      <c r="AI473" s="63">
        <f t="shared" ca="1" si="1671"/>
        <v>0</v>
      </c>
      <c r="AJ473" s="63">
        <f t="shared" ca="1" si="1672"/>
        <v>0</v>
      </c>
      <c r="AK473" s="63">
        <f t="shared" ca="1" si="1673"/>
        <v>0</v>
      </c>
      <c r="AL473" s="63">
        <f ca="1">IF($C473="あり",IF($AD473&gt;=7,N473/$AQ473,0),IF($AD473&gt;=7,$AO473*($AD473-6),0))</f>
        <v>0</v>
      </c>
      <c r="AM473" s="65">
        <f ca="1">IF(C473="あり",O473/AQ473,AP473)</f>
        <v>0</v>
      </c>
      <c r="AN473" s="63">
        <f ca="1">SUM(AE473:AM473)</f>
        <v>0</v>
      </c>
      <c r="AO473" s="68" t="e">
        <f ca="1">1/(AC473+AD473)</f>
        <v>#DIV/0!</v>
      </c>
      <c r="AP473" s="67">
        <v>0</v>
      </c>
      <c r="AQ473" s="68">
        <f ca="1">IF(AC473&gt;=1,G473,0)+SUMIF($H$4:$M$4,"&lt;="&amp;AD473,$H473:$M473)+IF(AD473&gt;=7,N473,0)+O473</f>
        <v>0</v>
      </c>
    </row>
    <row r="474" spans="1:43" x14ac:dyDescent="0.15">
      <c r="G474" s="107"/>
      <c r="H474" s="107"/>
      <c r="I474" s="107"/>
      <c r="J474" s="107"/>
      <c r="K474" s="107"/>
      <c r="L474" s="107"/>
      <c r="M474" s="107"/>
      <c r="N474" s="107"/>
      <c r="O474" s="107"/>
    </row>
    <row r="475" spans="1:43" x14ac:dyDescent="0.15">
      <c r="A475" s="59" t="s">
        <v>410</v>
      </c>
      <c r="B475" s="60">
        <f ca="1">OFFSET(①簡易状況入力!$C$5,MATCH(A475,①簡易状況入力!$C$5:$C$104,0)-1,1)</f>
        <v>0</v>
      </c>
      <c r="C475" s="145">
        <f ca="1">OFFSET(①簡易状況入力!$C$5,MATCH(A475,①簡易状況入力!$C$5:$C$104,0)-1,17)</f>
        <v>0</v>
      </c>
      <c r="D475" s="148" t="s">
        <v>47</v>
      </c>
      <c r="E475" s="56">
        <f ca="1">U478</f>
        <v>0</v>
      </c>
      <c r="F475" s="56">
        <f ca="1">U477</f>
        <v>0</v>
      </c>
      <c r="G475" s="102"/>
      <c r="H475" s="103"/>
      <c r="I475" s="103"/>
      <c r="J475" s="103"/>
      <c r="K475" s="103"/>
      <c r="L475" s="103"/>
      <c r="M475" s="103"/>
      <c r="N475" s="103"/>
      <c r="O475" s="103"/>
      <c r="Q475" s="57">
        <f ca="1">OFFSET(①簡易状況入力!$C$5,MATCH(A475,①簡易状況入力!$C$5:$C$104,0)-1,15)</f>
        <v>0</v>
      </c>
      <c r="R475" s="58"/>
      <c r="S475" s="58"/>
      <c r="T475" s="58"/>
      <c r="U475" s="58"/>
      <c r="V475" s="58"/>
      <c r="W475" s="58"/>
      <c r="X475" s="58"/>
      <c r="Y475" s="58"/>
      <c r="Z475" s="58"/>
      <c r="AA475" s="58"/>
      <c r="AB475" s="148" t="s">
        <v>47</v>
      </c>
      <c r="AC475" s="56">
        <f ca="1">U478</f>
        <v>0</v>
      </c>
      <c r="AD475" s="56">
        <f ca="1">U477</f>
        <v>0</v>
      </c>
      <c r="AE475" s="62" t="s">
        <v>46</v>
      </c>
      <c r="AF475" s="62" t="str">
        <f t="shared" ref="AF475" ca="1" si="1678">IF($C475="あり",IF(AF$4&lt;=$AD475,H475,"-"),IF(AF$4&lt;=$AD475,$AO475,"-"))</f>
        <v>-</v>
      </c>
      <c r="AG475" s="62" t="str">
        <f t="shared" ref="AG475" ca="1" si="1679">IF($C475="あり",IF(AG$4&lt;=$AD475,I475,"-"),IF(AG$4&lt;=$AD475,$AO475,"-"))</f>
        <v>-</v>
      </c>
      <c r="AH475" s="62" t="str">
        <f t="shared" ref="AH475" ca="1" si="1680">IF($C475="あり",IF(AH$4&lt;=$AD475,J475,"-"),IF(AH$4&lt;=$AD475,$AO475,"-"))</f>
        <v>-</v>
      </c>
      <c r="AI475" s="62" t="str">
        <f t="shared" ref="AI475" ca="1" si="1681">IF($C475="あり",IF(AI$4&lt;=$AD475,K475,"-"),IF(AI$4&lt;=$AD475,$AO475,"-"))</f>
        <v>-</v>
      </c>
      <c r="AJ475" s="62" t="str">
        <f t="shared" ref="AJ475" ca="1" si="1682">IF($C475="あり",IF(AJ$4&lt;=$AD475,L475,"-"),IF(AJ$4&lt;=$AD475,$AO475,"-"))</f>
        <v>-</v>
      </c>
      <c r="AK475" s="62" t="str">
        <f t="shared" ref="AK475" ca="1" si="1683">IF($C475="あり",IF(AK$4&lt;=$AD475,M475,"-"),IF(AK$4&lt;=$AD475,$AO475,"-"))</f>
        <v>-</v>
      </c>
      <c r="AL475" s="62" t="str">
        <f ca="1">IF($C475="あり",IF(7&lt;=$AD475,N475,"-"),IF(7&lt;=$AD475,$AO475*($AD475-6),"-"))</f>
        <v>-</v>
      </c>
      <c r="AM475" s="62">
        <f ca="1">IF(C475="あり",O475,AP475)</f>
        <v>0</v>
      </c>
      <c r="AN475" s="62">
        <f ca="1">SUM(U476,AF475:AM475)</f>
        <v>0</v>
      </c>
      <c r="AO475" s="42">
        <f ca="1">OFFSET(【DB】被害率係数!$A$4,MATCH(②詳細状況入力!$Y476,【DB】被害率係数!$A$4:$A$19,0)-1,16)</f>
        <v>0</v>
      </c>
      <c r="AP475" s="42">
        <f ca="1">OFFSET(【DB】被害率係数!$A$4,MATCH(②詳細状況入力!$Y476,【DB】被害率係数!$A$4:$A$19,0)-1,17)</f>
        <v>0</v>
      </c>
      <c r="AQ475" s="42"/>
    </row>
    <row r="476" spans="1:43" x14ac:dyDescent="0.15">
      <c r="A476" s="50"/>
      <c r="B476" s="50"/>
      <c r="C476" s="145">
        <f ca="1">OFFSET(①簡易状況入力!$C$5,MATCH(A475,①簡易状況入力!$C$5:$C$104,0)-1,18)</f>
        <v>0</v>
      </c>
      <c r="D476" s="148" t="s">
        <v>52</v>
      </c>
      <c r="E476" s="56">
        <f t="shared" ref="E476:F476" ca="1" si="1684">E475</f>
        <v>0</v>
      </c>
      <c r="F476" s="56">
        <f t="shared" ca="1" si="1684"/>
        <v>0</v>
      </c>
      <c r="G476" s="104"/>
      <c r="H476" s="104"/>
      <c r="I476" s="104"/>
      <c r="J476" s="104"/>
      <c r="K476" s="104"/>
      <c r="L476" s="104"/>
      <c r="M476" s="104"/>
      <c r="N476" s="104"/>
      <c r="O476" s="105"/>
      <c r="Q476" s="57">
        <f ca="1">OFFSET(①簡易状況入力!$C$5,MATCH(A475,①簡易状況入力!$C$5:$C$104,0)-1,16)</f>
        <v>0</v>
      </c>
      <c r="R476" s="58"/>
      <c r="S476" s="146" t="s">
        <v>115</v>
      </c>
      <c r="T476" s="146" t="s">
        <v>116</v>
      </c>
      <c r="U476" s="36">
        <f ca="1">OFFSET(①簡易状況入力!$C$5,MATCH(A475,①簡易状況入力!$C$5:$C$104,0)-1,4)</f>
        <v>0</v>
      </c>
      <c r="V476" s="58"/>
      <c r="W476" s="146" t="s">
        <v>30</v>
      </c>
      <c r="X476" s="37">
        <f ca="1">OFFSET(①簡易状況入力!$C$5,MATCH(A475,①簡易状況入力!$C$5:$C$104,0)-1,5)</f>
        <v>0</v>
      </c>
      <c r="Y476" s="149">
        <f ca="1">OFFSET(①簡易状況入力!$C$5,MATCH(A475,①簡易状況入力!$C$5:$C$104,0)-1,8)</f>
        <v>0</v>
      </c>
      <c r="Z476" s="149">
        <f ca="1">OFFSET(①簡易状況入力!$C$5,MATCH(A475,①簡易状況入力!$C$5:$C$104,0)-1,9)</f>
        <v>0</v>
      </c>
      <c r="AA476" s="149">
        <f ca="1">OFFSET(①簡易状況入力!$C$5,MATCH(A475,①簡易状況入力!$C$5:$C$104,0)-1,10)</f>
        <v>0</v>
      </c>
      <c r="AB476" s="148" t="s">
        <v>52</v>
      </c>
      <c r="AC476" s="56">
        <f t="shared" ref="AC476:AD476" ca="1" si="1685">AC475</f>
        <v>0</v>
      </c>
      <c r="AD476" s="56">
        <f t="shared" ca="1" si="1685"/>
        <v>0</v>
      </c>
      <c r="AE476" s="63">
        <f ca="1">IF($C476="あり",IF(AC476&gt;=1,G476/AQ476,0),IF(AC476&gt;=1,AO476*AC476,0))</f>
        <v>0</v>
      </c>
      <c r="AF476" s="63">
        <f t="shared" ref="AF476:AF478" ca="1" si="1686">IF($C476="あり",IF($AD476&gt;=AF$4,H476/$AQ476,0),IF($AD476&gt;=AF$4,$AO476,0))</f>
        <v>0</v>
      </c>
      <c r="AG476" s="63">
        <f t="shared" ref="AG476:AG478" ca="1" si="1687">IF($C476="あり",IF($AD476&gt;=AG$4,I476/$AQ476,0),IF($AD476&gt;=AG$4,$AO476,0))</f>
        <v>0</v>
      </c>
      <c r="AH476" s="63">
        <f t="shared" ref="AH476:AH478" ca="1" si="1688">IF($C476="あり",IF($AD476&gt;=AH$4,J476/$AQ476,0),IF($AD476&gt;=AH$4,$AO476,0))</f>
        <v>0</v>
      </c>
      <c r="AI476" s="63">
        <f t="shared" ref="AI476:AI478" ca="1" si="1689">IF($C476="あり",IF($AD476&gt;=AI$4,K476/$AQ476,0),IF($AD476&gt;=AI$4,$AO476,0))</f>
        <v>0</v>
      </c>
      <c r="AJ476" s="63">
        <f t="shared" ref="AJ476:AJ478" ca="1" si="1690">IF($C476="あり",IF($AD476&gt;=AJ$4,L476/$AQ476,0),IF($AD476&gt;=AJ$4,$AO476,0))</f>
        <v>0</v>
      </c>
      <c r="AK476" s="63">
        <f t="shared" ref="AK476:AK478" ca="1" si="1691">IF($C476="あり",IF($AD476&gt;=AK$4,M476/$AQ476,0),IF($AD476&gt;=AK$4,$AO476,0))</f>
        <v>0</v>
      </c>
      <c r="AL476" s="63">
        <f ca="1">IF($C476="あり",IF($AD476&gt;=7,N476/$AQ476,0),IF($AD476&gt;=7,$AO476*($AD476-6),0))</f>
        <v>0</v>
      </c>
      <c r="AM476" s="64" t="s">
        <v>46</v>
      </c>
      <c r="AN476" s="63">
        <f ca="1">SUM(AE476:AM476)</f>
        <v>0</v>
      </c>
      <c r="AO476" s="68" t="e">
        <f ca="1">1/(AC476+AD476)</f>
        <v>#DIV/0!</v>
      </c>
      <c r="AP476" s="67">
        <v>0</v>
      </c>
      <c r="AQ476" s="68">
        <f ca="1">IF(AC476&gt;=1,G476,0)+SUMIF($H$4:$M$4,"&lt;="&amp;AD476,$H476:$M476)+IF(AD476&gt;=7,N476,0)</f>
        <v>0</v>
      </c>
    </row>
    <row r="477" spans="1:43" x14ac:dyDescent="0.15">
      <c r="A477" s="50"/>
      <c r="B477" s="50"/>
      <c r="C477" s="145">
        <f ca="1">OFFSET(①簡易状況入力!$C$5,MATCH(A475,①簡易状況入力!$C$5:$C$104,0)-1,19)</f>
        <v>0</v>
      </c>
      <c r="D477" s="148" t="s">
        <v>50</v>
      </c>
      <c r="E477" s="56">
        <f t="shared" ref="E477" ca="1" si="1692">E476</f>
        <v>0</v>
      </c>
      <c r="F477" s="56">
        <f ca="1">F476</f>
        <v>0</v>
      </c>
      <c r="G477" s="104"/>
      <c r="H477" s="104"/>
      <c r="I477" s="104"/>
      <c r="J477" s="104"/>
      <c r="K477" s="104"/>
      <c r="L477" s="104"/>
      <c r="M477" s="104"/>
      <c r="N477" s="104"/>
      <c r="O477" s="106"/>
      <c r="Q477" s="50"/>
      <c r="R477" s="58"/>
      <c r="S477" s="165" t="s">
        <v>28</v>
      </c>
      <c r="T477" s="146" t="s">
        <v>35</v>
      </c>
      <c r="U477" s="35">
        <f ca="1">OFFSET(①簡易状況入力!$C$5,MATCH(A475,①簡易状況入力!$C$5:$C$104,0)-1,2)</f>
        <v>0</v>
      </c>
      <c r="V477" s="58"/>
      <c r="W477" s="146" t="s">
        <v>33</v>
      </c>
      <c r="X477" s="37">
        <f ca="1">OFFSET(①簡易状況入力!$C$5,MATCH(A475,①簡易状況入力!$C$5:$C$104,0)-1,6)</f>
        <v>0</v>
      </c>
      <c r="Y477" s="149">
        <f ca="1">OFFSET(①簡易状況入力!$C$5,MATCH(A475,①簡易状況入力!$C$5:$C$104,0)-1,11)</f>
        <v>0</v>
      </c>
      <c r="Z477" s="167">
        <f ca="1">OFFSET(①簡易状況入力!$C$5,MATCH(A475,①簡易状況入力!$C$5:$C$104,0)-1,12)</f>
        <v>0</v>
      </c>
      <c r="AA477" s="168"/>
      <c r="AB477" s="148" t="s">
        <v>50</v>
      </c>
      <c r="AC477" s="56">
        <f t="shared" ref="AC477:AD477" ca="1" si="1693">AC476</f>
        <v>0</v>
      </c>
      <c r="AD477" s="56">
        <f t="shared" ca="1" si="1693"/>
        <v>0</v>
      </c>
      <c r="AE477" s="63">
        <f ca="1">IF($C477="あり",IF(AC477&gt;=1,G477/AQ477,0),IF(AC477&gt;=1,AO477*AC477,0))</f>
        <v>0</v>
      </c>
      <c r="AF477" s="63">
        <f t="shared" ca="1" si="1686"/>
        <v>0</v>
      </c>
      <c r="AG477" s="63">
        <f t="shared" ca="1" si="1687"/>
        <v>0</v>
      </c>
      <c r="AH477" s="63">
        <f t="shared" ca="1" si="1688"/>
        <v>0</v>
      </c>
      <c r="AI477" s="63">
        <f t="shared" ca="1" si="1689"/>
        <v>0</v>
      </c>
      <c r="AJ477" s="63">
        <f t="shared" ca="1" si="1690"/>
        <v>0</v>
      </c>
      <c r="AK477" s="63">
        <f t="shared" ca="1" si="1691"/>
        <v>0</v>
      </c>
      <c r="AL477" s="63">
        <f ca="1">IF($C477="あり",IF($AD477&gt;=7,N477/$AQ477,0),IF($AD477&gt;=7,$AO477*($AD477-6),0))</f>
        <v>0</v>
      </c>
      <c r="AM477" s="65">
        <f ca="1">IF(C477="あり",O477/AQ477,AP477)</f>
        <v>0</v>
      </c>
      <c r="AN477" s="63">
        <f ca="1">SUM(AE477:AM477)</f>
        <v>0</v>
      </c>
      <c r="AO477" s="68" t="e">
        <f ca="1">1/(AC477+AD477)</f>
        <v>#DIV/0!</v>
      </c>
      <c r="AP477" s="67">
        <v>0</v>
      </c>
      <c r="AQ477" s="68">
        <f ca="1">IF(AC477&gt;=1,G477,0)+SUMIF($H$4:$M$4,"&lt;="&amp;AD477,$H477:$M477)+IF(AD477&gt;=7,N477,0)+O477</f>
        <v>0</v>
      </c>
    </row>
    <row r="478" spans="1:43" x14ac:dyDescent="0.15">
      <c r="A478" s="50"/>
      <c r="B478" s="50"/>
      <c r="C478" s="145">
        <f ca="1">OFFSET(①簡易状況入力!$C$5,MATCH(A475,①簡易状況入力!$C$5:$C$104,0)-1,20)</f>
        <v>0</v>
      </c>
      <c r="D478" s="148" t="s">
        <v>51</v>
      </c>
      <c r="E478" s="56">
        <f t="shared" ref="E478:F478" ca="1" si="1694">E477</f>
        <v>0</v>
      </c>
      <c r="F478" s="56">
        <f t="shared" ca="1" si="1694"/>
        <v>0</v>
      </c>
      <c r="G478" s="104"/>
      <c r="H478" s="104"/>
      <c r="I478" s="104"/>
      <c r="J478" s="104"/>
      <c r="K478" s="104"/>
      <c r="L478" s="104"/>
      <c r="M478" s="104"/>
      <c r="N478" s="104"/>
      <c r="O478" s="106"/>
      <c r="Q478" s="50"/>
      <c r="R478" s="58"/>
      <c r="S478" s="166"/>
      <c r="T478" s="146" t="s">
        <v>34</v>
      </c>
      <c r="U478" s="35">
        <f ca="1">OFFSET(①簡易状況入力!$C$5,MATCH(A475,①簡易状況入力!$C$5:$C$104,0)-1,3)</f>
        <v>0</v>
      </c>
      <c r="V478" s="58"/>
      <c r="W478" s="146" t="s">
        <v>118</v>
      </c>
      <c r="X478" s="37">
        <f ca="1">OFFSET(①簡易状況入力!$C$5,MATCH(A475,①簡易状況入力!$C$5:$C$104,0)-1,7)</f>
        <v>0</v>
      </c>
      <c r="Y478" s="149">
        <f ca="1">OFFSET(①簡易状況入力!$C$5,MATCH(A475,①簡易状況入力!$C$5:$C$104,0)-1,13)</f>
        <v>0</v>
      </c>
      <c r="Z478" s="167">
        <f ca="1">OFFSET(①簡易状況入力!$C$5,MATCH(A475,①簡易状況入力!$C$5:$C$104,0)-1,14)</f>
        <v>0</v>
      </c>
      <c r="AA478" s="168"/>
      <c r="AB478" s="148" t="s">
        <v>51</v>
      </c>
      <c r="AC478" s="56">
        <f t="shared" ref="AC478:AD478" ca="1" si="1695">AC477</f>
        <v>0</v>
      </c>
      <c r="AD478" s="56">
        <f t="shared" ca="1" si="1695"/>
        <v>0</v>
      </c>
      <c r="AE478" s="63">
        <f ca="1">IF($C478="あり",IF(AC478&gt;=1,G478/AQ478,0),IF(AC478&gt;=1,AO478*AC478,0))</f>
        <v>0</v>
      </c>
      <c r="AF478" s="63">
        <f t="shared" ca="1" si="1686"/>
        <v>0</v>
      </c>
      <c r="AG478" s="63">
        <f t="shared" ca="1" si="1687"/>
        <v>0</v>
      </c>
      <c r="AH478" s="63">
        <f t="shared" ca="1" si="1688"/>
        <v>0</v>
      </c>
      <c r="AI478" s="63">
        <f t="shared" ca="1" si="1689"/>
        <v>0</v>
      </c>
      <c r="AJ478" s="63">
        <f t="shared" ca="1" si="1690"/>
        <v>0</v>
      </c>
      <c r="AK478" s="63">
        <f t="shared" ca="1" si="1691"/>
        <v>0</v>
      </c>
      <c r="AL478" s="63">
        <f ca="1">IF($C478="あり",IF($AD478&gt;=7,N478/$AQ478,0),IF($AD478&gt;=7,$AO478*($AD478-6),0))</f>
        <v>0</v>
      </c>
      <c r="AM478" s="65">
        <f ca="1">IF(C478="あり",O478/AQ478,AP478)</f>
        <v>0</v>
      </c>
      <c r="AN478" s="63">
        <f ca="1">SUM(AE478:AM478)</f>
        <v>0</v>
      </c>
      <c r="AO478" s="68" t="e">
        <f ca="1">1/(AC478+AD478)</f>
        <v>#DIV/0!</v>
      </c>
      <c r="AP478" s="67">
        <v>0</v>
      </c>
      <c r="AQ478" s="68">
        <f ca="1">IF(AC478&gt;=1,G478,0)+SUMIF($H$4:$M$4,"&lt;="&amp;AD478,$H478:$M478)+IF(AD478&gt;=7,N478,0)+O478</f>
        <v>0</v>
      </c>
    </row>
    <row r="479" spans="1:43" x14ac:dyDescent="0.15">
      <c r="G479" s="107"/>
      <c r="H479" s="107"/>
      <c r="I479" s="107"/>
      <c r="J479" s="107"/>
      <c r="K479" s="107"/>
      <c r="L479" s="107"/>
      <c r="M479" s="107"/>
      <c r="N479" s="107"/>
      <c r="O479" s="107"/>
    </row>
    <row r="480" spans="1:43" x14ac:dyDescent="0.15">
      <c r="A480" s="59" t="s">
        <v>411</v>
      </c>
      <c r="B480" s="60">
        <f ca="1">OFFSET(①簡易状況入力!$C$5,MATCH(A480,①簡易状況入力!$C$5:$C$104,0)-1,1)</f>
        <v>0</v>
      </c>
      <c r="C480" s="145">
        <f ca="1">OFFSET(①簡易状況入力!$C$5,MATCH(A480,①簡易状況入力!$C$5:$C$104,0)-1,17)</f>
        <v>0</v>
      </c>
      <c r="D480" s="148" t="s">
        <v>47</v>
      </c>
      <c r="E480" s="56">
        <f ca="1">U483</f>
        <v>0</v>
      </c>
      <c r="F480" s="56">
        <f ca="1">U482</f>
        <v>0</v>
      </c>
      <c r="G480" s="102"/>
      <c r="H480" s="103"/>
      <c r="I480" s="103"/>
      <c r="J480" s="103"/>
      <c r="K480" s="103"/>
      <c r="L480" s="103"/>
      <c r="M480" s="103"/>
      <c r="N480" s="103"/>
      <c r="O480" s="103"/>
      <c r="Q480" s="57">
        <f ca="1">OFFSET(①簡易状況入力!$C$5,MATCH(A480,①簡易状況入力!$C$5:$C$104,0)-1,15)</f>
        <v>0</v>
      </c>
      <c r="R480" s="58"/>
      <c r="S480" s="58"/>
      <c r="T480" s="58"/>
      <c r="U480" s="58"/>
      <c r="V480" s="58"/>
      <c r="W480" s="58"/>
      <c r="X480" s="58"/>
      <c r="Y480" s="58"/>
      <c r="Z480" s="58"/>
      <c r="AA480" s="58"/>
      <c r="AB480" s="148" t="s">
        <v>47</v>
      </c>
      <c r="AC480" s="56">
        <f ca="1">U483</f>
        <v>0</v>
      </c>
      <c r="AD480" s="56">
        <f ca="1">U482</f>
        <v>0</v>
      </c>
      <c r="AE480" s="62" t="s">
        <v>46</v>
      </c>
      <c r="AF480" s="62" t="str">
        <f t="shared" ref="AF480" ca="1" si="1696">IF($C480="あり",IF(AF$4&lt;=$AD480,H480,"-"),IF(AF$4&lt;=$AD480,$AO480,"-"))</f>
        <v>-</v>
      </c>
      <c r="AG480" s="62" t="str">
        <f t="shared" ref="AG480" ca="1" si="1697">IF($C480="あり",IF(AG$4&lt;=$AD480,I480,"-"),IF(AG$4&lt;=$AD480,$AO480,"-"))</f>
        <v>-</v>
      </c>
      <c r="AH480" s="62" t="str">
        <f t="shared" ref="AH480" ca="1" si="1698">IF($C480="あり",IF(AH$4&lt;=$AD480,J480,"-"),IF(AH$4&lt;=$AD480,$AO480,"-"))</f>
        <v>-</v>
      </c>
      <c r="AI480" s="62" t="str">
        <f t="shared" ref="AI480" ca="1" si="1699">IF($C480="あり",IF(AI$4&lt;=$AD480,K480,"-"),IF(AI$4&lt;=$AD480,$AO480,"-"))</f>
        <v>-</v>
      </c>
      <c r="AJ480" s="62" t="str">
        <f t="shared" ref="AJ480" ca="1" si="1700">IF($C480="あり",IF(AJ$4&lt;=$AD480,L480,"-"),IF(AJ$4&lt;=$AD480,$AO480,"-"))</f>
        <v>-</v>
      </c>
      <c r="AK480" s="62" t="str">
        <f t="shared" ref="AK480" ca="1" si="1701">IF($C480="あり",IF(AK$4&lt;=$AD480,M480,"-"),IF(AK$4&lt;=$AD480,$AO480,"-"))</f>
        <v>-</v>
      </c>
      <c r="AL480" s="62" t="str">
        <f ca="1">IF($C480="あり",IF(7&lt;=$AD480,N480,"-"),IF(7&lt;=$AD480,$AO480*($AD480-6),"-"))</f>
        <v>-</v>
      </c>
      <c r="AM480" s="62">
        <f ca="1">IF(C480="あり",O480,AP480)</f>
        <v>0</v>
      </c>
      <c r="AN480" s="62">
        <f ca="1">SUM(U481,AF480:AM480)</f>
        <v>0</v>
      </c>
      <c r="AO480" s="42">
        <f ca="1">OFFSET(【DB】被害率係数!$A$4,MATCH(②詳細状況入力!$Y481,【DB】被害率係数!$A$4:$A$19,0)-1,16)</f>
        <v>0</v>
      </c>
      <c r="AP480" s="42">
        <f ca="1">OFFSET(【DB】被害率係数!$A$4,MATCH(②詳細状況入力!$Y481,【DB】被害率係数!$A$4:$A$19,0)-1,17)</f>
        <v>0</v>
      </c>
      <c r="AQ480" s="42"/>
    </row>
    <row r="481" spans="1:43" x14ac:dyDescent="0.15">
      <c r="A481" s="50"/>
      <c r="B481" s="50"/>
      <c r="C481" s="145">
        <f ca="1">OFFSET(①簡易状況入力!$C$5,MATCH(A480,①簡易状況入力!$C$5:$C$104,0)-1,18)</f>
        <v>0</v>
      </c>
      <c r="D481" s="148" t="s">
        <v>52</v>
      </c>
      <c r="E481" s="56">
        <f t="shared" ref="E481:F481" ca="1" si="1702">E480</f>
        <v>0</v>
      </c>
      <c r="F481" s="56">
        <f t="shared" ca="1" si="1702"/>
        <v>0</v>
      </c>
      <c r="G481" s="104"/>
      <c r="H481" s="104"/>
      <c r="I481" s="104"/>
      <c r="J481" s="104"/>
      <c r="K481" s="104"/>
      <c r="L481" s="104"/>
      <c r="M481" s="104"/>
      <c r="N481" s="104"/>
      <c r="O481" s="105"/>
      <c r="Q481" s="57">
        <f ca="1">OFFSET(①簡易状況入力!$C$5,MATCH(A480,①簡易状況入力!$C$5:$C$104,0)-1,16)</f>
        <v>0</v>
      </c>
      <c r="R481" s="58"/>
      <c r="S481" s="146" t="s">
        <v>115</v>
      </c>
      <c r="T481" s="146" t="s">
        <v>116</v>
      </c>
      <c r="U481" s="36">
        <f ca="1">OFFSET(①簡易状況入力!$C$5,MATCH(A480,①簡易状況入力!$C$5:$C$104,0)-1,4)</f>
        <v>0</v>
      </c>
      <c r="V481" s="58"/>
      <c r="W481" s="146" t="s">
        <v>30</v>
      </c>
      <c r="X481" s="37">
        <f ca="1">OFFSET(①簡易状況入力!$C$5,MATCH(A480,①簡易状況入力!$C$5:$C$104,0)-1,5)</f>
        <v>0</v>
      </c>
      <c r="Y481" s="149">
        <f ca="1">OFFSET(①簡易状況入力!$C$5,MATCH(A480,①簡易状況入力!$C$5:$C$104,0)-1,8)</f>
        <v>0</v>
      </c>
      <c r="Z481" s="149">
        <f ca="1">OFFSET(①簡易状況入力!$C$5,MATCH(A480,①簡易状況入力!$C$5:$C$104,0)-1,9)</f>
        <v>0</v>
      </c>
      <c r="AA481" s="149">
        <f ca="1">OFFSET(①簡易状況入力!$C$5,MATCH(A480,①簡易状況入力!$C$5:$C$104,0)-1,10)</f>
        <v>0</v>
      </c>
      <c r="AB481" s="148" t="s">
        <v>52</v>
      </c>
      <c r="AC481" s="56">
        <f t="shared" ref="AC481:AD481" ca="1" si="1703">AC480</f>
        <v>0</v>
      </c>
      <c r="AD481" s="56">
        <f t="shared" ca="1" si="1703"/>
        <v>0</v>
      </c>
      <c r="AE481" s="63">
        <f ca="1">IF($C481="あり",IF(AC481&gt;=1,G481/AQ481,0),IF(AC481&gt;=1,AO481*AC481,0))</f>
        <v>0</v>
      </c>
      <c r="AF481" s="63">
        <f t="shared" ref="AF481:AF483" ca="1" si="1704">IF($C481="あり",IF($AD481&gt;=AF$4,H481/$AQ481,0),IF($AD481&gt;=AF$4,$AO481,0))</f>
        <v>0</v>
      </c>
      <c r="AG481" s="63">
        <f t="shared" ref="AG481:AG483" ca="1" si="1705">IF($C481="あり",IF($AD481&gt;=AG$4,I481/$AQ481,0),IF($AD481&gt;=AG$4,$AO481,0))</f>
        <v>0</v>
      </c>
      <c r="AH481" s="63">
        <f t="shared" ref="AH481:AH483" ca="1" si="1706">IF($C481="あり",IF($AD481&gt;=AH$4,J481/$AQ481,0),IF($AD481&gt;=AH$4,$AO481,0))</f>
        <v>0</v>
      </c>
      <c r="AI481" s="63">
        <f t="shared" ref="AI481:AI483" ca="1" si="1707">IF($C481="あり",IF($AD481&gt;=AI$4,K481/$AQ481,0),IF($AD481&gt;=AI$4,$AO481,0))</f>
        <v>0</v>
      </c>
      <c r="AJ481" s="63">
        <f t="shared" ref="AJ481:AJ483" ca="1" si="1708">IF($C481="あり",IF($AD481&gt;=AJ$4,L481/$AQ481,0),IF($AD481&gt;=AJ$4,$AO481,0))</f>
        <v>0</v>
      </c>
      <c r="AK481" s="63">
        <f t="shared" ref="AK481:AK483" ca="1" si="1709">IF($C481="あり",IF($AD481&gt;=AK$4,M481/$AQ481,0),IF($AD481&gt;=AK$4,$AO481,0))</f>
        <v>0</v>
      </c>
      <c r="AL481" s="63">
        <f ca="1">IF($C481="あり",IF($AD481&gt;=7,N481/$AQ481,0),IF($AD481&gt;=7,$AO481*($AD481-6),0))</f>
        <v>0</v>
      </c>
      <c r="AM481" s="64" t="s">
        <v>46</v>
      </c>
      <c r="AN481" s="63">
        <f ca="1">SUM(AE481:AM481)</f>
        <v>0</v>
      </c>
      <c r="AO481" s="68" t="e">
        <f ca="1">1/(AC481+AD481)</f>
        <v>#DIV/0!</v>
      </c>
      <c r="AP481" s="67">
        <v>0</v>
      </c>
      <c r="AQ481" s="68">
        <f ca="1">IF(AC481&gt;=1,G481,0)+SUMIF($H$4:$M$4,"&lt;="&amp;AD481,$H481:$M481)+IF(AD481&gt;=7,N481,0)</f>
        <v>0</v>
      </c>
    </row>
    <row r="482" spans="1:43" x14ac:dyDescent="0.15">
      <c r="A482" s="50"/>
      <c r="B482" s="50"/>
      <c r="C482" s="145">
        <f ca="1">OFFSET(①簡易状況入力!$C$5,MATCH(A480,①簡易状況入力!$C$5:$C$104,0)-1,19)</f>
        <v>0</v>
      </c>
      <c r="D482" s="148" t="s">
        <v>50</v>
      </c>
      <c r="E482" s="56">
        <f t="shared" ref="E482" ca="1" si="1710">E481</f>
        <v>0</v>
      </c>
      <c r="F482" s="56">
        <f ca="1">F481</f>
        <v>0</v>
      </c>
      <c r="G482" s="104"/>
      <c r="H482" s="104"/>
      <c r="I482" s="104"/>
      <c r="J482" s="104"/>
      <c r="K482" s="104"/>
      <c r="L482" s="104"/>
      <c r="M482" s="104"/>
      <c r="N482" s="104"/>
      <c r="O482" s="106"/>
      <c r="Q482" s="50"/>
      <c r="R482" s="58"/>
      <c r="S482" s="165" t="s">
        <v>28</v>
      </c>
      <c r="T482" s="146" t="s">
        <v>35</v>
      </c>
      <c r="U482" s="35">
        <f ca="1">OFFSET(①簡易状況入力!$C$5,MATCH(A480,①簡易状況入力!$C$5:$C$104,0)-1,2)</f>
        <v>0</v>
      </c>
      <c r="V482" s="58"/>
      <c r="W482" s="146" t="s">
        <v>33</v>
      </c>
      <c r="X482" s="37">
        <f ca="1">OFFSET(①簡易状況入力!$C$5,MATCH(A480,①簡易状況入力!$C$5:$C$104,0)-1,6)</f>
        <v>0</v>
      </c>
      <c r="Y482" s="149">
        <f ca="1">OFFSET(①簡易状況入力!$C$5,MATCH(A480,①簡易状況入力!$C$5:$C$104,0)-1,11)</f>
        <v>0</v>
      </c>
      <c r="Z482" s="167">
        <f ca="1">OFFSET(①簡易状況入力!$C$5,MATCH(A480,①簡易状況入力!$C$5:$C$104,0)-1,12)</f>
        <v>0</v>
      </c>
      <c r="AA482" s="168"/>
      <c r="AB482" s="148" t="s">
        <v>50</v>
      </c>
      <c r="AC482" s="56">
        <f t="shared" ref="AC482:AD482" ca="1" si="1711">AC481</f>
        <v>0</v>
      </c>
      <c r="AD482" s="56">
        <f t="shared" ca="1" si="1711"/>
        <v>0</v>
      </c>
      <c r="AE482" s="63">
        <f ca="1">IF($C482="あり",IF(AC482&gt;=1,G482/AQ482,0),IF(AC482&gt;=1,AO482*AC482,0))</f>
        <v>0</v>
      </c>
      <c r="AF482" s="63">
        <f t="shared" ca="1" si="1704"/>
        <v>0</v>
      </c>
      <c r="AG482" s="63">
        <f t="shared" ca="1" si="1705"/>
        <v>0</v>
      </c>
      <c r="AH482" s="63">
        <f t="shared" ca="1" si="1706"/>
        <v>0</v>
      </c>
      <c r="AI482" s="63">
        <f t="shared" ca="1" si="1707"/>
        <v>0</v>
      </c>
      <c r="AJ482" s="63">
        <f t="shared" ca="1" si="1708"/>
        <v>0</v>
      </c>
      <c r="AK482" s="63">
        <f t="shared" ca="1" si="1709"/>
        <v>0</v>
      </c>
      <c r="AL482" s="63">
        <f ca="1">IF($C482="あり",IF($AD482&gt;=7,N482/$AQ482,0),IF($AD482&gt;=7,$AO482*($AD482-6),0))</f>
        <v>0</v>
      </c>
      <c r="AM482" s="65">
        <f ca="1">IF(C482="あり",O482/AQ482,AP482)</f>
        <v>0</v>
      </c>
      <c r="AN482" s="63">
        <f ca="1">SUM(AE482:AM482)</f>
        <v>0</v>
      </c>
      <c r="AO482" s="68" t="e">
        <f ca="1">1/(AC482+AD482)</f>
        <v>#DIV/0!</v>
      </c>
      <c r="AP482" s="67">
        <v>0</v>
      </c>
      <c r="AQ482" s="68">
        <f ca="1">IF(AC482&gt;=1,G482,0)+SUMIF($H$4:$M$4,"&lt;="&amp;AD482,$H482:$M482)+IF(AD482&gt;=7,N482,0)+O482</f>
        <v>0</v>
      </c>
    </row>
    <row r="483" spans="1:43" x14ac:dyDescent="0.15">
      <c r="A483" s="50"/>
      <c r="B483" s="50"/>
      <c r="C483" s="145">
        <f ca="1">OFFSET(①簡易状況入力!$C$5,MATCH(A480,①簡易状況入力!$C$5:$C$104,0)-1,20)</f>
        <v>0</v>
      </c>
      <c r="D483" s="148" t="s">
        <v>51</v>
      </c>
      <c r="E483" s="56">
        <f t="shared" ref="E483:F483" ca="1" si="1712">E482</f>
        <v>0</v>
      </c>
      <c r="F483" s="56">
        <f t="shared" ca="1" si="1712"/>
        <v>0</v>
      </c>
      <c r="G483" s="104"/>
      <c r="H483" s="104"/>
      <c r="I483" s="104"/>
      <c r="J483" s="104"/>
      <c r="K483" s="104"/>
      <c r="L483" s="104"/>
      <c r="M483" s="104"/>
      <c r="N483" s="104"/>
      <c r="O483" s="106"/>
      <c r="Q483" s="50"/>
      <c r="R483" s="58"/>
      <c r="S483" s="166"/>
      <c r="T483" s="146" t="s">
        <v>34</v>
      </c>
      <c r="U483" s="35">
        <f ca="1">OFFSET(①簡易状況入力!$C$5,MATCH(A480,①簡易状況入力!$C$5:$C$104,0)-1,3)</f>
        <v>0</v>
      </c>
      <c r="V483" s="58"/>
      <c r="W483" s="146" t="s">
        <v>118</v>
      </c>
      <c r="X483" s="37">
        <f ca="1">OFFSET(①簡易状況入力!$C$5,MATCH(A480,①簡易状況入力!$C$5:$C$104,0)-1,7)</f>
        <v>0</v>
      </c>
      <c r="Y483" s="149">
        <f ca="1">OFFSET(①簡易状況入力!$C$5,MATCH(A480,①簡易状況入力!$C$5:$C$104,0)-1,13)</f>
        <v>0</v>
      </c>
      <c r="Z483" s="167">
        <f ca="1">OFFSET(①簡易状況入力!$C$5,MATCH(A480,①簡易状況入力!$C$5:$C$104,0)-1,14)</f>
        <v>0</v>
      </c>
      <c r="AA483" s="168"/>
      <c r="AB483" s="148" t="s">
        <v>51</v>
      </c>
      <c r="AC483" s="56">
        <f t="shared" ref="AC483:AD483" ca="1" si="1713">AC482</f>
        <v>0</v>
      </c>
      <c r="AD483" s="56">
        <f t="shared" ca="1" si="1713"/>
        <v>0</v>
      </c>
      <c r="AE483" s="63">
        <f ca="1">IF($C483="あり",IF(AC483&gt;=1,G483/AQ483,0),IF(AC483&gt;=1,AO483*AC483,0))</f>
        <v>0</v>
      </c>
      <c r="AF483" s="63">
        <f t="shared" ca="1" si="1704"/>
        <v>0</v>
      </c>
      <c r="AG483" s="63">
        <f t="shared" ca="1" si="1705"/>
        <v>0</v>
      </c>
      <c r="AH483" s="63">
        <f t="shared" ca="1" si="1706"/>
        <v>0</v>
      </c>
      <c r="AI483" s="63">
        <f t="shared" ca="1" si="1707"/>
        <v>0</v>
      </c>
      <c r="AJ483" s="63">
        <f t="shared" ca="1" si="1708"/>
        <v>0</v>
      </c>
      <c r="AK483" s="63">
        <f t="shared" ca="1" si="1709"/>
        <v>0</v>
      </c>
      <c r="AL483" s="63">
        <f ca="1">IF($C483="あり",IF($AD483&gt;=7,N483/$AQ483,0),IF($AD483&gt;=7,$AO483*($AD483-6),0))</f>
        <v>0</v>
      </c>
      <c r="AM483" s="65">
        <f ca="1">IF(C483="あり",O483/AQ483,AP483)</f>
        <v>0</v>
      </c>
      <c r="AN483" s="63">
        <f ca="1">SUM(AE483:AM483)</f>
        <v>0</v>
      </c>
      <c r="AO483" s="68" t="e">
        <f ca="1">1/(AC483+AD483)</f>
        <v>#DIV/0!</v>
      </c>
      <c r="AP483" s="67">
        <v>0</v>
      </c>
      <c r="AQ483" s="68">
        <f ca="1">IF(AC483&gt;=1,G483,0)+SUMIF($H$4:$M$4,"&lt;="&amp;AD483,$H483:$M483)+IF(AD483&gt;=7,N483,0)+O483</f>
        <v>0</v>
      </c>
    </row>
    <row r="484" spans="1:43" x14ac:dyDescent="0.15">
      <c r="G484" s="107"/>
      <c r="H484" s="107"/>
      <c r="I484" s="107"/>
      <c r="J484" s="107"/>
      <c r="K484" s="107"/>
      <c r="L484" s="107"/>
      <c r="M484" s="107"/>
      <c r="N484" s="107"/>
      <c r="O484" s="107"/>
    </row>
    <row r="485" spans="1:43" x14ac:dyDescent="0.15">
      <c r="A485" s="59" t="s">
        <v>412</v>
      </c>
      <c r="B485" s="60">
        <f ca="1">OFFSET(①簡易状況入力!$C$5,MATCH(A485,①簡易状況入力!$C$5:$C$104,0)-1,1)</f>
        <v>0</v>
      </c>
      <c r="C485" s="145">
        <f ca="1">OFFSET(①簡易状況入力!$C$5,MATCH(A485,①簡易状況入力!$C$5:$C$104,0)-1,17)</f>
        <v>0</v>
      </c>
      <c r="D485" s="148" t="s">
        <v>47</v>
      </c>
      <c r="E485" s="56">
        <f ca="1">U488</f>
        <v>0</v>
      </c>
      <c r="F485" s="56">
        <f ca="1">U487</f>
        <v>0</v>
      </c>
      <c r="G485" s="102"/>
      <c r="H485" s="103"/>
      <c r="I485" s="103"/>
      <c r="J485" s="103"/>
      <c r="K485" s="103"/>
      <c r="L485" s="103"/>
      <c r="M485" s="103"/>
      <c r="N485" s="103"/>
      <c r="O485" s="103"/>
      <c r="Q485" s="57">
        <f ca="1">OFFSET(①簡易状況入力!$C$5,MATCH(A485,①簡易状況入力!$C$5:$C$104,0)-1,15)</f>
        <v>0</v>
      </c>
      <c r="R485" s="58"/>
      <c r="S485" s="58"/>
      <c r="T485" s="58"/>
      <c r="U485" s="58"/>
      <c r="V485" s="58"/>
      <c r="W485" s="58"/>
      <c r="X485" s="58"/>
      <c r="Y485" s="58"/>
      <c r="Z485" s="58"/>
      <c r="AA485" s="58"/>
      <c r="AB485" s="148" t="s">
        <v>47</v>
      </c>
      <c r="AC485" s="56">
        <f ca="1">U488</f>
        <v>0</v>
      </c>
      <c r="AD485" s="56">
        <f ca="1">U487</f>
        <v>0</v>
      </c>
      <c r="AE485" s="62" t="s">
        <v>46</v>
      </c>
      <c r="AF485" s="62" t="str">
        <f t="shared" ref="AF485" ca="1" si="1714">IF($C485="あり",IF(AF$4&lt;=$AD485,H485,"-"),IF(AF$4&lt;=$AD485,$AO485,"-"))</f>
        <v>-</v>
      </c>
      <c r="AG485" s="62" t="str">
        <f t="shared" ref="AG485" ca="1" si="1715">IF($C485="あり",IF(AG$4&lt;=$AD485,I485,"-"),IF(AG$4&lt;=$AD485,$AO485,"-"))</f>
        <v>-</v>
      </c>
      <c r="AH485" s="62" t="str">
        <f t="shared" ref="AH485" ca="1" si="1716">IF($C485="あり",IF(AH$4&lt;=$AD485,J485,"-"),IF(AH$4&lt;=$AD485,$AO485,"-"))</f>
        <v>-</v>
      </c>
      <c r="AI485" s="62" t="str">
        <f t="shared" ref="AI485" ca="1" si="1717">IF($C485="あり",IF(AI$4&lt;=$AD485,K485,"-"),IF(AI$4&lt;=$AD485,$AO485,"-"))</f>
        <v>-</v>
      </c>
      <c r="AJ485" s="62" t="str">
        <f t="shared" ref="AJ485" ca="1" si="1718">IF($C485="あり",IF(AJ$4&lt;=$AD485,L485,"-"),IF(AJ$4&lt;=$AD485,$AO485,"-"))</f>
        <v>-</v>
      </c>
      <c r="AK485" s="62" t="str">
        <f t="shared" ref="AK485" ca="1" si="1719">IF($C485="あり",IF(AK$4&lt;=$AD485,M485,"-"),IF(AK$4&lt;=$AD485,$AO485,"-"))</f>
        <v>-</v>
      </c>
      <c r="AL485" s="62" t="str">
        <f ca="1">IF($C485="あり",IF(7&lt;=$AD485,N485,"-"),IF(7&lt;=$AD485,$AO485*($AD485-6),"-"))</f>
        <v>-</v>
      </c>
      <c r="AM485" s="62">
        <f ca="1">IF(C485="あり",O485,AP485)</f>
        <v>0</v>
      </c>
      <c r="AN485" s="62">
        <f ca="1">SUM(U486,AF485:AM485)</f>
        <v>0</v>
      </c>
      <c r="AO485" s="42">
        <f ca="1">OFFSET(【DB】被害率係数!$A$4,MATCH(②詳細状況入力!$Y486,【DB】被害率係数!$A$4:$A$19,0)-1,16)</f>
        <v>0</v>
      </c>
      <c r="AP485" s="42">
        <f ca="1">OFFSET(【DB】被害率係数!$A$4,MATCH(②詳細状況入力!$Y486,【DB】被害率係数!$A$4:$A$19,0)-1,17)</f>
        <v>0</v>
      </c>
      <c r="AQ485" s="42"/>
    </row>
    <row r="486" spans="1:43" x14ac:dyDescent="0.15">
      <c r="A486" s="50"/>
      <c r="B486" s="50"/>
      <c r="C486" s="145">
        <f ca="1">OFFSET(①簡易状況入力!$C$5,MATCH(A485,①簡易状況入力!$C$5:$C$104,0)-1,18)</f>
        <v>0</v>
      </c>
      <c r="D486" s="148" t="s">
        <v>52</v>
      </c>
      <c r="E486" s="56">
        <f t="shared" ref="E486:F486" ca="1" si="1720">E485</f>
        <v>0</v>
      </c>
      <c r="F486" s="56">
        <f t="shared" ca="1" si="1720"/>
        <v>0</v>
      </c>
      <c r="G486" s="104"/>
      <c r="H486" s="104"/>
      <c r="I486" s="104"/>
      <c r="J486" s="104"/>
      <c r="K486" s="104"/>
      <c r="L486" s="104"/>
      <c r="M486" s="104"/>
      <c r="N486" s="104"/>
      <c r="O486" s="105"/>
      <c r="Q486" s="57">
        <f ca="1">OFFSET(①簡易状況入力!$C$5,MATCH(A485,①簡易状況入力!$C$5:$C$104,0)-1,16)</f>
        <v>0</v>
      </c>
      <c r="R486" s="58"/>
      <c r="S486" s="146" t="s">
        <v>115</v>
      </c>
      <c r="T486" s="146" t="s">
        <v>116</v>
      </c>
      <c r="U486" s="36">
        <f ca="1">OFFSET(①簡易状況入力!$C$5,MATCH(A485,①簡易状況入力!$C$5:$C$104,0)-1,4)</f>
        <v>0</v>
      </c>
      <c r="V486" s="58"/>
      <c r="W486" s="146" t="s">
        <v>30</v>
      </c>
      <c r="X486" s="37">
        <f ca="1">OFFSET(①簡易状況入力!$C$5,MATCH(A485,①簡易状況入力!$C$5:$C$104,0)-1,5)</f>
        <v>0</v>
      </c>
      <c r="Y486" s="149">
        <f ca="1">OFFSET(①簡易状況入力!$C$5,MATCH(A485,①簡易状況入力!$C$5:$C$104,0)-1,8)</f>
        <v>0</v>
      </c>
      <c r="Z486" s="149">
        <f ca="1">OFFSET(①簡易状況入力!$C$5,MATCH(A485,①簡易状況入力!$C$5:$C$104,0)-1,9)</f>
        <v>0</v>
      </c>
      <c r="AA486" s="149">
        <f ca="1">OFFSET(①簡易状況入力!$C$5,MATCH(A485,①簡易状況入力!$C$5:$C$104,0)-1,10)</f>
        <v>0</v>
      </c>
      <c r="AB486" s="148" t="s">
        <v>52</v>
      </c>
      <c r="AC486" s="56">
        <f t="shared" ref="AC486:AD486" ca="1" si="1721">AC485</f>
        <v>0</v>
      </c>
      <c r="AD486" s="56">
        <f t="shared" ca="1" si="1721"/>
        <v>0</v>
      </c>
      <c r="AE486" s="63">
        <f ca="1">IF($C486="あり",IF(AC486&gt;=1,G486/AQ486,0),IF(AC486&gt;=1,AO486*AC486,0))</f>
        <v>0</v>
      </c>
      <c r="AF486" s="63">
        <f t="shared" ref="AF486:AF488" ca="1" si="1722">IF($C486="あり",IF($AD486&gt;=AF$4,H486/$AQ486,0),IF($AD486&gt;=AF$4,$AO486,0))</f>
        <v>0</v>
      </c>
      <c r="AG486" s="63">
        <f t="shared" ref="AG486:AG488" ca="1" si="1723">IF($C486="あり",IF($AD486&gt;=AG$4,I486/$AQ486,0),IF($AD486&gt;=AG$4,$AO486,0))</f>
        <v>0</v>
      </c>
      <c r="AH486" s="63">
        <f t="shared" ref="AH486:AH488" ca="1" si="1724">IF($C486="あり",IF($AD486&gt;=AH$4,J486/$AQ486,0),IF($AD486&gt;=AH$4,$AO486,0))</f>
        <v>0</v>
      </c>
      <c r="AI486" s="63">
        <f t="shared" ref="AI486:AI488" ca="1" si="1725">IF($C486="あり",IF($AD486&gt;=AI$4,K486/$AQ486,0),IF($AD486&gt;=AI$4,$AO486,0))</f>
        <v>0</v>
      </c>
      <c r="AJ486" s="63">
        <f t="shared" ref="AJ486:AJ488" ca="1" si="1726">IF($C486="あり",IF($AD486&gt;=AJ$4,L486/$AQ486,0),IF($AD486&gt;=AJ$4,$AO486,0))</f>
        <v>0</v>
      </c>
      <c r="AK486" s="63">
        <f t="shared" ref="AK486:AK488" ca="1" si="1727">IF($C486="あり",IF($AD486&gt;=AK$4,M486/$AQ486,0),IF($AD486&gt;=AK$4,$AO486,0))</f>
        <v>0</v>
      </c>
      <c r="AL486" s="63">
        <f ca="1">IF($C486="あり",IF($AD486&gt;=7,N486/$AQ486,0),IF($AD486&gt;=7,$AO486*($AD486-6),0))</f>
        <v>0</v>
      </c>
      <c r="AM486" s="64" t="s">
        <v>46</v>
      </c>
      <c r="AN486" s="63">
        <f ca="1">SUM(AE486:AM486)</f>
        <v>0</v>
      </c>
      <c r="AO486" s="68" t="e">
        <f ca="1">1/(AC486+AD486)</f>
        <v>#DIV/0!</v>
      </c>
      <c r="AP486" s="67">
        <v>0</v>
      </c>
      <c r="AQ486" s="68">
        <f ca="1">IF(AC486&gt;=1,G486,0)+SUMIF($H$4:$M$4,"&lt;="&amp;AD486,$H486:$M486)+IF(AD486&gt;=7,N486,0)</f>
        <v>0</v>
      </c>
    </row>
    <row r="487" spans="1:43" x14ac:dyDescent="0.15">
      <c r="A487" s="50"/>
      <c r="B487" s="50"/>
      <c r="C487" s="145">
        <f ca="1">OFFSET(①簡易状況入力!$C$5,MATCH(A485,①簡易状況入力!$C$5:$C$104,0)-1,19)</f>
        <v>0</v>
      </c>
      <c r="D487" s="148" t="s">
        <v>50</v>
      </c>
      <c r="E487" s="56">
        <f t="shared" ref="E487" ca="1" si="1728">E486</f>
        <v>0</v>
      </c>
      <c r="F487" s="56">
        <f ca="1">F486</f>
        <v>0</v>
      </c>
      <c r="G487" s="104"/>
      <c r="H487" s="104"/>
      <c r="I487" s="104"/>
      <c r="J487" s="104"/>
      <c r="K487" s="104"/>
      <c r="L487" s="104"/>
      <c r="M487" s="104"/>
      <c r="N487" s="104"/>
      <c r="O487" s="106"/>
      <c r="Q487" s="50"/>
      <c r="R487" s="58"/>
      <c r="S487" s="165" t="s">
        <v>28</v>
      </c>
      <c r="T487" s="146" t="s">
        <v>35</v>
      </c>
      <c r="U487" s="35">
        <f ca="1">OFFSET(①簡易状況入力!$C$5,MATCH(A485,①簡易状況入力!$C$5:$C$104,0)-1,2)</f>
        <v>0</v>
      </c>
      <c r="V487" s="58"/>
      <c r="W487" s="146" t="s">
        <v>33</v>
      </c>
      <c r="X487" s="37">
        <f ca="1">OFFSET(①簡易状況入力!$C$5,MATCH(A485,①簡易状況入力!$C$5:$C$104,0)-1,6)</f>
        <v>0</v>
      </c>
      <c r="Y487" s="149">
        <f ca="1">OFFSET(①簡易状況入力!$C$5,MATCH(A485,①簡易状況入力!$C$5:$C$104,0)-1,11)</f>
        <v>0</v>
      </c>
      <c r="Z487" s="167">
        <f ca="1">OFFSET(①簡易状況入力!$C$5,MATCH(A485,①簡易状況入力!$C$5:$C$104,0)-1,12)</f>
        <v>0</v>
      </c>
      <c r="AA487" s="168"/>
      <c r="AB487" s="148" t="s">
        <v>50</v>
      </c>
      <c r="AC487" s="56">
        <f t="shared" ref="AC487:AD487" ca="1" si="1729">AC486</f>
        <v>0</v>
      </c>
      <c r="AD487" s="56">
        <f t="shared" ca="1" si="1729"/>
        <v>0</v>
      </c>
      <c r="AE487" s="63">
        <f ca="1">IF($C487="あり",IF(AC487&gt;=1,G487/AQ487,0),IF(AC487&gt;=1,AO487*AC487,0))</f>
        <v>0</v>
      </c>
      <c r="AF487" s="63">
        <f t="shared" ca="1" si="1722"/>
        <v>0</v>
      </c>
      <c r="AG487" s="63">
        <f t="shared" ca="1" si="1723"/>
        <v>0</v>
      </c>
      <c r="AH487" s="63">
        <f t="shared" ca="1" si="1724"/>
        <v>0</v>
      </c>
      <c r="AI487" s="63">
        <f t="shared" ca="1" si="1725"/>
        <v>0</v>
      </c>
      <c r="AJ487" s="63">
        <f t="shared" ca="1" si="1726"/>
        <v>0</v>
      </c>
      <c r="AK487" s="63">
        <f t="shared" ca="1" si="1727"/>
        <v>0</v>
      </c>
      <c r="AL487" s="63">
        <f ca="1">IF($C487="あり",IF($AD487&gt;=7,N487/$AQ487,0),IF($AD487&gt;=7,$AO487*($AD487-6),0))</f>
        <v>0</v>
      </c>
      <c r="AM487" s="65">
        <f ca="1">IF(C487="あり",O487/AQ487,AP487)</f>
        <v>0</v>
      </c>
      <c r="AN487" s="63">
        <f ca="1">SUM(AE487:AM487)</f>
        <v>0</v>
      </c>
      <c r="AO487" s="68" t="e">
        <f ca="1">1/(AC487+AD487)</f>
        <v>#DIV/0!</v>
      </c>
      <c r="AP487" s="67">
        <v>0</v>
      </c>
      <c r="AQ487" s="68">
        <f ca="1">IF(AC487&gt;=1,G487,0)+SUMIF($H$4:$M$4,"&lt;="&amp;AD487,$H487:$M487)+IF(AD487&gt;=7,N487,0)+O487</f>
        <v>0</v>
      </c>
    </row>
    <row r="488" spans="1:43" x14ac:dyDescent="0.15">
      <c r="A488" s="50"/>
      <c r="B488" s="50"/>
      <c r="C488" s="145">
        <f ca="1">OFFSET(①簡易状況入力!$C$5,MATCH(A485,①簡易状況入力!$C$5:$C$104,0)-1,20)</f>
        <v>0</v>
      </c>
      <c r="D488" s="148" t="s">
        <v>51</v>
      </c>
      <c r="E488" s="56">
        <f t="shared" ref="E488:F488" ca="1" si="1730">E487</f>
        <v>0</v>
      </c>
      <c r="F488" s="56">
        <f t="shared" ca="1" si="1730"/>
        <v>0</v>
      </c>
      <c r="G488" s="104"/>
      <c r="H488" s="104"/>
      <c r="I488" s="104"/>
      <c r="J488" s="104"/>
      <c r="K488" s="104"/>
      <c r="L488" s="104"/>
      <c r="M488" s="104"/>
      <c r="N488" s="104"/>
      <c r="O488" s="106"/>
      <c r="Q488" s="50"/>
      <c r="R488" s="58"/>
      <c r="S488" s="166"/>
      <c r="T488" s="146" t="s">
        <v>34</v>
      </c>
      <c r="U488" s="35">
        <f ca="1">OFFSET(①簡易状況入力!$C$5,MATCH(A485,①簡易状況入力!$C$5:$C$104,0)-1,3)</f>
        <v>0</v>
      </c>
      <c r="V488" s="58"/>
      <c r="W488" s="146" t="s">
        <v>118</v>
      </c>
      <c r="X488" s="37">
        <f ca="1">OFFSET(①簡易状況入力!$C$5,MATCH(A485,①簡易状況入力!$C$5:$C$104,0)-1,7)</f>
        <v>0</v>
      </c>
      <c r="Y488" s="149">
        <f ca="1">OFFSET(①簡易状況入力!$C$5,MATCH(A485,①簡易状況入力!$C$5:$C$104,0)-1,13)</f>
        <v>0</v>
      </c>
      <c r="Z488" s="167">
        <f ca="1">OFFSET(①簡易状況入力!$C$5,MATCH(A485,①簡易状況入力!$C$5:$C$104,0)-1,14)</f>
        <v>0</v>
      </c>
      <c r="AA488" s="168"/>
      <c r="AB488" s="148" t="s">
        <v>51</v>
      </c>
      <c r="AC488" s="56">
        <f t="shared" ref="AC488:AD488" ca="1" si="1731">AC487</f>
        <v>0</v>
      </c>
      <c r="AD488" s="56">
        <f t="shared" ca="1" si="1731"/>
        <v>0</v>
      </c>
      <c r="AE488" s="63">
        <f ca="1">IF($C488="あり",IF(AC488&gt;=1,G488/AQ488,0),IF(AC488&gt;=1,AO488*AC488,0))</f>
        <v>0</v>
      </c>
      <c r="AF488" s="63">
        <f t="shared" ca="1" si="1722"/>
        <v>0</v>
      </c>
      <c r="AG488" s="63">
        <f t="shared" ca="1" si="1723"/>
        <v>0</v>
      </c>
      <c r="AH488" s="63">
        <f t="shared" ca="1" si="1724"/>
        <v>0</v>
      </c>
      <c r="AI488" s="63">
        <f t="shared" ca="1" si="1725"/>
        <v>0</v>
      </c>
      <c r="AJ488" s="63">
        <f t="shared" ca="1" si="1726"/>
        <v>0</v>
      </c>
      <c r="AK488" s="63">
        <f t="shared" ca="1" si="1727"/>
        <v>0</v>
      </c>
      <c r="AL488" s="63">
        <f ca="1">IF($C488="あり",IF($AD488&gt;=7,N488/$AQ488,0),IF($AD488&gt;=7,$AO488*($AD488-6),0))</f>
        <v>0</v>
      </c>
      <c r="AM488" s="65">
        <f ca="1">IF(C488="あり",O488/AQ488,AP488)</f>
        <v>0</v>
      </c>
      <c r="AN488" s="63">
        <f ca="1">SUM(AE488:AM488)</f>
        <v>0</v>
      </c>
      <c r="AO488" s="68" t="e">
        <f ca="1">1/(AC488+AD488)</f>
        <v>#DIV/0!</v>
      </c>
      <c r="AP488" s="67">
        <v>0</v>
      </c>
      <c r="AQ488" s="68">
        <f ca="1">IF(AC488&gt;=1,G488,0)+SUMIF($H$4:$M$4,"&lt;="&amp;AD488,$H488:$M488)+IF(AD488&gt;=7,N488,0)+O488</f>
        <v>0</v>
      </c>
    </row>
    <row r="489" spans="1:43" x14ac:dyDescent="0.15">
      <c r="G489" s="107"/>
      <c r="H489" s="107"/>
      <c r="I489" s="107"/>
      <c r="J489" s="107"/>
      <c r="K489" s="107"/>
      <c r="L489" s="107"/>
      <c r="M489" s="107"/>
      <c r="N489" s="107"/>
      <c r="O489" s="107"/>
    </row>
    <row r="490" spans="1:43" x14ac:dyDescent="0.15">
      <c r="A490" s="59" t="s">
        <v>413</v>
      </c>
      <c r="B490" s="60">
        <f ca="1">OFFSET(①簡易状況入力!$C$5,MATCH(A490,①簡易状況入力!$C$5:$C$104,0)-1,1)</f>
        <v>0</v>
      </c>
      <c r="C490" s="145">
        <f ca="1">OFFSET(①簡易状況入力!$C$5,MATCH(A490,①簡易状況入力!$C$5:$C$104,0)-1,17)</f>
        <v>0</v>
      </c>
      <c r="D490" s="148" t="s">
        <v>47</v>
      </c>
      <c r="E490" s="56">
        <f ca="1">U493</f>
        <v>0</v>
      </c>
      <c r="F490" s="56">
        <f ca="1">U492</f>
        <v>0</v>
      </c>
      <c r="G490" s="102"/>
      <c r="H490" s="103"/>
      <c r="I490" s="103"/>
      <c r="J490" s="103"/>
      <c r="K490" s="103"/>
      <c r="L490" s="103"/>
      <c r="M490" s="103"/>
      <c r="N490" s="103"/>
      <c r="O490" s="103"/>
      <c r="Q490" s="57">
        <f ca="1">OFFSET(①簡易状況入力!$C$5,MATCH(A490,①簡易状況入力!$C$5:$C$104,0)-1,15)</f>
        <v>0</v>
      </c>
      <c r="R490" s="58"/>
      <c r="S490" s="58"/>
      <c r="T490" s="58"/>
      <c r="U490" s="58"/>
      <c r="V490" s="58"/>
      <c r="W490" s="58"/>
      <c r="X490" s="58"/>
      <c r="Y490" s="58"/>
      <c r="Z490" s="58"/>
      <c r="AA490" s="58"/>
      <c r="AB490" s="148" t="s">
        <v>47</v>
      </c>
      <c r="AC490" s="56">
        <f ca="1">U493</f>
        <v>0</v>
      </c>
      <c r="AD490" s="56">
        <f ca="1">U492</f>
        <v>0</v>
      </c>
      <c r="AE490" s="62" t="s">
        <v>46</v>
      </c>
      <c r="AF490" s="62" t="str">
        <f t="shared" ref="AF490" ca="1" si="1732">IF($C490="あり",IF(AF$4&lt;=$AD490,H490,"-"),IF(AF$4&lt;=$AD490,$AO490,"-"))</f>
        <v>-</v>
      </c>
      <c r="AG490" s="62" t="str">
        <f t="shared" ref="AG490" ca="1" si="1733">IF($C490="あり",IF(AG$4&lt;=$AD490,I490,"-"),IF(AG$4&lt;=$AD490,$AO490,"-"))</f>
        <v>-</v>
      </c>
      <c r="AH490" s="62" t="str">
        <f t="shared" ref="AH490" ca="1" si="1734">IF($C490="あり",IF(AH$4&lt;=$AD490,J490,"-"),IF(AH$4&lt;=$AD490,$AO490,"-"))</f>
        <v>-</v>
      </c>
      <c r="AI490" s="62" t="str">
        <f t="shared" ref="AI490" ca="1" si="1735">IF($C490="あり",IF(AI$4&lt;=$AD490,K490,"-"),IF(AI$4&lt;=$AD490,$AO490,"-"))</f>
        <v>-</v>
      </c>
      <c r="AJ490" s="62" t="str">
        <f t="shared" ref="AJ490" ca="1" si="1736">IF($C490="あり",IF(AJ$4&lt;=$AD490,L490,"-"),IF(AJ$4&lt;=$AD490,$AO490,"-"))</f>
        <v>-</v>
      </c>
      <c r="AK490" s="62" t="str">
        <f t="shared" ref="AK490" ca="1" si="1737">IF($C490="あり",IF(AK$4&lt;=$AD490,M490,"-"),IF(AK$4&lt;=$AD490,$AO490,"-"))</f>
        <v>-</v>
      </c>
      <c r="AL490" s="62" t="str">
        <f ca="1">IF($C490="あり",IF(7&lt;=$AD490,N490,"-"),IF(7&lt;=$AD490,$AO490*($AD490-6),"-"))</f>
        <v>-</v>
      </c>
      <c r="AM490" s="62">
        <f ca="1">IF(C490="あり",O490,AP490)</f>
        <v>0</v>
      </c>
      <c r="AN490" s="62">
        <f ca="1">SUM(U491,AF490:AM490)</f>
        <v>0</v>
      </c>
      <c r="AO490" s="42">
        <f ca="1">OFFSET(【DB】被害率係数!$A$4,MATCH(②詳細状況入力!$Y491,【DB】被害率係数!$A$4:$A$19,0)-1,16)</f>
        <v>0</v>
      </c>
      <c r="AP490" s="42">
        <f ca="1">OFFSET(【DB】被害率係数!$A$4,MATCH(②詳細状況入力!$Y491,【DB】被害率係数!$A$4:$A$19,0)-1,17)</f>
        <v>0</v>
      </c>
      <c r="AQ490" s="42"/>
    </row>
    <row r="491" spans="1:43" x14ac:dyDescent="0.15">
      <c r="A491" s="50"/>
      <c r="B491" s="50"/>
      <c r="C491" s="145">
        <f ca="1">OFFSET(①簡易状況入力!$C$5,MATCH(A490,①簡易状況入力!$C$5:$C$104,0)-1,18)</f>
        <v>0</v>
      </c>
      <c r="D491" s="148" t="s">
        <v>52</v>
      </c>
      <c r="E491" s="56">
        <f t="shared" ref="E491:F491" ca="1" si="1738">E490</f>
        <v>0</v>
      </c>
      <c r="F491" s="56">
        <f t="shared" ca="1" si="1738"/>
        <v>0</v>
      </c>
      <c r="G491" s="104"/>
      <c r="H491" s="104"/>
      <c r="I491" s="104"/>
      <c r="J491" s="104"/>
      <c r="K491" s="104"/>
      <c r="L491" s="104"/>
      <c r="M491" s="104"/>
      <c r="N491" s="104"/>
      <c r="O491" s="105"/>
      <c r="Q491" s="57">
        <f ca="1">OFFSET(①簡易状況入力!$C$5,MATCH(A490,①簡易状況入力!$C$5:$C$104,0)-1,16)</f>
        <v>0</v>
      </c>
      <c r="R491" s="58"/>
      <c r="S491" s="146" t="s">
        <v>115</v>
      </c>
      <c r="T491" s="146" t="s">
        <v>116</v>
      </c>
      <c r="U491" s="36">
        <f ca="1">OFFSET(①簡易状況入力!$C$5,MATCH(A490,①簡易状況入力!$C$5:$C$104,0)-1,4)</f>
        <v>0</v>
      </c>
      <c r="V491" s="58"/>
      <c r="W491" s="146" t="s">
        <v>30</v>
      </c>
      <c r="X491" s="37">
        <f ca="1">OFFSET(①簡易状況入力!$C$5,MATCH(A490,①簡易状況入力!$C$5:$C$104,0)-1,5)</f>
        <v>0</v>
      </c>
      <c r="Y491" s="149">
        <f ca="1">OFFSET(①簡易状況入力!$C$5,MATCH(A490,①簡易状況入力!$C$5:$C$104,0)-1,8)</f>
        <v>0</v>
      </c>
      <c r="Z491" s="149">
        <f ca="1">OFFSET(①簡易状況入力!$C$5,MATCH(A490,①簡易状況入力!$C$5:$C$104,0)-1,9)</f>
        <v>0</v>
      </c>
      <c r="AA491" s="149">
        <f ca="1">OFFSET(①簡易状況入力!$C$5,MATCH(A490,①簡易状況入力!$C$5:$C$104,0)-1,10)</f>
        <v>0</v>
      </c>
      <c r="AB491" s="148" t="s">
        <v>52</v>
      </c>
      <c r="AC491" s="56">
        <f t="shared" ref="AC491:AD491" ca="1" si="1739">AC490</f>
        <v>0</v>
      </c>
      <c r="AD491" s="56">
        <f t="shared" ca="1" si="1739"/>
        <v>0</v>
      </c>
      <c r="AE491" s="63">
        <f ca="1">IF($C491="あり",IF(AC491&gt;=1,G491/AQ491,0),IF(AC491&gt;=1,AO491*AC491,0))</f>
        <v>0</v>
      </c>
      <c r="AF491" s="63">
        <f t="shared" ref="AF491:AF493" ca="1" si="1740">IF($C491="あり",IF($AD491&gt;=AF$4,H491/$AQ491,0),IF($AD491&gt;=AF$4,$AO491,0))</f>
        <v>0</v>
      </c>
      <c r="AG491" s="63">
        <f t="shared" ref="AG491:AG493" ca="1" si="1741">IF($C491="あり",IF($AD491&gt;=AG$4,I491/$AQ491,0),IF($AD491&gt;=AG$4,$AO491,0))</f>
        <v>0</v>
      </c>
      <c r="AH491" s="63">
        <f t="shared" ref="AH491:AH493" ca="1" si="1742">IF($C491="あり",IF($AD491&gt;=AH$4,J491/$AQ491,0),IF($AD491&gt;=AH$4,$AO491,0))</f>
        <v>0</v>
      </c>
      <c r="AI491" s="63">
        <f t="shared" ref="AI491:AI493" ca="1" si="1743">IF($C491="あり",IF($AD491&gt;=AI$4,K491/$AQ491,0),IF($AD491&gt;=AI$4,$AO491,0))</f>
        <v>0</v>
      </c>
      <c r="AJ491" s="63">
        <f t="shared" ref="AJ491:AJ493" ca="1" si="1744">IF($C491="あり",IF($AD491&gt;=AJ$4,L491/$AQ491,0),IF($AD491&gt;=AJ$4,$AO491,0))</f>
        <v>0</v>
      </c>
      <c r="AK491" s="63">
        <f t="shared" ref="AK491:AK493" ca="1" si="1745">IF($C491="あり",IF($AD491&gt;=AK$4,M491/$AQ491,0),IF($AD491&gt;=AK$4,$AO491,0))</f>
        <v>0</v>
      </c>
      <c r="AL491" s="63">
        <f ca="1">IF($C491="あり",IF($AD491&gt;=7,N491/$AQ491,0),IF($AD491&gt;=7,$AO491*($AD491-6),0))</f>
        <v>0</v>
      </c>
      <c r="AM491" s="64" t="s">
        <v>46</v>
      </c>
      <c r="AN491" s="63">
        <f ca="1">SUM(AE491:AM491)</f>
        <v>0</v>
      </c>
      <c r="AO491" s="68" t="e">
        <f ca="1">1/(AC491+AD491)</f>
        <v>#DIV/0!</v>
      </c>
      <c r="AP491" s="67">
        <v>0</v>
      </c>
      <c r="AQ491" s="68">
        <f ca="1">IF(AC491&gt;=1,G491,0)+SUMIF($H$4:$M$4,"&lt;="&amp;AD491,$H491:$M491)+IF(AD491&gt;=7,N491,0)</f>
        <v>0</v>
      </c>
    </row>
    <row r="492" spans="1:43" x14ac:dyDescent="0.15">
      <c r="A492" s="50"/>
      <c r="B492" s="50"/>
      <c r="C492" s="145">
        <f ca="1">OFFSET(①簡易状況入力!$C$5,MATCH(A490,①簡易状況入力!$C$5:$C$104,0)-1,19)</f>
        <v>0</v>
      </c>
      <c r="D492" s="148" t="s">
        <v>50</v>
      </c>
      <c r="E492" s="56">
        <f t="shared" ref="E492" ca="1" si="1746">E491</f>
        <v>0</v>
      </c>
      <c r="F492" s="56">
        <f ca="1">F491</f>
        <v>0</v>
      </c>
      <c r="G492" s="104"/>
      <c r="H492" s="104"/>
      <c r="I492" s="104"/>
      <c r="J492" s="104"/>
      <c r="K492" s="104"/>
      <c r="L492" s="104"/>
      <c r="M492" s="104"/>
      <c r="N492" s="104"/>
      <c r="O492" s="106"/>
      <c r="Q492" s="50"/>
      <c r="R492" s="58"/>
      <c r="S492" s="165" t="s">
        <v>28</v>
      </c>
      <c r="T492" s="146" t="s">
        <v>35</v>
      </c>
      <c r="U492" s="35">
        <f ca="1">OFFSET(①簡易状況入力!$C$5,MATCH(A490,①簡易状況入力!$C$5:$C$104,0)-1,2)</f>
        <v>0</v>
      </c>
      <c r="V492" s="58"/>
      <c r="W492" s="146" t="s">
        <v>33</v>
      </c>
      <c r="X492" s="37">
        <f ca="1">OFFSET(①簡易状況入力!$C$5,MATCH(A490,①簡易状況入力!$C$5:$C$104,0)-1,6)</f>
        <v>0</v>
      </c>
      <c r="Y492" s="149">
        <f ca="1">OFFSET(①簡易状況入力!$C$5,MATCH(A490,①簡易状況入力!$C$5:$C$104,0)-1,11)</f>
        <v>0</v>
      </c>
      <c r="Z492" s="167">
        <f ca="1">OFFSET(①簡易状況入力!$C$5,MATCH(A490,①簡易状況入力!$C$5:$C$104,0)-1,12)</f>
        <v>0</v>
      </c>
      <c r="AA492" s="168"/>
      <c r="AB492" s="148" t="s">
        <v>50</v>
      </c>
      <c r="AC492" s="56">
        <f t="shared" ref="AC492:AD492" ca="1" si="1747">AC491</f>
        <v>0</v>
      </c>
      <c r="AD492" s="56">
        <f t="shared" ca="1" si="1747"/>
        <v>0</v>
      </c>
      <c r="AE492" s="63">
        <f ca="1">IF($C492="あり",IF(AC492&gt;=1,G492/AQ492,0),IF(AC492&gt;=1,AO492*AC492,0))</f>
        <v>0</v>
      </c>
      <c r="AF492" s="63">
        <f t="shared" ca="1" si="1740"/>
        <v>0</v>
      </c>
      <c r="AG492" s="63">
        <f t="shared" ca="1" si="1741"/>
        <v>0</v>
      </c>
      <c r="AH492" s="63">
        <f t="shared" ca="1" si="1742"/>
        <v>0</v>
      </c>
      <c r="AI492" s="63">
        <f t="shared" ca="1" si="1743"/>
        <v>0</v>
      </c>
      <c r="AJ492" s="63">
        <f t="shared" ca="1" si="1744"/>
        <v>0</v>
      </c>
      <c r="AK492" s="63">
        <f t="shared" ca="1" si="1745"/>
        <v>0</v>
      </c>
      <c r="AL492" s="63">
        <f ca="1">IF($C492="あり",IF($AD492&gt;=7,N492/$AQ492,0),IF($AD492&gt;=7,$AO492*($AD492-6),0))</f>
        <v>0</v>
      </c>
      <c r="AM492" s="65">
        <f ca="1">IF(C492="あり",O492/AQ492,AP492)</f>
        <v>0</v>
      </c>
      <c r="AN492" s="63">
        <f ca="1">SUM(AE492:AM492)</f>
        <v>0</v>
      </c>
      <c r="AO492" s="68" t="e">
        <f ca="1">1/(AC492+AD492)</f>
        <v>#DIV/0!</v>
      </c>
      <c r="AP492" s="67">
        <v>0</v>
      </c>
      <c r="AQ492" s="68">
        <f ca="1">IF(AC492&gt;=1,G492,0)+SUMIF($H$4:$M$4,"&lt;="&amp;AD492,$H492:$M492)+IF(AD492&gt;=7,N492,0)+O492</f>
        <v>0</v>
      </c>
    </row>
    <row r="493" spans="1:43" x14ac:dyDescent="0.15">
      <c r="A493" s="50"/>
      <c r="B493" s="50"/>
      <c r="C493" s="145">
        <f ca="1">OFFSET(①簡易状況入力!$C$5,MATCH(A490,①簡易状況入力!$C$5:$C$104,0)-1,20)</f>
        <v>0</v>
      </c>
      <c r="D493" s="148" t="s">
        <v>51</v>
      </c>
      <c r="E493" s="56">
        <f t="shared" ref="E493:F493" ca="1" si="1748">E492</f>
        <v>0</v>
      </c>
      <c r="F493" s="56">
        <f t="shared" ca="1" si="1748"/>
        <v>0</v>
      </c>
      <c r="G493" s="104"/>
      <c r="H493" s="104"/>
      <c r="I493" s="104"/>
      <c r="J493" s="104"/>
      <c r="K493" s="104"/>
      <c r="L493" s="104"/>
      <c r="M493" s="104"/>
      <c r="N493" s="104"/>
      <c r="O493" s="106"/>
      <c r="Q493" s="50"/>
      <c r="R493" s="58"/>
      <c r="S493" s="166"/>
      <c r="T493" s="146" t="s">
        <v>34</v>
      </c>
      <c r="U493" s="35">
        <f ca="1">OFFSET(①簡易状況入力!$C$5,MATCH(A490,①簡易状況入力!$C$5:$C$104,0)-1,3)</f>
        <v>0</v>
      </c>
      <c r="V493" s="58"/>
      <c r="W493" s="146" t="s">
        <v>118</v>
      </c>
      <c r="X493" s="37">
        <f ca="1">OFFSET(①簡易状況入力!$C$5,MATCH(A490,①簡易状況入力!$C$5:$C$104,0)-1,7)</f>
        <v>0</v>
      </c>
      <c r="Y493" s="149">
        <f ca="1">OFFSET(①簡易状況入力!$C$5,MATCH(A490,①簡易状況入力!$C$5:$C$104,0)-1,13)</f>
        <v>0</v>
      </c>
      <c r="Z493" s="167">
        <f ca="1">OFFSET(①簡易状況入力!$C$5,MATCH(A490,①簡易状況入力!$C$5:$C$104,0)-1,14)</f>
        <v>0</v>
      </c>
      <c r="AA493" s="168"/>
      <c r="AB493" s="148" t="s">
        <v>51</v>
      </c>
      <c r="AC493" s="56">
        <f t="shared" ref="AC493:AD493" ca="1" si="1749">AC492</f>
        <v>0</v>
      </c>
      <c r="AD493" s="56">
        <f t="shared" ca="1" si="1749"/>
        <v>0</v>
      </c>
      <c r="AE493" s="63">
        <f ca="1">IF($C493="あり",IF(AC493&gt;=1,G493/AQ493,0),IF(AC493&gt;=1,AO493*AC493,0))</f>
        <v>0</v>
      </c>
      <c r="AF493" s="63">
        <f t="shared" ca="1" si="1740"/>
        <v>0</v>
      </c>
      <c r="AG493" s="63">
        <f t="shared" ca="1" si="1741"/>
        <v>0</v>
      </c>
      <c r="AH493" s="63">
        <f t="shared" ca="1" si="1742"/>
        <v>0</v>
      </c>
      <c r="AI493" s="63">
        <f t="shared" ca="1" si="1743"/>
        <v>0</v>
      </c>
      <c r="AJ493" s="63">
        <f t="shared" ca="1" si="1744"/>
        <v>0</v>
      </c>
      <c r="AK493" s="63">
        <f t="shared" ca="1" si="1745"/>
        <v>0</v>
      </c>
      <c r="AL493" s="63">
        <f ca="1">IF($C493="あり",IF($AD493&gt;=7,N493/$AQ493,0),IF($AD493&gt;=7,$AO493*($AD493-6),0))</f>
        <v>0</v>
      </c>
      <c r="AM493" s="65">
        <f ca="1">IF(C493="あり",O493/AQ493,AP493)</f>
        <v>0</v>
      </c>
      <c r="AN493" s="63">
        <f ca="1">SUM(AE493:AM493)</f>
        <v>0</v>
      </c>
      <c r="AO493" s="68" t="e">
        <f ca="1">1/(AC493+AD493)</f>
        <v>#DIV/0!</v>
      </c>
      <c r="AP493" s="67">
        <v>0</v>
      </c>
      <c r="AQ493" s="68">
        <f ca="1">IF(AC493&gt;=1,G493,0)+SUMIF($H$4:$M$4,"&lt;="&amp;AD493,$H493:$M493)+IF(AD493&gt;=7,N493,0)+O493</f>
        <v>0</v>
      </c>
    </row>
    <row r="494" spans="1:43" x14ac:dyDescent="0.15">
      <c r="G494" s="107"/>
      <c r="H494" s="107"/>
      <c r="I494" s="107"/>
      <c r="J494" s="107"/>
      <c r="K494" s="107"/>
      <c r="L494" s="107"/>
      <c r="M494" s="107"/>
      <c r="N494" s="107"/>
      <c r="O494" s="107"/>
    </row>
    <row r="495" spans="1:43" x14ac:dyDescent="0.15">
      <c r="A495" s="59" t="s">
        <v>414</v>
      </c>
      <c r="B495" s="60">
        <f ca="1">OFFSET(①簡易状況入力!$C$5,MATCH(A495,①簡易状況入力!$C$5:$C$104,0)-1,1)</f>
        <v>0</v>
      </c>
      <c r="C495" s="145">
        <f ca="1">OFFSET(①簡易状況入力!$C$5,MATCH(A495,①簡易状況入力!$C$5:$C$104,0)-1,17)</f>
        <v>0</v>
      </c>
      <c r="D495" s="148" t="s">
        <v>47</v>
      </c>
      <c r="E495" s="56">
        <f ca="1">U498</f>
        <v>0</v>
      </c>
      <c r="F495" s="56">
        <f ca="1">U497</f>
        <v>0</v>
      </c>
      <c r="G495" s="102"/>
      <c r="H495" s="103"/>
      <c r="I495" s="103"/>
      <c r="J495" s="103"/>
      <c r="K495" s="103"/>
      <c r="L495" s="103"/>
      <c r="M495" s="103"/>
      <c r="N495" s="103"/>
      <c r="O495" s="103"/>
      <c r="Q495" s="57">
        <f ca="1">OFFSET(①簡易状況入力!$C$5,MATCH(A495,①簡易状況入力!$C$5:$C$104,0)-1,15)</f>
        <v>0</v>
      </c>
      <c r="R495" s="58"/>
      <c r="S495" s="58"/>
      <c r="T495" s="58"/>
      <c r="U495" s="58"/>
      <c r="V495" s="58"/>
      <c r="W495" s="58"/>
      <c r="X495" s="58"/>
      <c r="Y495" s="58"/>
      <c r="Z495" s="58"/>
      <c r="AA495" s="58"/>
      <c r="AB495" s="148" t="s">
        <v>47</v>
      </c>
      <c r="AC495" s="56">
        <f ca="1">U498</f>
        <v>0</v>
      </c>
      <c r="AD495" s="56">
        <f ca="1">U497</f>
        <v>0</v>
      </c>
      <c r="AE495" s="62" t="s">
        <v>46</v>
      </c>
      <c r="AF495" s="62" t="str">
        <f t="shared" ref="AF495" ca="1" si="1750">IF($C495="あり",IF(AF$4&lt;=$AD495,H495,"-"),IF(AF$4&lt;=$AD495,$AO495,"-"))</f>
        <v>-</v>
      </c>
      <c r="AG495" s="62" t="str">
        <f t="shared" ref="AG495" ca="1" si="1751">IF($C495="あり",IF(AG$4&lt;=$AD495,I495,"-"),IF(AG$4&lt;=$AD495,$AO495,"-"))</f>
        <v>-</v>
      </c>
      <c r="AH495" s="62" t="str">
        <f t="shared" ref="AH495" ca="1" si="1752">IF($C495="あり",IF(AH$4&lt;=$AD495,J495,"-"),IF(AH$4&lt;=$AD495,$AO495,"-"))</f>
        <v>-</v>
      </c>
      <c r="AI495" s="62" t="str">
        <f t="shared" ref="AI495" ca="1" si="1753">IF($C495="あり",IF(AI$4&lt;=$AD495,K495,"-"),IF(AI$4&lt;=$AD495,$AO495,"-"))</f>
        <v>-</v>
      </c>
      <c r="AJ495" s="62" t="str">
        <f t="shared" ref="AJ495" ca="1" si="1754">IF($C495="あり",IF(AJ$4&lt;=$AD495,L495,"-"),IF(AJ$4&lt;=$AD495,$AO495,"-"))</f>
        <v>-</v>
      </c>
      <c r="AK495" s="62" t="str">
        <f t="shared" ref="AK495" ca="1" si="1755">IF($C495="あり",IF(AK$4&lt;=$AD495,M495,"-"),IF(AK$4&lt;=$AD495,$AO495,"-"))</f>
        <v>-</v>
      </c>
      <c r="AL495" s="62" t="str">
        <f ca="1">IF($C495="あり",IF(7&lt;=$AD495,N495,"-"),IF(7&lt;=$AD495,$AO495*($AD495-6),"-"))</f>
        <v>-</v>
      </c>
      <c r="AM495" s="62">
        <f ca="1">IF(C495="あり",O495,AP495)</f>
        <v>0</v>
      </c>
      <c r="AN495" s="62">
        <f ca="1">SUM(U496,AF495:AM495)</f>
        <v>0</v>
      </c>
      <c r="AO495" s="42">
        <f ca="1">OFFSET(【DB】被害率係数!$A$4,MATCH(②詳細状況入力!$Y496,【DB】被害率係数!$A$4:$A$19,0)-1,16)</f>
        <v>0</v>
      </c>
      <c r="AP495" s="42">
        <f ca="1">OFFSET(【DB】被害率係数!$A$4,MATCH(②詳細状況入力!$Y496,【DB】被害率係数!$A$4:$A$19,0)-1,17)</f>
        <v>0</v>
      </c>
      <c r="AQ495" s="42"/>
    </row>
    <row r="496" spans="1:43" x14ac:dyDescent="0.15">
      <c r="A496" s="50"/>
      <c r="B496" s="50"/>
      <c r="C496" s="145">
        <f ca="1">OFFSET(①簡易状況入力!$C$5,MATCH(A495,①簡易状況入力!$C$5:$C$104,0)-1,18)</f>
        <v>0</v>
      </c>
      <c r="D496" s="148" t="s">
        <v>52</v>
      </c>
      <c r="E496" s="56">
        <f t="shared" ref="E496:F496" ca="1" si="1756">E495</f>
        <v>0</v>
      </c>
      <c r="F496" s="56">
        <f t="shared" ca="1" si="1756"/>
        <v>0</v>
      </c>
      <c r="G496" s="104"/>
      <c r="H496" s="104"/>
      <c r="I496" s="104"/>
      <c r="J496" s="104"/>
      <c r="K496" s="104"/>
      <c r="L496" s="104"/>
      <c r="M496" s="104"/>
      <c r="N496" s="104"/>
      <c r="O496" s="105"/>
      <c r="Q496" s="57">
        <f ca="1">OFFSET(①簡易状況入力!$C$5,MATCH(A495,①簡易状況入力!$C$5:$C$104,0)-1,16)</f>
        <v>0</v>
      </c>
      <c r="R496" s="58"/>
      <c r="S496" s="146" t="s">
        <v>115</v>
      </c>
      <c r="T496" s="146" t="s">
        <v>116</v>
      </c>
      <c r="U496" s="36">
        <f ca="1">OFFSET(①簡易状況入力!$C$5,MATCH(A495,①簡易状況入力!$C$5:$C$104,0)-1,4)</f>
        <v>0</v>
      </c>
      <c r="V496" s="58"/>
      <c r="W496" s="146" t="s">
        <v>30</v>
      </c>
      <c r="X496" s="37">
        <f ca="1">OFFSET(①簡易状況入力!$C$5,MATCH(A495,①簡易状況入力!$C$5:$C$104,0)-1,5)</f>
        <v>0</v>
      </c>
      <c r="Y496" s="149">
        <f ca="1">OFFSET(①簡易状況入力!$C$5,MATCH(A495,①簡易状況入力!$C$5:$C$104,0)-1,8)</f>
        <v>0</v>
      </c>
      <c r="Z496" s="149">
        <f ca="1">OFFSET(①簡易状況入力!$C$5,MATCH(A495,①簡易状況入力!$C$5:$C$104,0)-1,9)</f>
        <v>0</v>
      </c>
      <c r="AA496" s="149">
        <f ca="1">OFFSET(①簡易状況入力!$C$5,MATCH(A495,①簡易状況入力!$C$5:$C$104,0)-1,10)</f>
        <v>0</v>
      </c>
      <c r="AB496" s="148" t="s">
        <v>52</v>
      </c>
      <c r="AC496" s="56">
        <f t="shared" ref="AC496:AD496" ca="1" si="1757">AC495</f>
        <v>0</v>
      </c>
      <c r="AD496" s="56">
        <f t="shared" ca="1" si="1757"/>
        <v>0</v>
      </c>
      <c r="AE496" s="63">
        <f ca="1">IF($C496="あり",IF(AC496&gt;=1,G496/AQ496,0),IF(AC496&gt;=1,AO496*AC496,0))</f>
        <v>0</v>
      </c>
      <c r="AF496" s="63">
        <f t="shared" ref="AF496:AF498" ca="1" si="1758">IF($C496="あり",IF($AD496&gt;=AF$4,H496/$AQ496,0),IF($AD496&gt;=AF$4,$AO496,0))</f>
        <v>0</v>
      </c>
      <c r="AG496" s="63">
        <f t="shared" ref="AG496:AG498" ca="1" si="1759">IF($C496="あり",IF($AD496&gt;=AG$4,I496/$AQ496,0),IF($AD496&gt;=AG$4,$AO496,0))</f>
        <v>0</v>
      </c>
      <c r="AH496" s="63">
        <f t="shared" ref="AH496:AH498" ca="1" si="1760">IF($C496="あり",IF($AD496&gt;=AH$4,J496/$AQ496,0),IF($AD496&gt;=AH$4,$AO496,0))</f>
        <v>0</v>
      </c>
      <c r="AI496" s="63">
        <f t="shared" ref="AI496:AI498" ca="1" si="1761">IF($C496="あり",IF($AD496&gt;=AI$4,K496/$AQ496,0),IF($AD496&gt;=AI$4,$AO496,0))</f>
        <v>0</v>
      </c>
      <c r="AJ496" s="63">
        <f t="shared" ref="AJ496:AJ498" ca="1" si="1762">IF($C496="あり",IF($AD496&gt;=AJ$4,L496/$AQ496,0),IF($AD496&gt;=AJ$4,$AO496,0))</f>
        <v>0</v>
      </c>
      <c r="AK496" s="63">
        <f t="shared" ref="AK496:AK498" ca="1" si="1763">IF($C496="あり",IF($AD496&gt;=AK$4,M496/$AQ496,0),IF($AD496&gt;=AK$4,$AO496,0))</f>
        <v>0</v>
      </c>
      <c r="AL496" s="63">
        <f ca="1">IF($C496="あり",IF($AD496&gt;=7,N496/$AQ496,0),IF($AD496&gt;=7,$AO496*($AD496-6),0))</f>
        <v>0</v>
      </c>
      <c r="AM496" s="64" t="s">
        <v>46</v>
      </c>
      <c r="AN496" s="63">
        <f ca="1">SUM(AE496:AM496)</f>
        <v>0</v>
      </c>
      <c r="AO496" s="68" t="e">
        <f ca="1">1/(AC496+AD496)</f>
        <v>#DIV/0!</v>
      </c>
      <c r="AP496" s="67">
        <v>0</v>
      </c>
      <c r="AQ496" s="68">
        <f ca="1">IF(AC496&gt;=1,G496,0)+SUMIF($H$4:$M$4,"&lt;="&amp;AD496,$H496:$M496)+IF(AD496&gt;=7,N496,0)</f>
        <v>0</v>
      </c>
    </row>
    <row r="497" spans="1:43" x14ac:dyDescent="0.15">
      <c r="A497" s="50"/>
      <c r="B497" s="50"/>
      <c r="C497" s="145">
        <f ca="1">OFFSET(①簡易状況入力!$C$5,MATCH(A495,①簡易状況入力!$C$5:$C$104,0)-1,19)</f>
        <v>0</v>
      </c>
      <c r="D497" s="148" t="s">
        <v>50</v>
      </c>
      <c r="E497" s="56">
        <f t="shared" ref="E497" ca="1" si="1764">E496</f>
        <v>0</v>
      </c>
      <c r="F497" s="56">
        <f ca="1">F496</f>
        <v>0</v>
      </c>
      <c r="G497" s="104"/>
      <c r="H497" s="104"/>
      <c r="I497" s="104"/>
      <c r="J497" s="104"/>
      <c r="K497" s="104"/>
      <c r="L497" s="104"/>
      <c r="M497" s="104"/>
      <c r="N497" s="104"/>
      <c r="O497" s="106"/>
      <c r="Q497" s="50"/>
      <c r="R497" s="58"/>
      <c r="S497" s="165" t="s">
        <v>28</v>
      </c>
      <c r="T497" s="146" t="s">
        <v>35</v>
      </c>
      <c r="U497" s="35">
        <f ca="1">OFFSET(①簡易状況入力!$C$5,MATCH(A495,①簡易状況入力!$C$5:$C$104,0)-1,2)</f>
        <v>0</v>
      </c>
      <c r="V497" s="58"/>
      <c r="W497" s="146" t="s">
        <v>33</v>
      </c>
      <c r="X497" s="37">
        <f ca="1">OFFSET(①簡易状況入力!$C$5,MATCH(A495,①簡易状況入力!$C$5:$C$104,0)-1,6)</f>
        <v>0</v>
      </c>
      <c r="Y497" s="149">
        <f ca="1">OFFSET(①簡易状況入力!$C$5,MATCH(A495,①簡易状況入力!$C$5:$C$104,0)-1,11)</f>
        <v>0</v>
      </c>
      <c r="Z497" s="167">
        <f ca="1">OFFSET(①簡易状況入力!$C$5,MATCH(A495,①簡易状況入力!$C$5:$C$104,0)-1,12)</f>
        <v>0</v>
      </c>
      <c r="AA497" s="168"/>
      <c r="AB497" s="148" t="s">
        <v>50</v>
      </c>
      <c r="AC497" s="56">
        <f t="shared" ref="AC497:AD497" ca="1" si="1765">AC496</f>
        <v>0</v>
      </c>
      <c r="AD497" s="56">
        <f t="shared" ca="1" si="1765"/>
        <v>0</v>
      </c>
      <c r="AE497" s="63">
        <f ca="1">IF($C497="あり",IF(AC497&gt;=1,G497/AQ497,0),IF(AC497&gt;=1,AO497*AC497,0))</f>
        <v>0</v>
      </c>
      <c r="AF497" s="63">
        <f t="shared" ca="1" si="1758"/>
        <v>0</v>
      </c>
      <c r="AG497" s="63">
        <f t="shared" ca="1" si="1759"/>
        <v>0</v>
      </c>
      <c r="AH497" s="63">
        <f t="shared" ca="1" si="1760"/>
        <v>0</v>
      </c>
      <c r="AI497" s="63">
        <f t="shared" ca="1" si="1761"/>
        <v>0</v>
      </c>
      <c r="AJ497" s="63">
        <f t="shared" ca="1" si="1762"/>
        <v>0</v>
      </c>
      <c r="AK497" s="63">
        <f t="shared" ca="1" si="1763"/>
        <v>0</v>
      </c>
      <c r="AL497" s="63">
        <f ca="1">IF($C497="あり",IF($AD497&gt;=7,N497/$AQ497,0),IF($AD497&gt;=7,$AO497*($AD497-6),0))</f>
        <v>0</v>
      </c>
      <c r="AM497" s="65">
        <f ca="1">IF(C497="あり",O497/AQ497,AP497)</f>
        <v>0</v>
      </c>
      <c r="AN497" s="63">
        <f ca="1">SUM(AE497:AM497)</f>
        <v>0</v>
      </c>
      <c r="AO497" s="68" t="e">
        <f ca="1">1/(AC497+AD497)</f>
        <v>#DIV/0!</v>
      </c>
      <c r="AP497" s="67">
        <v>0</v>
      </c>
      <c r="AQ497" s="68">
        <f ca="1">IF(AC497&gt;=1,G497,0)+SUMIF($H$4:$M$4,"&lt;="&amp;AD497,$H497:$M497)+IF(AD497&gt;=7,N497,0)+O497</f>
        <v>0</v>
      </c>
    </row>
    <row r="498" spans="1:43" x14ac:dyDescent="0.15">
      <c r="A498" s="50"/>
      <c r="B498" s="50"/>
      <c r="C498" s="145">
        <f ca="1">OFFSET(①簡易状況入力!$C$5,MATCH(A495,①簡易状況入力!$C$5:$C$104,0)-1,20)</f>
        <v>0</v>
      </c>
      <c r="D498" s="148" t="s">
        <v>51</v>
      </c>
      <c r="E498" s="56">
        <f t="shared" ref="E498:F498" ca="1" si="1766">E497</f>
        <v>0</v>
      </c>
      <c r="F498" s="56">
        <f t="shared" ca="1" si="1766"/>
        <v>0</v>
      </c>
      <c r="G498" s="104"/>
      <c r="H498" s="104"/>
      <c r="I498" s="104"/>
      <c r="J498" s="104"/>
      <c r="K498" s="104"/>
      <c r="L498" s="104"/>
      <c r="M498" s="104"/>
      <c r="N498" s="104"/>
      <c r="O498" s="106"/>
      <c r="Q498" s="50"/>
      <c r="R498" s="58"/>
      <c r="S498" s="166"/>
      <c r="T498" s="146" t="s">
        <v>34</v>
      </c>
      <c r="U498" s="35">
        <f ca="1">OFFSET(①簡易状況入力!$C$5,MATCH(A495,①簡易状況入力!$C$5:$C$104,0)-1,3)</f>
        <v>0</v>
      </c>
      <c r="V498" s="58"/>
      <c r="W498" s="146" t="s">
        <v>118</v>
      </c>
      <c r="X498" s="37">
        <f ca="1">OFFSET(①簡易状況入力!$C$5,MATCH(A495,①簡易状況入力!$C$5:$C$104,0)-1,7)</f>
        <v>0</v>
      </c>
      <c r="Y498" s="149">
        <f ca="1">OFFSET(①簡易状況入力!$C$5,MATCH(A495,①簡易状況入力!$C$5:$C$104,0)-1,13)</f>
        <v>0</v>
      </c>
      <c r="Z498" s="167">
        <f ca="1">OFFSET(①簡易状況入力!$C$5,MATCH(A495,①簡易状況入力!$C$5:$C$104,0)-1,14)</f>
        <v>0</v>
      </c>
      <c r="AA498" s="168"/>
      <c r="AB498" s="148" t="s">
        <v>51</v>
      </c>
      <c r="AC498" s="56">
        <f t="shared" ref="AC498:AD498" ca="1" si="1767">AC497</f>
        <v>0</v>
      </c>
      <c r="AD498" s="56">
        <f t="shared" ca="1" si="1767"/>
        <v>0</v>
      </c>
      <c r="AE498" s="63">
        <f ca="1">IF($C498="あり",IF(AC498&gt;=1,G498/AQ498,0),IF(AC498&gt;=1,AO498*AC498,0))</f>
        <v>0</v>
      </c>
      <c r="AF498" s="63">
        <f t="shared" ca="1" si="1758"/>
        <v>0</v>
      </c>
      <c r="AG498" s="63">
        <f t="shared" ca="1" si="1759"/>
        <v>0</v>
      </c>
      <c r="AH498" s="63">
        <f t="shared" ca="1" si="1760"/>
        <v>0</v>
      </c>
      <c r="AI498" s="63">
        <f t="shared" ca="1" si="1761"/>
        <v>0</v>
      </c>
      <c r="AJ498" s="63">
        <f t="shared" ca="1" si="1762"/>
        <v>0</v>
      </c>
      <c r="AK498" s="63">
        <f t="shared" ca="1" si="1763"/>
        <v>0</v>
      </c>
      <c r="AL498" s="63">
        <f ca="1">IF($C498="あり",IF($AD498&gt;=7,N498/$AQ498,0),IF($AD498&gt;=7,$AO498*($AD498-6),0))</f>
        <v>0</v>
      </c>
      <c r="AM498" s="65">
        <f ca="1">IF(C498="あり",O498/AQ498,AP498)</f>
        <v>0</v>
      </c>
      <c r="AN498" s="63">
        <f ca="1">SUM(AE498:AM498)</f>
        <v>0</v>
      </c>
      <c r="AO498" s="68" t="e">
        <f ca="1">1/(AC498+AD498)</f>
        <v>#DIV/0!</v>
      </c>
      <c r="AP498" s="67">
        <v>0</v>
      </c>
      <c r="AQ498" s="68">
        <f ca="1">IF(AC498&gt;=1,G498,0)+SUMIF($H$4:$M$4,"&lt;="&amp;AD498,$H498:$M498)+IF(AD498&gt;=7,N498,0)+O498</f>
        <v>0</v>
      </c>
    </row>
    <row r="499" spans="1:43" x14ac:dyDescent="0.15">
      <c r="G499" s="107"/>
      <c r="H499" s="107"/>
      <c r="I499" s="107"/>
      <c r="J499" s="107"/>
      <c r="K499" s="107"/>
      <c r="L499" s="107"/>
      <c r="M499" s="107"/>
      <c r="N499" s="107"/>
      <c r="O499" s="107"/>
    </row>
    <row r="500" spans="1:43" x14ac:dyDescent="0.15">
      <c r="A500" s="59" t="s">
        <v>415</v>
      </c>
      <c r="B500" s="60">
        <f ca="1">OFFSET(①簡易状況入力!$C$5,MATCH(A500,①簡易状況入力!$C$5:$C$104,0)-1,1)</f>
        <v>0</v>
      </c>
      <c r="C500" s="145">
        <f ca="1">OFFSET(①簡易状況入力!$C$5,MATCH(A500,①簡易状況入力!$C$5:$C$104,0)-1,17)</f>
        <v>0</v>
      </c>
      <c r="D500" s="148" t="s">
        <v>47</v>
      </c>
      <c r="E500" s="56">
        <f ca="1">U503</f>
        <v>0</v>
      </c>
      <c r="F500" s="56">
        <f ca="1">U502</f>
        <v>0</v>
      </c>
      <c r="G500" s="102"/>
      <c r="H500" s="103"/>
      <c r="I500" s="103"/>
      <c r="J500" s="103"/>
      <c r="K500" s="103"/>
      <c r="L500" s="103"/>
      <c r="M500" s="103"/>
      <c r="N500" s="103"/>
      <c r="O500" s="103"/>
      <c r="Q500" s="57">
        <f ca="1">OFFSET(①簡易状況入力!$C$5,MATCH(A500,①簡易状況入力!$C$5:$C$104,0)-1,15)</f>
        <v>0</v>
      </c>
      <c r="R500" s="58"/>
      <c r="S500" s="58"/>
      <c r="T500" s="58"/>
      <c r="U500" s="58"/>
      <c r="V500" s="58"/>
      <c r="W500" s="58"/>
      <c r="X500" s="58"/>
      <c r="Y500" s="58"/>
      <c r="Z500" s="58"/>
      <c r="AA500" s="58"/>
      <c r="AB500" s="148" t="s">
        <v>47</v>
      </c>
      <c r="AC500" s="56">
        <f ca="1">U503</f>
        <v>0</v>
      </c>
      <c r="AD500" s="56">
        <f ca="1">U502</f>
        <v>0</v>
      </c>
      <c r="AE500" s="62" t="s">
        <v>46</v>
      </c>
      <c r="AF500" s="62" t="str">
        <f t="shared" ref="AF500" ca="1" si="1768">IF($C500="あり",IF(AF$4&lt;=$AD500,H500,"-"),IF(AF$4&lt;=$AD500,$AO500,"-"))</f>
        <v>-</v>
      </c>
      <c r="AG500" s="62" t="str">
        <f t="shared" ref="AG500" ca="1" si="1769">IF($C500="あり",IF(AG$4&lt;=$AD500,I500,"-"),IF(AG$4&lt;=$AD500,$AO500,"-"))</f>
        <v>-</v>
      </c>
      <c r="AH500" s="62" t="str">
        <f t="shared" ref="AH500" ca="1" si="1770">IF($C500="あり",IF(AH$4&lt;=$AD500,J500,"-"),IF(AH$4&lt;=$AD500,$AO500,"-"))</f>
        <v>-</v>
      </c>
      <c r="AI500" s="62" t="str">
        <f t="shared" ref="AI500" ca="1" si="1771">IF($C500="あり",IF(AI$4&lt;=$AD500,K500,"-"),IF(AI$4&lt;=$AD500,$AO500,"-"))</f>
        <v>-</v>
      </c>
      <c r="AJ500" s="62" t="str">
        <f t="shared" ref="AJ500" ca="1" si="1772">IF($C500="あり",IF(AJ$4&lt;=$AD500,L500,"-"),IF(AJ$4&lt;=$AD500,$AO500,"-"))</f>
        <v>-</v>
      </c>
      <c r="AK500" s="62" t="str">
        <f t="shared" ref="AK500" ca="1" si="1773">IF($C500="あり",IF(AK$4&lt;=$AD500,M500,"-"),IF(AK$4&lt;=$AD500,$AO500,"-"))</f>
        <v>-</v>
      </c>
      <c r="AL500" s="62" t="str">
        <f ca="1">IF($C500="あり",IF(7&lt;=$AD500,N500,"-"),IF(7&lt;=$AD500,$AO500*($AD500-6),"-"))</f>
        <v>-</v>
      </c>
      <c r="AM500" s="62">
        <f ca="1">IF(C500="あり",O500,AP500)</f>
        <v>0</v>
      </c>
      <c r="AN500" s="62">
        <f ca="1">SUM(U501,AF500:AM500)</f>
        <v>0</v>
      </c>
      <c r="AO500" s="42">
        <f ca="1">OFFSET(【DB】被害率係数!$A$4,MATCH(②詳細状況入力!$Y501,【DB】被害率係数!$A$4:$A$19,0)-1,16)</f>
        <v>0</v>
      </c>
      <c r="AP500" s="42">
        <f ca="1">OFFSET(【DB】被害率係数!$A$4,MATCH(②詳細状況入力!$Y501,【DB】被害率係数!$A$4:$A$19,0)-1,17)</f>
        <v>0</v>
      </c>
      <c r="AQ500" s="42"/>
    </row>
    <row r="501" spans="1:43" x14ac:dyDescent="0.15">
      <c r="A501" s="50"/>
      <c r="B501" s="50"/>
      <c r="C501" s="145">
        <f ca="1">OFFSET(①簡易状況入力!$C$5,MATCH(A500,①簡易状況入力!$C$5:$C$104,0)-1,18)</f>
        <v>0</v>
      </c>
      <c r="D501" s="148" t="s">
        <v>52</v>
      </c>
      <c r="E501" s="56">
        <f t="shared" ref="E501:F501" ca="1" si="1774">E500</f>
        <v>0</v>
      </c>
      <c r="F501" s="56">
        <f t="shared" ca="1" si="1774"/>
        <v>0</v>
      </c>
      <c r="G501" s="104"/>
      <c r="H501" s="104"/>
      <c r="I501" s="104"/>
      <c r="J501" s="104"/>
      <c r="K501" s="104"/>
      <c r="L501" s="104"/>
      <c r="M501" s="104"/>
      <c r="N501" s="104"/>
      <c r="O501" s="105"/>
      <c r="Q501" s="57">
        <f ca="1">OFFSET(①簡易状況入力!$C$5,MATCH(A500,①簡易状況入力!$C$5:$C$104,0)-1,16)</f>
        <v>0</v>
      </c>
      <c r="R501" s="58"/>
      <c r="S501" s="146" t="s">
        <v>115</v>
      </c>
      <c r="T501" s="146" t="s">
        <v>116</v>
      </c>
      <c r="U501" s="36">
        <f ca="1">OFFSET(①簡易状況入力!$C$5,MATCH(A500,①簡易状況入力!$C$5:$C$104,0)-1,4)</f>
        <v>0</v>
      </c>
      <c r="V501" s="58"/>
      <c r="W501" s="146" t="s">
        <v>30</v>
      </c>
      <c r="X501" s="37">
        <f ca="1">OFFSET(①簡易状況入力!$C$5,MATCH(A500,①簡易状況入力!$C$5:$C$104,0)-1,5)</f>
        <v>0</v>
      </c>
      <c r="Y501" s="149">
        <f ca="1">OFFSET(①簡易状況入力!$C$5,MATCH(A500,①簡易状況入力!$C$5:$C$104,0)-1,8)</f>
        <v>0</v>
      </c>
      <c r="Z501" s="149">
        <f ca="1">OFFSET(①簡易状況入力!$C$5,MATCH(A500,①簡易状況入力!$C$5:$C$104,0)-1,9)</f>
        <v>0</v>
      </c>
      <c r="AA501" s="149">
        <f ca="1">OFFSET(①簡易状況入力!$C$5,MATCH(A500,①簡易状況入力!$C$5:$C$104,0)-1,10)</f>
        <v>0</v>
      </c>
      <c r="AB501" s="148" t="s">
        <v>52</v>
      </c>
      <c r="AC501" s="56">
        <f t="shared" ref="AC501:AD501" ca="1" si="1775">AC500</f>
        <v>0</v>
      </c>
      <c r="AD501" s="56">
        <f t="shared" ca="1" si="1775"/>
        <v>0</v>
      </c>
      <c r="AE501" s="63">
        <f ca="1">IF($C501="あり",IF(AC501&gt;=1,G501/AQ501,0),IF(AC501&gt;=1,AO501*AC501,0))</f>
        <v>0</v>
      </c>
      <c r="AF501" s="63">
        <f t="shared" ref="AF501:AF503" ca="1" si="1776">IF($C501="あり",IF($AD501&gt;=AF$4,H501/$AQ501,0),IF($AD501&gt;=AF$4,$AO501,0))</f>
        <v>0</v>
      </c>
      <c r="AG501" s="63">
        <f t="shared" ref="AG501:AG503" ca="1" si="1777">IF($C501="あり",IF($AD501&gt;=AG$4,I501/$AQ501,0),IF($AD501&gt;=AG$4,$AO501,0))</f>
        <v>0</v>
      </c>
      <c r="AH501" s="63">
        <f t="shared" ref="AH501:AH503" ca="1" si="1778">IF($C501="あり",IF($AD501&gt;=AH$4,J501/$AQ501,0),IF($AD501&gt;=AH$4,$AO501,0))</f>
        <v>0</v>
      </c>
      <c r="AI501" s="63">
        <f t="shared" ref="AI501:AI503" ca="1" si="1779">IF($C501="あり",IF($AD501&gt;=AI$4,K501/$AQ501,0),IF($AD501&gt;=AI$4,$AO501,0))</f>
        <v>0</v>
      </c>
      <c r="AJ501" s="63">
        <f t="shared" ref="AJ501:AJ503" ca="1" si="1780">IF($C501="あり",IF($AD501&gt;=AJ$4,L501/$AQ501,0),IF($AD501&gt;=AJ$4,$AO501,0))</f>
        <v>0</v>
      </c>
      <c r="AK501" s="63">
        <f t="shared" ref="AK501:AK503" ca="1" si="1781">IF($C501="あり",IF($AD501&gt;=AK$4,M501/$AQ501,0),IF($AD501&gt;=AK$4,$AO501,0))</f>
        <v>0</v>
      </c>
      <c r="AL501" s="63">
        <f ca="1">IF($C501="あり",IF($AD501&gt;=7,N501/$AQ501,0),IF($AD501&gt;=7,$AO501*($AD501-6),0))</f>
        <v>0</v>
      </c>
      <c r="AM501" s="64" t="s">
        <v>46</v>
      </c>
      <c r="AN501" s="63">
        <f ca="1">SUM(AE501:AM501)</f>
        <v>0</v>
      </c>
      <c r="AO501" s="68" t="e">
        <f ca="1">1/(AC501+AD501)</f>
        <v>#DIV/0!</v>
      </c>
      <c r="AP501" s="67">
        <v>0</v>
      </c>
      <c r="AQ501" s="68">
        <f ca="1">IF(AC501&gt;=1,G501,0)+SUMIF($H$4:$M$4,"&lt;="&amp;AD501,$H501:$M501)+IF(AD501&gt;=7,N501,0)</f>
        <v>0</v>
      </c>
    </row>
    <row r="502" spans="1:43" x14ac:dyDescent="0.15">
      <c r="A502" s="50"/>
      <c r="B502" s="50"/>
      <c r="C502" s="145">
        <f ca="1">OFFSET(①簡易状況入力!$C$5,MATCH(A500,①簡易状況入力!$C$5:$C$104,0)-1,19)</f>
        <v>0</v>
      </c>
      <c r="D502" s="148" t="s">
        <v>50</v>
      </c>
      <c r="E502" s="56">
        <f t="shared" ref="E502" ca="1" si="1782">E501</f>
        <v>0</v>
      </c>
      <c r="F502" s="56">
        <f ca="1">F501</f>
        <v>0</v>
      </c>
      <c r="G502" s="104"/>
      <c r="H502" s="104"/>
      <c r="I502" s="104"/>
      <c r="J502" s="104"/>
      <c r="K502" s="104"/>
      <c r="L502" s="104"/>
      <c r="M502" s="104"/>
      <c r="N502" s="104"/>
      <c r="O502" s="106"/>
      <c r="Q502" s="50"/>
      <c r="R502" s="58"/>
      <c r="S502" s="165" t="s">
        <v>28</v>
      </c>
      <c r="T502" s="146" t="s">
        <v>35</v>
      </c>
      <c r="U502" s="35">
        <f ca="1">OFFSET(①簡易状況入力!$C$5,MATCH(A500,①簡易状況入力!$C$5:$C$104,0)-1,2)</f>
        <v>0</v>
      </c>
      <c r="V502" s="58"/>
      <c r="W502" s="146" t="s">
        <v>33</v>
      </c>
      <c r="X502" s="37">
        <f ca="1">OFFSET(①簡易状況入力!$C$5,MATCH(A500,①簡易状況入力!$C$5:$C$104,0)-1,6)</f>
        <v>0</v>
      </c>
      <c r="Y502" s="149">
        <f ca="1">OFFSET(①簡易状況入力!$C$5,MATCH(A500,①簡易状況入力!$C$5:$C$104,0)-1,11)</f>
        <v>0</v>
      </c>
      <c r="Z502" s="167">
        <f ca="1">OFFSET(①簡易状況入力!$C$5,MATCH(A500,①簡易状況入力!$C$5:$C$104,0)-1,12)</f>
        <v>0</v>
      </c>
      <c r="AA502" s="168"/>
      <c r="AB502" s="148" t="s">
        <v>50</v>
      </c>
      <c r="AC502" s="56">
        <f t="shared" ref="AC502:AD502" ca="1" si="1783">AC501</f>
        <v>0</v>
      </c>
      <c r="AD502" s="56">
        <f t="shared" ca="1" si="1783"/>
        <v>0</v>
      </c>
      <c r="AE502" s="63">
        <f ca="1">IF($C502="あり",IF(AC502&gt;=1,G502/AQ502,0),IF(AC502&gt;=1,AO502*AC502,0))</f>
        <v>0</v>
      </c>
      <c r="AF502" s="63">
        <f t="shared" ca="1" si="1776"/>
        <v>0</v>
      </c>
      <c r="AG502" s="63">
        <f t="shared" ca="1" si="1777"/>
        <v>0</v>
      </c>
      <c r="AH502" s="63">
        <f t="shared" ca="1" si="1778"/>
        <v>0</v>
      </c>
      <c r="AI502" s="63">
        <f t="shared" ca="1" si="1779"/>
        <v>0</v>
      </c>
      <c r="AJ502" s="63">
        <f t="shared" ca="1" si="1780"/>
        <v>0</v>
      </c>
      <c r="AK502" s="63">
        <f t="shared" ca="1" si="1781"/>
        <v>0</v>
      </c>
      <c r="AL502" s="63">
        <f ca="1">IF($C502="あり",IF($AD502&gt;=7,N502/$AQ502,0),IF($AD502&gt;=7,$AO502*($AD502-6),0))</f>
        <v>0</v>
      </c>
      <c r="AM502" s="65">
        <f ca="1">IF(C502="あり",O502/AQ502,AP502)</f>
        <v>0</v>
      </c>
      <c r="AN502" s="63">
        <f ca="1">SUM(AE502:AM502)</f>
        <v>0</v>
      </c>
      <c r="AO502" s="68" t="e">
        <f ca="1">1/(AC502+AD502)</f>
        <v>#DIV/0!</v>
      </c>
      <c r="AP502" s="67">
        <v>0</v>
      </c>
      <c r="AQ502" s="68">
        <f ca="1">IF(AC502&gt;=1,G502,0)+SUMIF($H$4:$M$4,"&lt;="&amp;AD502,$H502:$M502)+IF(AD502&gt;=7,N502,0)+O502</f>
        <v>0</v>
      </c>
    </row>
    <row r="503" spans="1:43" x14ac:dyDescent="0.15">
      <c r="A503" s="50"/>
      <c r="B503" s="50"/>
      <c r="C503" s="145">
        <f ca="1">OFFSET(①簡易状況入力!$C$5,MATCH(A500,①簡易状況入力!$C$5:$C$104,0)-1,20)</f>
        <v>0</v>
      </c>
      <c r="D503" s="148" t="s">
        <v>51</v>
      </c>
      <c r="E503" s="56">
        <f t="shared" ref="E503:F503" ca="1" si="1784">E502</f>
        <v>0</v>
      </c>
      <c r="F503" s="56">
        <f t="shared" ca="1" si="1784"/>
        <v>0</v>
      </c>
      <c r="G503" s="104"/>
      <c r="H503" s="104"/>
      <c r="I503" s="104"/>
      <c r="J503" s="104"/>
      <c r="K503" s="104"/>
      <c r="L503" s="104"/>
      <c r="M503" s="104"/>
      <c r="N503" s="104"/>
      <c r="O503" s="106"/>
      <c r="Q503" s="50"/>
      <c r="R503" s="58"/>
      <c r="S503" s="166"/>
      <c r="T503" s="146" t="s">
        <v>34</v>
      </c>
      <c r="U503" s="35">
        <f ca="1">OFFSET(①簡易状況入力!$C$5,MATCH(A500,①簡易状況入力!$C$5:$C$104,0)-1,3)</f>
        <v>0</v>
      </c>
      <c r="V503" s="58"/>
      <c r="W503" s="146" t="s">
        <v>118</v>
      </c>
      <c r="X503" s="37">
        <f ca="1">OFFSET(①簡易状況入力!$C$5,MATCH(A500,①簡易状況入力!$C$5:$C$104,0)-1,7)</f>
        <v>0</v>
      </c>
      <c r="Y503" s="149">
        <f ca="1">OFFSET(①簡易状況入力!$C$5,MATCH(A500,①簡易状況入力!$C$5:$C$104,0)-1,13)</f>
        <v>0</v>
      </c>
      <c r="Z503" s="167">
        <f ca="1">OFFSET(①簡易状況入力!$C$5,MATCH(A500,①簡易状況入力!$C$5:$C$104,0)-1,14)</f>
        <v>0</v>
      </c>
      <c r="AA503" s="168"/>
      <c r="AB503" s="148" t="s">
        <v>51</v>
      </c>
      <c r="AC503" s="56">
        <f t="shared" ref="AC503:AD503" ca="1" si="1785">AC502</f>
        <v>0</v>
      </c>
      <c r="AD503" s="56">
        <f t="shared" ca="1" si="1785"/>
        <v>0</v>
      </c>
      <c r="AE503" s="63">
        <f ca="1">IF($C503="あり",IF(AC503&gt;=1,G503/AQ503,0),IF(AC503&gt;=1,AO503*AC503,0))</f>
        <v>0</v>
      </c>
      <c r="AF503" s="63">
        <f t="shared" ca="1" si="1776"/>
        <v>0</v>
      </c>
      <c r="AG503" s="63">
        <f t="shared" ca="1" si="1777"/>
        <v>0</v>
      </c>
      <c r="AH503" s="63">
        <f t="shared" ca="1" si="1778"/>
        <v>0</v>
      </c>
      <c r="AI503" s="63">
        <f t="shared" ca="1" si="1779"/>
        <v>0</v>
      </c>
      <c r="AJ503" s="63">
        <f t="shared" ca="1" si="1780"/>
        <v>0</v>
      </c>
      <c r="AK503" s="63">
        <f t="shared" ca="1" si="1781"/>
        <v>0</v>
      </c>
      <c r="AL503" s="63">
        <f ca="1">IF($C503="あり",IF($AD503&gt;=7,N503/$AQ503,0),IF($AD503&gt;=7,$AO503*($AD503-6),0))</f>
        <v>0</v>
      </c>
      <c r="AM503" s="65">
        <f ca="1">IF(C503="あり",O503/AQ503,AP503)</f>
        <v>0</v>
      </c>
      <c r="AN503" s="63">
        <f ca="1">SUM(AE503:AM503)</f>
        <v>0</v>
      </c>
      <c r="AO503" s="68" t="e">
        <f ca="1">1/(AC503+AD503)</f>
        <v>#DIV/0!</v>
      </c>
      <c r="AP503" s="67">
        <v>0</v>
      </c>
      <c r="AQ503" s="68">
        <f ca="1">IF(AC503&gt;=1,G503,0)+SUMIF($H$4:$M$4,"&lt;="&amp;AD503,$H503:$M503)+IF(AD503&gt;=7,N503,0)+O503</f>
        <v>0</v>
      </c>
    </row>
    <row r="505" spans="1:43" x14ac:dyDescent="0.15">
      <c r="A505" s="59" t="s">
        <v>157</v>
      </c>
      <c r="B505" s="60">
        <f ca="1">OFFSET(①簡易状況入力!$C$109,MATCH($A505,①簡易状況入力!$C$109:$C$118,0)-1,1)</f>
        <v>0</v>
      </c>
      <c r="C505" s="129">
        <f ca="1">OFFSET(①簡易状況入力!$C$109,MATCH($A505,①簡易状況入力!$C$109:$C$118,0)-1,9)</f>
        <v>0</v>
      </c>
      <c r="D505" s="130" t="s">
        <v>47</v>
      </c>
      <c r="E505" s="55" t="s">
        <v>114</v>
      </c>
      <c r="F505" s="55" t="s">
        <v>114</v>
      </c>
      <c r="G505" s="55" t="s">
        <v>114</v>
      </c>
      <c r="H505" s="103"/>
      <c r="Q505" s="36">
        <f ca="1">OFFSET(①簡易状況入力!$C$109,MATCH($A505,①簡易状況入力!$C$109:$C$118,0)-1,7)</f>
        <v>0</v>
      </c>
      <c r="R505" s="58"/>
      <c r="S505" s="34" t="s">
        <v>115</v>
      </c>
      <c r="T505" s="34" t="s">
        <v>116</v>
      </c>
      <c r="U505" s="36">
        <f ca="1">OFFSET(①簡易状況入力!$C$109,MATCH($A505,①簡易状況入力!$C$109:$C$118,0)-1,2)</f>
        <v>0</v>
      </c>
      <c r="V505" s="58"/>
      <c r="W505" s="34" t="s">
        <v>48</v>
      </c>
      <c r="X505" s="37">
        <f ca="1">OFFSET(①簡易状況入力!$C$109,MATCH($A505,①簡易状況入力!$C$109:$C$118,0)-1,3)</f>
        <v>0</v>
      </c>
      <c r="Y505" s="26">
        <f ca="1">OFFSET(①簡易状況入力!$C$109,MATCH($A505,①簡易状況入力!$C$109:$C$118,0)-1,4)</f>
        <v>0</v>
      </c>
      <c r="Z505" s="26">
        <f ca="1">OFFSET(①簡易状況入力!$C$109,MATCH($A505,①簡易状況入力!$C$109:$C$118,0)-1,5)</f>
        <v>0</v>
      </c>
      <c r="AA505" s="26">
        <f ca="1">OFFSET(①簡易状況入力!$C$109,MATCH($A505,①簡易状況入力!$C$109:$C$118,0)-1,6)</f>
        <v>0</v>
      </c>
      <c r="AB505" s="27" t="s">
        <v>47</v>
      </c>
      <c r="AF505" s="62">
        <f ca="1">IF(C505="あり",H505,AO505)</f>
        <v>0</v>
      </c>
      <c r="AO505" s="42">
        <f ca="1">OFFSET(【DB】被害率係数!$A$4,MATCH(②詳細状況入力!$Y505,【DB】被害率係数!$A$4:$A$19,0)-1,16)</f>
        <v>0</v>
      </c>
    </row>
    <row r="506" spans="1:43" x14ac:dyDescent="0.15">
      <c r="H506" s="107"/>
      <c r="Q506" s="36">
        <f ca="1">OFFSET(①簡易状況入力!$C$109,MATCH($A505,①簡易状況入力!$C$109:$C$118,0)-1,8)</f>
        <v>0</v>
      </c>
    </row>
    <row r="507" spans="1:43" x14ac:dyDescent="0.15">
      <c r="H507" s="107"/>
    </row>
    <row r="508" spans="1:43" x14ac:dyDescent="0.15">
      <c r="A508" s="59" t="s">
        <v>201</v>
      </c>
      <c r="B508" s="60">
        <f ca="1">OFFSET(①簡易状況入力!$C$109,MATCH($A508,①簡易状況入力!$C$109:$C$118,0)-1,1)</f>
        <v>0</v>
      </c>
      <c r="C508" s="129">
        <f ca="1">OFFSET(①簡易状況入力!$C$109,MATCH($A508,①簡易状況入力!$C$109:$C$118,0)-1,9)</f>
        <v>0</v>
      </c>
      <c r="D508" s="130" t="s">
        <v>47</v>
      </c>
      <c r="E508" s="55" t="s">
        <v>114</v>
      </c>
      <c r="F508" s="55" t="s">
        <v>114</v>
      </c>
      <c r="G508" s="55" t="s">
        <v>114</v>
      </c>
      <c r="H508" s="103"/>
      <c r="Q508" s="36">
        <f ca="1">OFFSET(①簡易状況入力!$C$109,MATCH($A508,①簡易状況入力!$C$109:$C$118,0)-1,7)</f>
        <v>0</v>
      </c>
      <c r="R508" s="58"/>
      <c r="S508" s="34" t="s">
        <v>115</v>
      </c>
      <c r="T508" s="34" t="s">
        <v>182</v>
      </c>
      <c r="U508" s="36">
        <f ca="1">OFFSET(①簡易状況入力!$C$109,MATCH($A508,①簡易状況入力!$C$109:$C$118,0)-1,2)</f>
        <v>0</v>
      </c>
      <c r="V508" s="58"/>
      <c r="W508" s="34" t="s">
        <v>48</v>
      </c>
      <c r="X508" s="37">
        <f ca="1">OFFSET(①簡易状況入力!$C$109,MATCH($A508,①簡易状況入力!$C$109:$C$118,0)-1,3)</f>
        <v>0</v>
      </c>
      <c r="Y508" s="26">
        <f ca="1">OFFSET(①簡易状況入力!$C$109,MATCH($A508,①簡易状況入力!$C$109:$C$118,0)-1,4)</f>
        <v>0</v>
      </c>
      <c r="Z508" s="26">
        <f ca="1">OFFSET(①簡易状況入力!$C$109,MATCH($A508,①簡易状況入力!$C$109:$C$118,0)-1,5)</f>
        <v>0</v>
      </c>
      <c r="AA508" s="26">
        <f ca="1">OFFSET(①簡易状況入力!$C$109,MATCH($A508,①簡易状況入力!$C$109:$C$118,0)-1,6)</f>
        <v>0</v>
      </c>
      <c r="AB508" s="27" t="s">
        <v>47</v>
      </c>
      <c r="AF508" s="62">
        <f ca="1">IF(C508="あり",H508,AO508)</f>
        <v>0</v>
      </c>
      <c r="AO508" s="42">
        <f ca="1">OFFSET(【DB】被害率係数!$A$4,MATCH(②詳細状況入力!$Y508,【DB】被害率係数!$A$4:$A$19,0)-1,16)</f>
        <v>0</v>
      </c>
    </row>
    <row r="509" spans="1:43" x14ac:dyDescent="0.15">
      <c r="H509" s="107"/>
      <c r="Q509" s="36">
        <f ca="1">OFFSET(①簡易状況入力!$C$109,MATCH($A508,①簡易状況入力!$C$109:$C$118,0)-1,8)</f>
        <v>0</v>
      </c>
    </row>
    <row r="510" spans="1:43" x14ac:dyDescent="0.15">
      <c r="H510" s="107"/>
    </row>
    <row r="511" spans="1:43" x14ac:dyDescent="0.15">
      <c r="A511" s="59" t="s">
        <v>202</v>
      </c>
      <c r="B511" s="60">
        <f ca="1">OFFSET(①簡易状況入力!$C$109,MATCH($A511,①簡易状況入力!$C$109:$C$118,0)-1,1)</f>
        <v>0</v>
      </c>
      <c r="C511" s="129">
        <f ca="1">OFFSET(①簡易状況入力!$C$109,MATCH($A511,①簡易状況入力!$C$109:$C$118,0)-1,9)</f>
        <v>0</v>
      </c>
      <c r="D511" s="130" t="s">
        <v>47</v>
      </c>
      <c r="E511" s="55" t="s">
        <v>114</v>
      </c>
      <c r="F511" s="55" t="s">
        <v>114</v>
      </c>
      <c r="G511" s="55" t="s">
        <v>114</v>
      </c>
      <c r="H511" s="103"/>
      <c r="Q511" s="36">
        <f ca="1">OFFSET(①簡易状況入力!$C$109,MATCH($A511,①簡易状況入力!$C$109:$C$118,0)-1,7)</f>
        <v>0</v>
      </c>
      <c r="R511" s="58"/>
      <c r="S511" s="34" t="s">
        <v>115</v>
      </c>
      <c r="T511" s="34" t="s">
        <v>182</v>
      </c>
      <c r="U511" s="36">
        <f ca="1">OFFSET(①簡易状況入力!$C$109,MATCH($A511,①簡易状況入力!$C$109:$C$118,0)-1,2)</f>
        <v>0</v>
      </c>
      <c r="V511" s="58"/>
      <c r="W511" s="34" t="s">
        <v>48</v>
      </c>
      <c r="X511" s="37">
        <f ca="1">OFFSET(①簡易状況入力!$C$109,MATCH($A511,①簡易状況入力!$C$109:$C$118,0)-1,3)</f>
        <v>0</v>
      </c>
      <c r="Y511" s="26">
        <f ca="1">OFFSET(①簡易状況入力!$C$109,MATCH($A511,①簡易状況入力!$C$109:$C$118,0)-1,4)</f>
        <v>0</v>
      </c>
      <c r="Z511" s="26">
        <f ca="1">OFFSET(①簡易状況入力!$C$109,MATCH($A511,①簡易状況入力!$C$109:$C$118,0)-1,5)</f>
        <v>0</v>
      </c>
      <c r="AA511" s="26">
        <f ca="1">OFFSET(①簡易状況入力!$C$109,MATCH($A511,①簡易状況入力!$C$109:$C$118,0)-1,6)</f>
        <v>0</v>
      </c>
      <c r="AB511" s="27" t="s">
        <v>47</v>
      </c>
      <c r="AF511" s="62">
        <f ca="1">IF(C511="あり",H511,AO511)</f>
        <v>0</v>
      </c>
      <c r="AO511" s="42">
        <f ca="1">OFFSET(【DB】被害率係数!$A$4,MATCH(②詳細状況入力!$Y511,【DB】被害率係数!$A$4:$A$19,0)-1,16)</f>
        <v>0</v>
      </c>
    </row>
    <row r="512" spans="1:43" x14ac:dyDescent="0.15">
      <c r="H512" s="107"/>
      <c r="Q512" s="36">
        <f ca="1">OFFSET(①簡易状況入力!$C$109,MATCH($A511,①簡易状況入力!$C$109:$C$118,0)-1,8)</f>
        <v>0</v>
      </c>
    </row>
    <row r="513" spans="1:41" x14ac:dyDescent="0.15">
      <c r="H513" s="107"/>
    </row>
    <row r="514" spans="1:41" x14ac:dyDescent="0.15">
      <c r="A514" s="59" t="s">
        <v>203</v>
      </c>
      <c r="B514" s="60">
        <f ca="1">OFFSET(①簡易状況入力!$C$109,MATCH($A514,①簡易状況入力!$C$109:$C$118,0)-1,1)</f>
        <v>0</v>
      </c>
      <c r="C514" s="129">
        <f ca="1">OFFSET(①簡易状況入力!$C$109,MATCH($A514,①簡易状況入力!$C$109:$C$118,0)-1,9)</f>
        <v>0</v>
      </c>
      <c r="D514" s="130" t="s">
        <v>47</v>
      </c>
      <c r="E514" s="55" t="s">
        <v>114</v>
      </c>
      <c r="F514" s="55" t="s">
        <v>114</v>
      </c>
      <c r="G514" s="55" t="s">
        <v>114</v>
      </c>
      <c r="H514" s="103"/>
      <c r="Q514" s="36">
        <f ca="1">OFFSET(①簡易状況入力!$C$109,MATCH($A514,①簡易状況入力!$C$109:$C$118,0)-1,7)</f>
        <v>0</v>
      </c>
      <c r="R514" s="58"/>
      <c r="S514" s="34" t="s">
        <v>115</v>
      </c>
      <c r="T514" s="34" t="s">
        <v>182</v>
      </c>
      <c r="U514" s="36">
        <f ca="1">OFFSET(①簡易状況入力!$C$109,MATCH($A514,①簡易状況入力!$C$109:$C$118,0)-1,2)</f>
        <v>0</v>
      </c>
      <c r="V514" s="58"/>
      <c r="W514" s="34" t="s">
        <v>48</v>
      </c>
      <c r="X514" s="37">
        <f ca="1">OFFSET(①簡易状況入力!$C$109,MATCH($A514,①簡易状況入力!$C$109:$C$118,0)-1,3)</f>
        <v>0</v>
      </c>
      <c r="Y514" s="26">
        <f ca="1">OFFSET(①簡易状況入力!$C$109,MATCH($A514,①簡易状況入力!$C$109:$C$118,0)-1,4)</f>
        <v>0</v>
      </c>
      <c r="Z514" s="26">
        <f ca="1">OFFSET(①簡易状況入力!$C$109,MATCH($A514,①簡易状況入力!$C$109:$C$118,0)-1,5)</f>
        <v>0</v>
      </c>
      <c r="AA514" s="26">
        <f ca="1">OFFSET(①簡易状況入力!$C$109,MATCH($A514,①簡易状況入力!$C$109:$C$118,0)-1,6)</f>
        <v>0</v>
      </c>
      <c r="AB514" s="27" t="s">
        <v>47</v>
      </c>
      <c r="AF514" s="62">
        <f ca="1">IF(C514="あり",H514,AO514)</f>
        <v>0</v>
      </c>
      <c r="AO514" s="42">
        <f ca="1">OFFSET(【DB】被害率係数!$A$4,MATCH(②詳細状況入力!$Y514,【DB】被害率係数!$A$4:$A$19,0)-1,16)</f>
        <v>0</v>
      </c>
    </row>
    <row r="515" spans="1:41" x14ac:dyDescent="0.15">
      <c r="H515" s="107"/>
      <c r="Q515" s="36">
        <f ca="1">OFFSET(①簡易状況入力!$C$109,MATCH($A514,①簡易状況入力!$C$109:$C$118,0)-1,8)</f>
        <v>0</v>
      </c>
    </row>
    <row r="516" spans="1:41" x14ac:dyDescent="0.15">
      <c r="H516" s="107"/>
    </row>
    <row r="517" spans="1:41" x14ac:dyDescent="0.15">
      <c r="A517" s="59" t="s">
        <v>204</v>
      </c>
      <c r="B517" s="60">
        <f ca="1">OFFSET(①簡易状況入力!$C$109,MATCH($A517,①簡易状況入力!$C$109:$C$118,0)-1,1)</f>
        <v>0</v>
      </c>
      <c r="C517" s="129">
        <f ca="1">OFFSET(①簡易状況入力!$C$109,MATCH($A517,①簡易状況入力!$C$109:$C$118,0)-1,9)</f>
        <v>0</v>
      </c>
      <c r="D517" s="130" t="s">
        <v>47</v>
      </c>
      <c r="E517" s="55" t="s">
        <v>114</v>
      </c>
      <c r="F517" s="55" t="s">
        <v>114</v>
      </c>
      <c r="G517" s="55" t="s">
        <v>114</v>
      </c>
      <c r="H517" s="103"/>
      <c r="Q517" s="36">
        <f ca="1">OFFSET(①簡易状況入力!$C$109,MATCH($A517,①簡易状況入力!$C$109:$C$118,0)-1,7)</f>
        <v>0</v>
      </c>
      <c r="R517" s="58"/>
      <c r="S517" s="34" t="s">
        <v>115</v>
      </c>
      <c r="T517" s="34" t="s">
        <v>182</v>
      </c>
      <c r="U517" s="36">
        <f ca="1">OFFSET(①簡易状況入力!$C$109,MATCH($A517,①簡易状況入力!$C$109:$C$118,0)-1,2)</f>
        <v>0</v>
      </c>
      <c r="V517" s="58"/>
      <c r="W517" s="34" t="s">
        <v>48</v>
      </c>
      <c r="X517" s="37">
        <f ca="1">OFFSET(①簡易状況入力!$C$109,MATCH($A517,①簡易状況入力!$C$109:$C$118,0)-1,3)</f>
        <v>0</v>
      </c>
      <c r="Y517" s="26">
        <f ca="1">OFFSET(①簡易状況入力!$C$109,MATCH($A517,①簡易状況入力!$C$109:$C$118,0)-1,4)</f>
        <v>0</v>
      </c>
      <c r="Z517" s="26">
        <f ca="1">OFFSET(①簡易状況入力!$C$109,MATCH($A517,①簡易状況入力!$C$109:$C$118,0)-1,5)</f>
        <v>0</v>
      </c>
      <c r="AA517" s="26">
        <f ca="1">OFFSET(①簡易状況入力!$C$109,MATCH($A517,①簡易状況入力!$C$109:$C$118,0)-1,6)</f>
        <v>0</v>
      </c>
      <c r="AB517" s="27" t="s">
        <v>47</v>
      </c>
      <c r="AF517" s="62">
        <f ca="1">IF(C517="あり",H517,AO517)</f>
        <v>0</v>
      </c>
      <c r="AO517" s="42">
        <f ca="1">OFFSET(【DB】被害率係数!$A$4,MATCH(②詳細状況入力!$Y517,【DB】被害率係数!$A$4:$A$19,0)-1,16)</f>
        <v>0</v>
      </c>
    </row>
    <row r="518" spans="1:41" x14ac:dyDescent="0.15">
      <c r="H518" s="107"/>
      <c r="Q518" s="36">
        <f ca="1">OFFSET(①簡易状況入力!$C$109,MATCH($A517,①簡易状況入力!$C$109:$C$118,0)-1,8)</f>
        <v>0</v>
      </c>
    </row>
    <row r="519" spans="1:41" x14ac:dyDescent="0.15">
      <c r="H519" s="107"/>
    </row>
    <row r="520" spans="1:41" x14ac:dyDescent="0.15">
      <c r="A520" s="59" t="s">
        <v>205</v>
      </c>
      <c r="B520" s="60">
        <f ca="1">OFFSET(①簡易状況入力!$C$109,MATCH($A520,①簡易状況入力!$C$109:$C$118,0)-1,1)</f>
        <v>0</v>
      </c>
      <c r="C520" s="129">
        <f ca="1">OFFSET(①簡易状況入力!$C$109,MATCH($A520,①簡易状況入力!$C$109:$C$118,0)-1,9)</f>
        <v>0</v>
      </c>
      <c r="D520" s="130" t="s">
        <v>47</v>
      </c>
      <c r="E520" s="55" t="s">
        <v>114</v>
      </c>
      <c r="F520" s="55" t="s">
        <v>114</v>
      </c>
      <c r="G520" s="55" t="s">
        <v>114</v>
      </c>
      <c r="H520" s="103"/>
      <c r="Q520" s="36">
        <f ca="1">OFFSET(①簡易状況入力!$C$109,MATCH($A520,①簡易状況入力!$C$109:$C$118,0)-1,7)</f>
        <v>0</v>
      </c>
      <c r="R520" s="58"/>
      <c r="S520" s="34" t="s">
        <v>115</v>
      </c>
      <c r="T520" s="34" t="s">
        <v>182</v>
      </c>
      <c r="U520" s="36">
        <f ca="1">OFFSET(①簡易状況入力!$C$109,MATCH($A520,①簡易状況入力!$C$109:$C$118,0)-1,2)</f>
        <v>0</v>
      </c>
      <c r="V520" s="58"/>
      <c r="W520" s="34" t="s">
        <v>48</v>
      </c>
      <c r="X520" s="37">
        <f ca="1">OFFSET(①簡易状況入力!$C$109,MATCH($A520,①簡易状況入力!$C$109:$C$118,0)-1,3)</f>
        <v>0</v>
      </c>
      <c r="Y520" s="26">
        <f ca="1">OFFSET(①簡易状況入力!$C$109,MATCH($A520,①簡易状況入力!$C$109:$C$118,0)-1,4)</f>
        <v>0</v>
      </c>
      <c r="Z520" s="26">
        <f ca="1">OFFSET(①簡易状況入力!$C$109,MATCH($A520,①簡易状況入力!$C$109:$C$118,0)-1,5)</f>
        <v>0</v>
      </c>
      <c r="AA520" s="26">
        <f ca="1">OFFSET(①簡易状況入力!$C$109,MATCH($A520,①簡易状況入力!$C$109:$C$118,0)-1,6)</f>
        <v>0</v>
      </c>
      <c r="AB520" s="27" t="s">
        <v>47</v>
      </c>
      <c r="AF520" s="62">
        <f ca="1">IF(C520="あり",H520,AO520)</f>
        <v>0</v>
      </c>
      <c r="AO520" s="42">
        <f ca="1">OFFSET(【DB】被害率係数!$A$4,MATCH(②詳細状況入力!$Y520,【DB】被害率係数!$A$4:$A$19,0)-1,16)</f>
        <v>0</v>
      </c>
    </row>
    <row r="521" spans="1:41" x14ac:dyDescent="0.15">
      <c r="H521" s="107"/>
      <c r="Q521" s="36">
        <f ca="1">OFFSET(①簡易状況入力!$C$109,MATCH($A520,①簡易状況入力!$C$109:$C$118,0)-1,8)</f>
        <v>0</v>
      </c>
    </row>
    <row r="522" spans="1:41" x14ac:dyDescent="0.15">
      <c r="H522" s="107"/>
    </row>
    <row r="523" spans="1:41" x14ac:dyDescent="0.15">
      <c r="A523" s="59" t="s">
        <v>206</v>
      </c>
      <c r="B523" s="60">
        <f ca="1">OFFSET(①簡易状況入力!$C$109,MATCH($A523,①簡易状況入力!$C$109:$C$118,0)-1,1)</f>
        <v>0</v>
      </c>
      <c r="C523" s="129">
        <f ca="1">OFFSET(①簡易状況入力!$C$109,MATCH($A523,①簡易状況入力!$C$109:$C$118,0)-1,9)</f>
        <v>0</v>
      </c>
      <c r="D523" s="130" t="s">
        <v>47</v>
      </c>
      <c r="E523" s="55" t="s">
        <v>114</v>
      </c>
      <c r="F523" s="55" t="s">
        <v>114</v>
      </c>
      <c r="G523" s="55" t="s">
        <v>114</v>
      </c>
      <c r="H523" s="103"/>
      <c r="Q523" s="36">
        <f ca="1">OFFSET(①簡易状況入力!$C$109,MATCH($A523,①簡易状況入力!$C$109:$C$118,0)-1,7)</f>
        <v>0</v>
      </c>
      <c r="R523" s="58"/>
      <c r="S523" s="34" t="s">
        <v>115</v>
      </c>
      <c r="T523" s="34" t="s">
        <v>182</v>
      </c>
      <c r="U523" s="36">
        <f ca="1">OFFSET(①簡易状況入力!$C$109,MATCH($A523,①簡易状況入力!$C$109:$C$118,0)-1,2)</f>
        <v>0</v>
      </c>
      <c r="V523" s="58"/>
      <c r="W523" s="34" t="s">
        <v>48</v>
      </c>
      <c r="X523" s="37">
        <f ca="1">OFFSET(①簡易状況入力!$C$109,MATCH($A523,①簡易状況入力!$C$109:$C$118,0)-1,3)</f>
        <v>0</v>
      </c>
      <c r="Y523" s="26">
        <f ca="1">OFFSET(①簡易状況入力!$C$109,MATCH($A523,①簡易状況入力!$C$109:$C$118,0)-1,4)</f>
        <v>0</v>
      </c>
      <c r="Z523" s="26">
        <f ca="1">OFFSET(①簡易状況入力!$C$109,MATCH($A523,①簡易状況入力!$C$109:$C$118,0)-1,5)</f>
        <v>0</v>
      </c>
      <c r="AA523" s="26">
        <f ca="1">OFFSET(①簡易状況入力!$C$109,MATCH($A523,①簡易状況入力!$C$109:$C$118,0)-1,6)</f>
        <v>0</v>
      </c>
      <c r="AB523" s="27" t="s">
        <v>47</v>
      </c>
      <c r="AF523" s="62">
        <f ca="1">IF(C523="あり",H523,AO523)</f>
        <v>0</v>
      </c>
      <c r="AO523" s="42">
        <f ca="1">OFFSET(【DB】被害率係数!$A$4,MATCH(②詳細状況入力!$Y523,【DB】被害率係数!$A$4:$A$19,0)-1,16)</f>
        <v>0</v>
      </c>
    </row>
    <row r="524" spans="1:41" x14ac:dyDescent="0.15">
      <c r="H524" s="107"/>
      <c r="Q524" s="36">
        <f ca="1">OFFSET(①簡易状況入力!$C$109,MATCH($A523,①簡易状況入力!$C$109:$C$118,0)-1,8)</f>
        <v>0</v>
      </c>
    </row>
    <row r="525" spans="1:41" x14ac:dyDescent="0.15">
      <c r="H525" s="107"/>
    </row>
    <row r="526" spans="1:41" x14ac:dyDescent="0.15">
      <c r="A526" s="59" t="s">
        <v>207</v>
      </c>
      <c r="B526" s="60">
        <f ca="1">OFFSET(①簡易状況入力!$C$109,MATCH($A526,①簡易状況入力!$C$109:$C$118,0)-1,1)</f>
        <v>0</v>
      </c>
      <c r="C526" s="129">
        <f ca="1">OFFSET(①簡易状況入力!$C$109,MATCH($A526,①簡易状況入力!$C$109:$C$118,0)-1,9)</f>
        <v>0</v>
      </c>
      <c r="D526" s="130" t="s">
        <v>47</v>
      </c>
      <c r="E526" s="55" t="s">
        <v>114</v>
      </c>
      <c r="F526" s="55" t="s">
        <v>114</v>
      </c>
      <c r="G526" s="55" t="s">
        <v>114</v>
      </c>
      <c r="H526" s="103"/>
      <c r="Q526" s="36">
        <f ca="1">OFFSET(①簡易状況入力!$C$109,MATCH($A526,①簡易状況入力!$C$109:$C$118,0)-1,7)</f>
        <v>0</v>
      </c>
      <c r="R526" s="58"/>
      <c r="S526" s="34" t="s">
        <v>115</v>
      </c>
      <c r="T526" s="34" t="s">
        <v>182</v>
      </c>
      <c r="U526" s="36">
        <f ca="1">OFFSET(①簡易状況入力!$C$109,MATCH($A526,①簡易状況入力!$C$109:$C$118,0)-1,2)</f>
        <v>0</v>
      </c>
      <c r="V526" s="58"/>
      <c r="W526" s="34" t="s">
        <v>48</v>
      </c>
      <c r="X526" s="37">
        <f ca="1">OFFSET(①簡易状況入力!$C$109,MATCH($A526,①簡易状況入力!$C$109:$C$118,0)-1,3)</f>
        <v>0</v>
      </c>
      <c r="Y526" s="26">
        <f ca="1">OFFSET(①簡易状況入力!$C$109,MATCH($A526,①簡易状況入力!$C$109:$C$118,0)-1,4)</f>
        <v>0</v>
      </c>
      <c r="Z526" s="26">
        <f ca="1">OFFSET(①簡易状況入力!$C$109,MATCH($A526,①簡易状況入力!$C$109:$C$118,0)-1,5)</f>
        <v>0</v>
      </c>
      <c r="AA526" s="26">
        <f ca="1">OFFSET(①簡易状況入力!$C$109,MATCH($A526,①簡易状況入力!$C$109:$C$118,0)-1,6)</f>
        <v>0</v>
      </c>
      <c r="AB526" s="27" t="s">
        <v>47</v>
      </c>
      <c r="AF526" s="62">
        <f ca="1">IF(C526="あり",H526,AO526)</f>
        <v>0</v>
      </c>
      <c r="AO526" s="42">
        <f ca="1">OFFSET(【DB】被害率係数!$A$4,MATCH(②詳細状況入力!$Y526,【DB】被害率係数!$A$4:$A$19,0)-1,16)</f>
        <v>0</v>
      </c>
    </row>
    <row r="527" spans="1:41" x14ac:dyDescent="0.15">
      <c r="H527" s="107"/>
      <c r="Q527" s="36">
        <f ca="1">OFFSET(①簡易状況入力!$C$109,MATCH($A526,①簡易状況入力!$C$109:$C$118,0)-1,8)</f>
        <v>0</v>
      </c>
    </row>
    <row r="528" spans="1:41" x14ac:dyDescent="0.15">
      <c r="H528" s="107"/>
    </row>
    <row r="529" spans="1:41" x14ac:dyDescent="0.15">
      <c r="A529" s="59" t="s">
        <v>208</v>
      </c>
      <c r="B529" s="60">
        <f ca="1">OFFSET(①簡易状況入力!$C$109,MATCH($A529,①簡易状況入力!$C$109:$C$118,0)-1,1)</f>
        <v>0</v>
      </c>
      <c r="C529" s="129">
        <f ca="1">OFFSET(①簡易状況入力!$C$109,MATCH($A529,①簡易状況入力!$C$109:$C$118,0)-1,9)</f>
        <v>0</v>
      </c>
      <c r="D529" s="130" t="s">
        <v>47</v>
      </c>
      <c r="E529" s="55" t="s">
        <v>114</v>
      </c>
      <c r="F529" s="55" t="s">
        <v>114</v>
      </c>
      <c r="G529" s="55" t="s">
        <v>114</v>
      </c>
      <c r="H529" s="103"/>
      <c r="Q529" s="36">
        <f ca="1">OFFSET(①簡易状況入力!$C$109,MATCH($A529,①簡易状況入力!$C$109:$C$118,0)-1,7)</f>
        <v>0</v>
      </c>
      <c r="R529" s="58"/>
      <c r="S529" s="34" t="s">
        <v>115</v>
      </c>
      <c r="T529" s="34" t="s">
        <v>182</v>
      </c>
      <c r="U529" s="36">
        <f ca="1">OFFSET(①簡易状況入力!$C$109,MATCH($A529,①簡易状況入力!$C$109:$C$118,0)-1,2)</f>
        <v>0</v>
      </c>
      <c r="V529" s="58"/>
      <c r="W529" s="34" t="s">
        <v>48</v>
      </c>
      <c r="X529" s="37">
        <f ca="1">OFFSET(①簡易状況入力!$C$109,MATCH($A529,①簡易状況入力!$C$109:$C$118,0)-1,3)</f>
        <v>0</v>
      </c>
      <c r="Y529" s="26">
        <f ca="1">OFFSET(①簡易状況入力!$C$109,MATCH($A529,①簡易状況入力!$C$109:$C$118,0)-1,4)</f>
        <v>0</v>
      </c>
      <c r="Z529" s="26">
        <f ca="1">OFFSET(①簡易状況入力!$C$109,MATCH($A529,①簡易状況入力!$C$109:$C$118,0)-1,5)</f>
        <v>0</v>
      </c>
      <c r="AA529" s="26">
        <f ca="1">OFFSET(①簡易状況入力!$C$109,MATCH($A529,①簡易状況入力!$C$109:$C$118,0)-1,6)</f>
        <v>0</v>
      </c>
      <c r="AB529" s="27" t="s">
        <v>47</v>
      </c>
      <c r="AF529" s="62">
        <f ca="1">IF(C529="あり",H529,AO529)</f>
        <v>0</v>
      </c>
      <c r="AO529" s="42">
        <f ca="1">OFFSET(【DB】被害率係数!$A$4,MATCH(②詳細状況入力!$Y529,【DB】被害率係数!$A$4:$A$19,0)-1,16)</f>
        <v>0</v>
      </c>
    </row>
    <row r="530" spans="1:41" x14ac:dyDescent="0.15">
      <c r="H530" s="107"/>
      <c r="Q530" s="36">
        <f ca="1">OFFSET(①簡易状況入力!$C$109,MATCH($A529,①簡易状況入力!$C$109:$C$118,0)-1,8)</f>
        <v>0</v>
      </c>
    </row>
    <row r="531" spans="1:41" x14ac:dyDescent="0.15">
      <c r="H531" s="107"/>
    </row>
    <row r="532" spans="1:41" x14ac:dyDescent="0.15">
      <c r="A532" s="59" t="s">
        <v>209</v>
      </c>
      <c r="B532" s="60">
        <f ca="1">OFFSET(①簡易状況入力!$C$109,MATCH($A532,①簡易状況入力!$C$109:$C$118,0)-1,1)</f>
        <v>0</v>
      </c>
      <c r="C532" s="129">
        <f ca="1">OFFSET(①簡易状況入力!$C$109,MATCH($A532,①簡易状況入力!$C$109:$C$118,0)-1,9)</f>
        <v>0</v>
      </c>
      <c r="D532" s="130" t="s">
        <v>47</v>
      </c>
      <c r="E532" s="55" t="s">
        <v>114</v>
      </c>
      <c r="F532" s="55" t="s">
        <v>114</v>
      </c>
      <c r="G532" s="55" t="s">
        <v>114</v>
      </c>
      <c r="H532" s="103"/>
      <c r="Q532" s="36">
        <f ca="1">OFFSET(①簡易状況入力!$C$109,MATCH($A532,①簡易状況入力!$C$109:$C$118,0)-1,7)</f>
        <v>0</v>
      </c>
      <c r="R532" s="58"/>
      <c r="S532" s="34" t="s">
        <v>115</v>
      </c>
      <c r="T532" s="34" t="s">
        <v>182</v>
      </c>
      <c r="U532" s="36">
        <f ca="1">OFFSET(①簡易状況入力!$C$109,MATCH($A532,①簡易状況入力!$C$109:$C$118,0)-1,2)</f>
        <v>0</v>
      </c>
      <c r="V532" s="58"/>
      <c r="W532" s="34" t="s">
        <v>48</v>
      </c>
      <c r="X532" s="37">
        <f ca="1">OFFSET(①簡易状況入力!$C$109,MATCH($A532,①簡易状況入力!$C$109:$C$118,0)-1,3)</f>
        <v>0</v>
      </c>
      <c r="Y532" s="26">
        <f ca="1">OFFSET(①簡易状況入力!$C$109,MATCH($A532,①簡易状況入力!$C$109:$C$118,0)-1,4)</f>
        <v>0</v>
      </c>
      <c r="Z532" s="26">
        <f ca="1">OFFSET(①簡易状況入力!$C$109,MATCH($A532,①簡易状況入力!$C$109:$C$118,0)-1,5)</f>
        <v>0</v>
      </c>
      <c r="AA532" s="26">
        <f ca="1">OFFSET(①簡易状況入力!$C$109,MATCH($A532,①簡易状況入力!$C$109:$C$118,0)-1,6)</f>
        <v>0</v>
      </c>
      <c r="AB532" s="27" t="s">
        <v>47</v>
      </c>
      <c r="AF532" s="62">
        <f ca="1">IF(C532="あり",H532,AO532)</f>
        <v>0</v>
      </c>
      <c r="AO532" s="42">
        <f ca="1">OFFSET(【DB】被害率係数!$A$4,MATCH(②詳細状況入力!$Y532,【DB】被害率係数!$A$4:$A$19,0)-1,16)</f>
        <v>0</v>
      </c>
    </row>
    <row r="533" spans="1:41" x14ac:dyDescent="0.15">
      <c r="Q533" s="36">
        <f ca="1">OFFSET(①簡易状況入力!$C$109,MATCH($A532,①簡易状況入力!$C$109:$C$118,0)-1,8)</f>
        <v>0</v>
      </c>
    </row>
  </sheetData>
  <mergeCells count="315">
    <mergeCell ref="S497:S498"/>
    <mergeCell ref="Z497:AA497"/>
    <mergeCell ref="Z498:AA498"/>
    <mergeCell ref="S502:S503"/>
    <mergeCell ref="Z502:AA502"/>
    <mergeCell ref="Z503:AA503"/>
    <mergeCell ref="S487:S488"/>
    <mergeCell ref="Z487:AA487"/>
    <mergeCell ref="Z488:AA488"/>
    <mergeCell ref="S492:S493"/>
    <mergeCell ref="Z492:AA492"/>
    <mergeCell ref="Z493:AA493"/>
    <mergeCell ref="S477:S478"/>
    <mergeCell ref="Z477:AA477"/>
    <mergeCell ref="Z478:AA478"/>
    <mergeCell ref="S482:S483"/>
    <mergeCell ref="Z482:AA482"/>
    <mergeCell ref="Z483:AA483"/>
    <mergeCell ref="S467:S468"/>
    <mergeCell ref="Z467:AA467"/>
    <mergeCell ref="Z468:AA468"/>
    <mergeCell ref="S472:S473"/>
    <mergeCell ref="Z472:AA472"/>
    <mergeCell ref="Z473:AA473"/>
    <mergeCell ref="S457:S458"/>
    <mergeCell ref="Z457:AA457"/>
    <mergeCell ref="Z458:AA458"/>
    <mergeCell ref="S462:S463"/>
    <mergeCell ref="Z462:AA462"/>
    <mergeCell ref="Z463:AA463"/>
    <mergeCell ref="S447:S448"/>
    <mergeCell ref="Z447:AA447"/>
    <mergeCell ref="Z448:AA448"/>
    <mergeCell ref="S452:S453"/>
    <mergeCell ref="Z452:AA452"/>
    <mergeCell ref="Z453:AA453"/>
    <mergeCell ref="S437:S438"/>
    <mergeCell ref="Z437:AA437"/>
    <mergeCell ref="Z438:AA438"/>
    <mergeCell ref="S442:S443"/>
    <mergeCell ref="Z442:AA442"/>
    <mergeCell ref="Z443:AA443"/>
    <mergeCell ref="S427:S428"/>
    <mergeCell ref="Z427:AA427"/>
    <mergeCell ref="Z428:AA428"/>
    <mergeCell ref="S432:S433"/>
    <mergeCell ref="Z432:AA432"/>
    <mergeCell ref="Z433:AA433"/>
    <mergeCell ref="S417:S418"/>
    <mergeCell ref="Z417:AA417"/>
    <mergeCell ref="Z418:AA418"/>
    <mergeCell ref="S422:S423"/>
    <mergeCell ref="Z422:AA422"/>
    <mergeCell ref="Z423:AA423"/>
    <mergeCell ref="S407:S408"/>
    <mergeCell ref="Z407:AA407"/>
    <mergeCell ref="Z408:AA408"/>
    <mergeCell ref="S412:S413"/>
    <mergeCell ref="Z412:AA412"/>
    <mergeCell ref="Z413:AA413"/>
    <mergeCell ref="S397:S398"/>
    <mergeCell ref="Z397:AA397"/>
    <mergeCell ref="Z398:AA398"/>
    <mergeCell ref="S402:S403"/>
    <mergeCell ref="Z402:AA402"/>
    <mergeCell ref="Z403:AA403"/>
    <mergeCell ref="S387:S388"/>
    <mergeCell ref="Z387:AA387"/>
    <mergeCell ref="Z388:AA388"/>
    <mergeCell ref="S392:S393"/>
    <mergeCell ref="Z392:AA392"/>
    <mergeCell ref="Z393:AA393"/>
    <mergeCell ref="S377:S378"/>
    <mergeCell ref="Z377:AA377"/>
    <mergeCell ref="Z378:AA378"/>
    <mergeCell ref="S382:S383"/>
    <mergeCell ref="Z382:AA382"/>
    <mergeCell ref="Z383:AA383"/>
    <mergeCell ref="S367:S368"/>
    <mergeCell ref="Z367:AA367"/>
    <mergeCell ref="Z368:AA368"/>
    <mergeCell ref="S372:S373"/>
    <mergeCell ref="Z372:AA372"/>
    <mergeCell ref="Z373:AA373"/>
    <mergeCell ref="S357:S358"/>
    <mergeCell ref="Z357:AA357"/>
    <mergeCell ref="Z358:AA358"/>
    <mergeCell ref="S362:S363"/>
    <mergeCell ref="Z362:AA362"/>
    <mergeCell ref="Z363:AA363"/>
    <mergeCell ref="S347:S348"/>
    <mergeCell ref="Z347:AA347"/>
    <mergeCell ref="Z348:AA348"/>
    <mergeCell ref="S352:S353"/>
    <mergeCell ref="Z352:AA352"/>
    <mergeCell ref="Z353:AA353"/>
    <mergeCell ref="S337:S338"/>
    <mergeCell ref="Z337:AA337"/>
    <mergeCell ref="Z338:AA338"/>
    <mergeCell ref="S342:S343"/>
    <mergeCell ref="Z342:AA342"/>
    <mergeCell ref="Z343:AA343"/>
    <mergeCell ref="S327:S328"/>
    <mergeCell ref="Z327:AA327"/>
    <mergeCell ref="Z328:AA328"/>
    <mergeCell ref="S332:S333"/>
    <mergeCell ref="Z332:AA332"/>
    <mergeCell ref="Z333:AA333"/>
    <mergeCell ref="S317:S318"/>
    <mergeCell ref="Z317:AA317"/>
    <mergeCell ref="Z318:AA318"/>
    <mergeCell ref="S322:S323"/>
    <mergeCell ref="Z322:AA322"/>
    <mergeCell ref="Z323:AA323"/>
    <mergeCell ref="S307:S308"/>
    <mergeCell ref="Z307:AA307"/>
    <mergeCell ref="Z308:AA308"/>
    <mergeCell ref="S312:S313"/>
    <mergeCell ref="Z312:AA312"/>
    <mergeCell ref="Z313:AA313"/>
    <mergeCell ref="S297:S298"/>
    <mergeCell ref="Z297:AA297"/>
    <mergeCell ref="Z298:AA298"/>
    <mergeCell ref="S302:S303"/>
    <mergeCell ref="Z302:AA302"/>
    <mergeCell ref="Z303:AA303"/>
    <mergeCell ref="S287:S288"/>
    <mergeCell ref="Z287:AA287"/>
    <mergeCell ref="Z288:AA288"/>
    <mergeCell ref="S292:S293"/>
    <mergeCell ref="Z292:AA292"/>
    <mergeCell ref="Z293:AA293"/>
    <mergeCell ref="S277:S278"/>
    <mergeCell ref="Z277:AA277"/>
    <mergeCell ref="Z278:AA278"/>
    <mergeCell ref="S282:S283"/>
    <mergeCell ref="Z282:AA282"/>
    <mergeCell ref="Z283:AA283"/>
    <mergeCell ref="S267:S268"/>
    <mergeCell ref="Z267:AA267"/>
    <mergeCell ref="Z268:AA268"/>
    <mergeCell ref="S272:S273"/>
    <mergeCell ref="Z272:AA272"/>
    <mergeCell ref="Z273:AA273"/>
    <mergeCell ref="S257:S258"/>
    <mergeCell ref="Z257:AA257"/>
    <mergeCell ref="Z258:AA258"/>
    <mergeCell ref="S262:S263"/>
    <mergeCell ref="Z262:AA262"/>
    <mergeCell ref="Z263:AA263"/>
    <mergeCell ref="S247:S248"/>
    <mergeCell ref="Z247:AA247"/>
    <mergeCell ref="Z248:AA248"/>
    <mergeCell ref="S252:S253"/>
    <mergeCell ref="Z252:AA252"/>
    <mergeCell ref="Z253:AA253"/>
    <mergeCell ref="S237:S238"/>
    <mergeCell ref="Z237:AA237"/>
    <mergeCell ref="Z238:AA238"/>
    <mergeCell ref="S242:S243"/>
    <mergeCell ref="Z242:AA242"/>
    <mergeCell ref="Z243:AA243"/>
    <mergeCell ref="S227:S228"/>
    <mergeCell ref="Z227:AA227"/>
    <mergeCell ref="Z228:AA228"/>
    <mergeCell ref="S232:S233"/>
    <mergeCell ref="Z232:AA232"/>
    <mergeCell ref="Z233:AA233"/>
    <mergeCell ref="S217:S218"/>
    <mergeCell ref="Z217:AA217"/>
    <mergeCell ref="Z218:AA218"/>
    <mergeCell ref="S222:S223"/>
    <mergeCell ref="Z222:AA222"/>
    <mergeCell ref="Z223:AA223"/>
    <mergeCell ref="S207:S208"/>
    <mergeCell ref="Z207:AA207"/>
    <mergeCell ref="Z208:AA208"/>
    <mergeCell ref="S212:S213"/>
    <mergeCell ref="Z212:AA212"/>
    <mergeCell ref="Z213:AA213"/>
    <mergeCell ref="S197:S198"/>
    <mergeCell ref="Z197:AA197"/>
    <mergeCell ref="Z198:AA198"/>
    <mergeCell ref="S202:S203"/>
    <mergeCell ref="Z202:AA202"/>
    <mergeCell ref="Z203:AA203"/>
    <mergeCell ref="S187:S188"/>
    <mergeCell ref="Z187:AA187"/>
    <mergeCell ref="Z188:AA188"/>
    <mergeCell ref="S192:S193"/>
    <mergeCell ref="Z192:AA192"/>
    <mergeCell ref="Z193:AA193"/>
    <mergeCell ref="S177:S178"/>
    <mergeCell ref="Z177:AA177"/>
    <mergeCell ref="Z178:AA178"/>
    <mergeCell ref="S182:S183"/>
    <mergeCell ref="Z182:AA182"/>
    <mergeCell ref="Z183:AA183"/>
    <mergeCell ref="S167:S168"/>
    <mergeCell ref="Z167:AA167"/>
    <mergeCell ref="Z168:AA168"/>
    <mergeCell ref="S172:S173"/>
    <mergeCell ref="Z172:AA172"/>
    <mergeCell ref="Z173:AA173"/>
    <mergeCell ref="S157:S158"/>
    <mergeCell ref="Z157:AA157"/>
    <mergeCell ref="Z158:AA158"/>
    <mergeCell ref="S162:S163"/>
    <mergeCell ref="Z162:AA162"/>
    <mergeCell ref="Z163:AA163"/>
    <mergeCell ref="S147:S148"/>
    <mergeCell ref="Z147:AA147"/>
    <mergeCell ref="Z148:AA148"/>
    <mergeCell ref="S152:S153"/>
    <mergeCell ref="Z152:AA152"/>
    <mergeCell ref="Z153:AA153"/>
    <mergeCell ref="S137:S138"/>
    <mergeCell ref="Z137:AA137"/>
    <mergeCell ref="Z138:AA138"/>
    <mergeCell ref="S142:S143"/>
    <mergeCell ref="Z142:AA142"/>
    <mergeCell ref="Z143:AA143"/>
    <mergeCell ref="S127:S128"/>
    <mergeCell ref="Z127:AA127"/>
    <mergeCell ref="Z128:AA128"/>
    <mergeCell ref="S132:S133"/>
    <mergeCell ref="Z132:AA132"/>
    <mergeCell ref="Z133:AA133"/>
    <mergeCell ref="S117:S118"/>
    <mergeCell ref="Z117:AA117"/>
    <mergeCell ref="Z118:AA118"/>
    <mergeCell ref="S122:S123"/>
    <mergeCell ref="Z122:AA122"/>
    <mergeCell ref="Z123:AA123"/>
    <mergeCell ref="S107:S108"/>
    <mergeCell ref="Z107:AA107"/>
    <mergeCell ref="Z108:AA108"/>
    <mergeCell ref="S112:S113"/>
    <mergeCell ref="Z112:AA112"/>
    <mergeCell ref="Z113:AA113"/>
    <mergeCell ref="A1:O1"/>
    <mergeCell ref="Q1:AM1"/>
    <mergeCell ref="AO2:AP3"/>
    <mergeCell ref="AN2:AN4"/>
    <mergeCell ref="S97:S98"/>
    <mergeCell ref="Z97:AA97"/>
    <mergeCell ref="Z98:AA98"/>
    <mergeCell ref="S77:S78"/>
    <mergeCell ref="Z77:AA77"/>
    <mergeCell ref="Z78:AA78"/>
    <mergeCell ref="S82:S83"/>
    <mergeCell ref="Z82:AA82"/>
    <mergeCell ref="Z83:AA83"/>
    <mergeCell ref="S67:S68"/>
    <mergeCell ref="Z67:AA67"/>
    <mergeCell ref="Z68:AA68"/>
    <mergeCell ref="S72:S73"/>
    <mergeCell ref="Z72:AA72"/>
    <mergeCell ref="Z73:AA73"/>
    <mergeCell ref="S57:S58"/>
    <mergeCell ref="Z57:AA57"/>
    <mergeCell ref="Z58:AA58"/>
    <mergeCell ref="S62:S63"/>
    <mergeCell ref="Z62:AA62"/>
    <mergeCell ref="S102:S103"/>
    <mergeCell ref="Z102:AA102"/>
    <mergeCell ref="Z103:AA103"/>
    <mergeCell ref="S87:S88"/>
    <mergeCell ref="Z87:AA87"/>
    <mergeCell ref="Z88:AA88"/>
    <mergeCell ref="S92:S93"/>
    <mergeCell ref="Z92:AA92"/>
    <mergeCell ref="Z93:AA93"/>
    <mergeCell ref="Z63:AA63"/>
    <mergeCell ref="S47:S48"/>
    <mergeCell ref="Z47:AA47"/>
    <mergeCell ref="Z48:AA48"/>
    <mergeCell ref="S52:S53"/>
    <mergeCell ref="Z52:AA52"/>
    <mergeCell ref="Z53:AA53"/>
    <mergeCell ref="S37:S38"/>
    <mergeCell ref="Z37:AA37"/>
    <mergeCell ref="Z38:AA38"/>
    <mergeCell ref="Z42:AA42"/>
    <mergeCell ref="S42:S43"/>
    <mergeCell ref="Z43:AA43"/>
    <mergeCell ref="AQ2:AQ4"/>
    <mergeCell ref="X2:X4"/>
    <mergeCell ref="W2:W4"/>
    <mergeCell ref="Z7:AA7"/>
    <mergeCell ref="Y2:AA3"/>
    <mergeCell ref="AB2:AM3"/>
    <mergeCell ref="Z17:AA17"/>
    <mergeCell ref="Z18:AA18"/>
    <mergeCell ref="D2:O3"/>
    <mergeCell ref="C2:C4"/>
    <mergeCell ref="S12:S13"/>
    <mergeCell ref="Z12:AA12"/>
    <mergeCell ref="Z13:AA13"/>
    <mergeCell ref="S32:S33"/>
    <mergeCell ref="Z32:AA32"/>
    <mergeCell ref="Z33:AA33"/>
    <mergeCell ref="A2:A4"/>
    <mergeCell ref="B2:B4"/>
    <mergeCell ref="S22:S23"/>
    <mergeCell ref="Z22:AA22"/>
    <mergeCell ref="Z23:AA23"/>
    <mergeCell ref="S27:S28"/>
    <mergeCell ref="Z27:AA27"/>
    <mergeCell ref="Z28:AA28"/>
    <mergeCell ref="S2:U4"/>
    <mergeCell ref="Z8:AA8"/>
    <mergeCell ref="S7:S8"/>
    <mergeCell ref="Q2:Q3"/>
    <mergeCell ref="S17:S18"/>
  </mergeCells>
  <phoneticPr fontId="2"/>
  <conditionalFormatting sqref="G6:G8">
    <cfRule type="expression" dxfId="820" priority="2141" stopIfTrue="1">
      <formula>AND($E6&gt;=1,$C6="あり")</formula>
    </cfRule>
  </conditionalFormatting>
  <conditionalFormatting sqref="H5:M8">
    <cfRule type="expression" dxfId="819" priority="2140" stopIfTrue="1">
      <formula>AND($F5&gt;=H$4,$C5="あり")</formula>
    </cfRule>
  </conditionalFormatting>
  <conditionalFormatting sqref="O5">
    <cfRule type="expression" dxfId="818" priority="2139" stopIfTrue="1">
      <formula>$C5="あり"</formula>
    </cfRule>
  </conditionalFormatting>
  <conditionalFormatting sqref="O7">
    <cfRule type="expression" dxfId="817" priority="2138" stopIfTrue="1">
      <formula>$C7="あり"</formula>
    </cfRule>
  </conditionalFormatting>
  <conditionalFormatting sqref="O8">
    <cfRule type="expression" dxfId="816" priority="2137" stopIfTrue="1">
      <formula>$C8="あり"</formula>
    </cfRule>
  </conditionalFormatting>
  <conditionalFormatting sqref="N6:N8">
    <cfRule type="expression" dxfId="815" priority="2133" stopIfTrue="1">
      <formula>AND($F6&gt;=7,$C6="あり")</formula>
    </cfRule>
  </conditionalFormatting>
  <conditionalFormatting sqref="H505">
    <cfRule type="expression" dxfId="814" priority="2018" stopIfTrue="1">
      <formula>$C505="あり"</formula>
    </cfRule>
  </conditionalFormatting>
  <conditionalFormatting sqref="H508">
    <cfRule type="expression" dxfId="813" priority="1672" stopIfTrue="1">
      <formula>$C508="あり"</formula>
    </cfRule>
  </conditionalFormatting>
  <conditionalFormatting sqref="H511">
    <cfRule type="expression" dxfId="812" priority="1671" stopIfTrue="1">
      <formula>$C511="あり"</formula>
    </cfRule>
  </conditionalFormatting>
  <conditionalFormatting sqref="H514">
    <cfRule type="expression" dxfId="811" priority="1670" stopIfTrue="1">
      <formula>$C514="あり"</formula>
    </cfRule>
  </conditionalFormatting>
  <conditionalFormatting sqref="H517">
    <cfRule type="expression" dxfId="810" priority="1669" stopIfTrue="1">
      <formula>$C517="あり"</formula>
    </cfRule>
  </conditionalFormatting>
  <conditionalFormatting sqref="H520">
    <cfRule type="expression" dxfId="809" priority="1668" stopIfTrue="1">
      <formula>$C520="あり"</formula>
    </cfRule>
  </conditionalFormatting>
  <conditionalFormatting sqref="H523">
    <cfRule type="expression" dxfId="808" priority="1667" stopIfTrue="1">
      <formula>$C523="あり"</formula>
    </cfRule>
  </conditionalFormatting>
  <conditionalFormatting sqref="H526">
    <cfRule type="expression" dxfId="807" priority="1666" stopIfTrue="1">
      <formula>$C526="あり"</formula>
    </cfRule>
  </conditionalFormatting>
  <conditionalFormatting sqref="H529">
    <cfRule type="expression" dxfId="806" priority="1665" stopIfTrue="1">
      <formula>$C529="あり"</formula>
    </cfRule>
  </conditionalFormatting>
  <conditionalFormatting sqref="H532">
    <cfRule type="expression" dxfId="805" priority="1664" stopIfTrue="1">
      <formula>$C532="あり"</formula>
    </cfRule>
  </conditionalFormatting>
  <conditionalFormatting sqref="N5">
    <cfRule type="expression" dxfId="804" priority="1663" stopIfTrue="1">
      <formula>AND($F5&gt;=7,$C5="あり")</formula>
    </cfRule>
  </conditionalFormatting>
  <conditionalFormatting sqref="C5:D8">
    <cfRule type="expression" dxfId="803" priority="1548">
      <formula>$C5="あり"</formula>
    </cfRule>
  </conditionalFormatting>
  <conditionalFormatting sqref="C30:D33">
    <cfRule type="expression" dxfId="802" priority="761">
      <formula>$C30="あり"</formula>
    </cfRule>
  </conditionalFormatting>
  <conditionalFormatting sqref="C505:D505">
    <cfRule type="expression" dxfId="801" priority="1526">
      <formula>$C505="あり"</formula>
    </cfRule>
  </conditionalFormatting>
  <conditionalFormatting sqref="C508:D508">
    <cfRule type="expression" dxfId="800" priority="1525">
      <formula>$C508="あり"</formula>
    </cfRule>
  </conditionalFormatting>
  <conditionalFormatting sqref="C511:D511">
    <cfRule type="expression" dxfId="799" priority="1524">
      <formula>$C511="あり"</formula>
    </cfRule>
  </conditionalFormatting>
  <conditionalFormatting sqref="C514:D514">
    <cfRule type="expression" dxfId="798" priority="1523">
      <formula>$C514="あり"</formula>
    </cfRule>
  </conditionalFormatting>
  <conditionalFormatting sqref="C517:D517">
    <cfRule type="expression" dxfId="797" priority="1522">
      <formula>$C517="あり"</formula>
    </cfRule>
  </conditionalFormatting>
  <conditionalFormatting sqref="C520:D520">
    <cfRule type="expression" dxfId="796" priority="1521">
      <formula>$C520="あり"</formula>
    </cfRule>
  </conditionalFormatting>
  <conditionalFormatting sqref="C523:D523">
    <cfRule type="expression" dxfId="795" priority="1520">
      <formula>$C523="あり"</formula>
    </cfRule>
  </conditionalFormatting>
  <conditionalFormatting sqref="C526:D526">
    <cfRule type="expression" dxfId="794" priority="1519">
      <formula>$C526="あり"</formula>
    </cfRule>
  </conditionalFormatting>
  <conditionalFormatting sqref="C529:D529">
    <cfRule type="expression" dxfId="793" priority="1518">
      <formula>$C529="あり"</formula>
    </cfRule>
  </conditionalFormatting>
  <conditionalFormatting sqref="C532:D532">
    <cfRule type="expression" dxfId="792" priority="1517">
      <formula>$C532="あり"</formula>
    </cfRule>
  </conditionalFormatting>
  <conditionalFormatting sqref="C40:D43">
    <cfRule type="expression" dxfId="791" priority="745">
      <formula>$C40="あり"</formula>
    </cfRule>
  </conditionalFormatting>
  <conditionalFormatting sqref="O10">
    <cfRule type="expression" dxfId="790" priority="798" stopIfTrue="1">
      <formula>$C10="あり"</formula>
    </cfRule>
  </conditionalFormatting>
  <conditionalFormatting sqref="C65:D68">
    <cfRule type="expression" dxfId="789" priority="705">
      <formula>$C65="あり"</formula>
    </cfRule>
  </conditionalFormatting>
  <conditionalFormatting sqref="N10">
    <cfRule type="expression" dxfId="788" priority="794" stopIfTrue="1">
      <formula>AND($F10&gt;=7,$C10="あり")</formula>
    </cfRule>
  </conditionalFormatting>
  <conditionalFormatting sqref="O23">
    <cfRule type="expression" dxfId="787" priority="780" stopIfTrue="1">
      <formula>$C23="あり"</formula>
    </cfRule>
  </conditionalFormatting>
  <conditionalFormatting sqref="N20">
    <cfRule type="expression" dxfId="786" priority="778" stopIfTrue="1">
      <formula>AND($F20&gt;=7,$C20="あり")</formula>
    </cfRule>
  </conditionalFormatting>
  <conditionalFormatting sqref="O20">
    <cfRule type="expression" dxfId="785" priority="782" stopIfTrue="1">
      <formula>$C20="あり"</formula>
    </cfRule>
  </conditionalFormatting>
  <conditionalFormatting sqref="O17">
    <cfRule type="expression" dxfId="784" priority="789" stopIfTrue="1">
      <formula>$C17="あり"</formula>
    </cfRule>
  </conditionalFormatting>
  <conditionalFormatting sqref="O18">
    <cfRule type="expression" dxfId="783" priority="788" stopIfTrue="1">
      <formula>$C18="あり"</formula>
    </cfRule>
  </conditionalFormatting>
  <conditionalFormatting sqref="N16:N18">
    <cfRule type="expression" dxfId="782" priority="787" stopIfTrue="1">
      <formula>AND($F16&gt;=7,$C16="あり")</formula>
    </cfRule>
  </conditionalFormatting>
  <conditionalFormatting sqref="G11:G13">
    <cfRule type="expression" dxfId="781" priority="800" stopIfTrue="1">
      <formula>AND($E11&gt;=1,$C11="あり")</formula>
    </cfRule>
  </conditionalFormatting>
  <conditionalFormatting sqref="H10:M13">
    <cfRule type="expression" dxfId="780" priority="799" stopIfTrue="1">
      <formula>AND($F10&gt;=H$4,$C10="あり")</formula>
    </cfRule>
  </conditionalFormatting>
  <conditionalFormatting sqref="O12">
    <cfRule type="expression" dxfId="779" priority="797" stopIfTrue="1">
      <formula>$C12="あり"</formula>
    </cfRule>
  </conditionalFormatting>
  <conditionalFormatting sqref="C55:D58">
    <cfRule type="expression" dxfId="778" priority="721">
      <formula>$C55="あり"</formula>
    </cfRule>
  </conditionalFormatting>
  <conditionalFormatting sqref="C20:D23">
    <cfRule type="expression" dxfId="777" priority="777">
      <formula>$C20="あり"</formula>
    </cfRule>
  </conditionalFormatting>
  <conditionalFormatting sqref="O33">
    <cfRule type="expression" dxfId="776" priority="764" stopIfTrue="1">
      <formula>$C33="あり"</formula>
    </cfRule>
  </conditionalFormatting>
  <conditionalFormatting sqref="N30">
    <cfRule type="expression" dxfId="775" priority="762" stopIfTrue="1">
      <formula>AND($F30&gt;=7,$C30="あり")</formula>
    </cfRule>
  </conditionalFormatting>
  <conditionalFormatting sqref="O30">
    <cfRule type="expression" dxfId="774" priority="766" stopIfTrue="1">
      <formula>$C30="あり"</formula>
    </cfRule>
  </conditionalFormatting>
  <conditionalFormatting sqref="O27">
    <cfRule type="expression" dxfId="773" priority="773" stopIfTrue="1">
      <formula>$C27="あり"</formula>
    </cfRule>
  </conditionalFormatting>
  <conditionalFormatting sqref="O28">
    <cfRule type="expression" dxfId="772" priority="772" stopIfTrue="1">
      <formula>$C28="あり"</formula>
    </cfRule>
  </conditionalFormatting>
  <conditionalFormatting sqref="N26:N28">
    <cfRule type="expression" dxfId="771" priority="771" stopIfTrue="1">
      <formula>AND($F26&gt;=7,$C26="あり")</formula>
    </cfRule>
  </conditionalFormatting>
  <conditionalFormatting sqref="G21:G23">
    <cfRule type="expression" dxfId="770" priority="784" stopIfTrue="1">
      <formula>AND($E21&gt;=1,$C21="あり")</formula>
    </cfRule>
  </conditionalFormatting>
  <conditionalFormatting sqref="H20:M23">
    <cfRule type="expression" dxfId="769" priority="783" stopIfTrue="1">
      <formula>AND($F20&gt;=H$4,$C20="あり")</formula>
    </cfRule>
  </conditionalFormatting>
  <conditionalFormatting sqref="O22">
    <cfRule type="expression" dxfId="768" priority="781" stopIfTrue="1">
      <formula>$C22="あり"</formula>
    </cfRule>
  </conditionalFormatting>
  <conditionalFormatting sqref="N15">
    <cfRule type="expression" dxfId="767" priority="786" stopIfTrue="1">
      <formula>AND($F15&gt;=7,$C15="あり")</formula>
    </cfRule>
  </conditionalFormatting>
  <conditionalFormatting sqref="O15">
    <cfRule type="expression" dxfId="766" priority="790" stopIfTrue="1">
      <formula>$C15="あり"</formula>
    </cfRule>
  </conditionalFormatting>
  <conditionalFormatting sqref="O13">
    <cfRule type="expression" dxfId="765" priority="796" stopIfTrue="1">
      <formula>$C13="あり"</formula>
    </cfRule>
  </conditionalFormatting>
  <conditionalFormatting sqref="N11:N13">
    <cfRule type="expression" dxfId="764" priority="795" stopIfTrue="1">
      <formula>AND($F11&gt;=7,$C11="あり")</formula>
    </cfRule>
  </conditionalFormatting>
  <conditionalFormatting sqref="O395">
    <cfRule type="expression" dxfId="763" priority="174" stopIfTrue="1">
      <formula>$C395="あり"</formula>
    </cfRule>
  </conditionalFormatting>
  <conditionalFormatting sqref="C80:D83">
    <cfRule type="expression" dxfId="762" priority="681">
      <formula>$C80="あり"</formula>
    </cfRule>
  </conditionalFormatting>
  <conditionalFormatting sqref="C45:D48">
    <cfRule type="expression" dxfId="761" priority="737">
      <formula>$C45="あり"</formula>
    </cfRule>
  </conditionalFormatting>
  <conditionalFormatting sqref="C405:D408">
    <cfRule type="expression" dxfId="760" priority="153">
      <formula>$C405="あり"</formula>
    </cfRule>
  </conditionalFormatting>
  <conditionalFormatting sqref="C10:D13">
    <cfRule type="expression" dxfId="759" priority="793">
      <formula>$C10="あり"</formula>
    </cfRule>
  </conditionalFormatting>
  <conditionalFormatting sqref="G16:G18">
    <cfRule type="expression" dxfId="758" priority="792" stopIfTrue="1">
      <formula>AND($E16&gt;=1,$C16="あり")</formula>
    </cfRule>
  </conditionalFormatting>
  <conditionalFormatting sqref="H15:M18">
    <cfRule type="expression" dxfId="757" priority="791" stopIfTrue="1">
      <formula>AND($F15&gt;=H$4,$C15="あり")</formula>
    </cfRule>
  </conditionalFormatting>
  <conditionalFormatting sqref="C15:D18">
    <cfRule type="expression" dxfId="756" priority="785">
      <formula>$C15="あり"</formula>
    </cfRule>
  </conditionalFormatting>
  <conditionalFormatting sqref="N21:N23">
    <cfRule type="expression" dxfId="755" priority="779" stopIfTrue="1">
      <formula>AND($F21&gt;=7,$C21="あり")</formula>
    </cfRule>
  </conditionalFormatting>
  <conditionalFormatting sqref="G26:G28">
    <cfRule type="expression" dxfId="754" priority="776" stopIfTrue="1">
      <formula>AND($E26&gt;=1,$C26="あり")</formula>
    </cfRule>
  </conditionalFormatting>
  <conditionalFormatting sqref="H25:M28">
    <cfRule type="expression" dxfId="753" priority="775" stopIfTrue="1">
      <formula>AND($F25&gt;=H$4,$C25="あり")</formula>
    </cfRule>
  </conditionalFormatting>
  <conditionalFormatting sqref="O25">
    <cfRule type="expression" dxfId="752" priority="774" stopIfTrue="1">
      <formula>$C25="あり"</formula>
    </cfRule>
  </conditionalFormatting>
  <conditionalFormatting sqref="N25">
    <cfRule type="expression" dxfId="751" priority="770" stopIfTrue="1">
      <formula>AND($F25&gt;=7,$C25="あり")</formula>
    </cfRule>
  </conditionalFormatting>
  <conditionalFormatting sqref="C25:D28">
    <cfRule type="expression" dxfId="750" priority="769">
      <formula>$C25="あり"</formula>
    </cfRule>
  </conditionalFormatting>
  <conditionalFormatting sqref="G31:G33">
    <cfRule type="expression" dxfId="749" priority="768" stopIfTrue="1">
      <formula>AND($E31&gt;=1,$C31="あり")</formula>
    </cfRule>
  </conditionalFormatting>
  <conditionalFormatting sqref="H30:M33">
    <cfRule type="expression" dxfId="748" priority="767" stopIfTrue="1">
      <formula>AND($F30&gt;=H$4,$C30="あり")</formula>
    </cfRule>
  </conditionalFormatting>
  <conditionalFormatting sqref="O32">
    <cfRule type="expression" dxfId="747" priority="765" stopIfTrue="1">
      <formula>$C32="あり"</formula>
    </cfRule>
  </conditionalFormatting>
  <conditionalFormatting sqref="N31:N33">
    <cfRule type="expression" dxfId="746" priority="763" stopIfTrue="1">
      <formula>AND($F31&gt;=7,$C31="あり")</formula>
    </cfRule>
  </conditionalFormatting>
  <conditionalFormatting sqref="G36:G38">
    <cfRule type="expression" dxfId="745" priority="760" stopIfTrue="1">
      <formula>AND($E36&gt;=1,$C36="あり")</formula>
    </cfRule>
  </conditionalFormatting>
  <conditionalFormatting sqref="H35:M38">
    <cfRule type="expression" dxfId="744" priority="759" stopIfTrue="1">
      <formula>AND($F35&gt;=H$4,$C35="あり")</formula>
    </cfRule>
  </conditionalFormatting>
  <conditionalFormatting sqref="O35">
    <cfRule type="expression" dxfId="743" priority="758" stopIfTrue="1">
      <formula>$C35="あり"</formula>
    </cfRule>
  </conditionalFormatting>
  <conditionalFormatting sqref="O37">
    <cfRule type="expression" dxfId="742" priority="757" stopIfTrue="1">
      <formula>$C37="あり"</formula>
    </cfRule>
  </conditionalFormatting>
  <conditionalFormatting sqref="O38">
    <cfRule type="expression" dxfId="741" priority="756" stopIfTrue="1">
      <formula>$C38="あり"</formula>
    </cfRule>
  </conditionalFormatting>
  <conditionalFormatting sqref="N36:N38">
    <cfRule type="expression" dxfId="740" priority="755" stopIfTrue="1">
      <formula>AND($F36&gt;=7,$C36="あり")</formula>
    </cfRule>
  </conditionalFormatting>
  <conditionalFormatting sqref="N35">
    <cfRule type="expression" dxfId="739" priority="754" stopIfTrue="1">
      <formula>AND($F35&gt;=7,$C35="あり")</formula>
    </cfRule>
  </conditionalFormatting>
  <conditionalFormatting sqref="C35:D38">
    <cfRule type="expression" dxfId="738" priority="753">
      <formula>$C35="あり"</formula>
    </cfRule>
  </conditionalFormatting>
  <conditionalFormatting sqref="G41:G43">
    <cfRule type="expression" dxfId="737" priority="752" stopIfTrue="1">
      <formula>AND($E41&gt;=1,$C41="あり")</formula>
    </cfRule>
  </conditionalFormatting>
  <conditionalFormatting sqref="H40:M43">
    <cfRule type="expression" dxfId="736" priority="751" stopIfTrue="1">
      <formula>AND($F40&gt;=H$4,$C40="あり")</formula>
    </cfRule>
  </conditionalFormatting>
  <conditionalFormatting sqref="O40">
    <cfRule type="expression" dxfId="735" priority="750" stopIfTrue="1">
      <formula>$C40="あり"</formula>
    </cfRule>
  </conditionalFormatting>
  <conditionalFormatting sqref="O42">
    <cfRule type="expression" dxfId="734" priority="749" stopIfTrue="1">
      <formula>$C42="あり"</formula>
    </cfRule>
  </conditionalFormatting>
  <conditionalFormatting sqref="O43">
    <cfRule type="expression" dxfId="733" priority="748" stopIfTrue="1">
      <formula>$C43="あり"</formula>
    </cfRule>
  </conditionalFormatting>
  <conditionalFormatting sqref="N41:N43">
    <cfRule type="expression" dxfId="732" priority="747" stopIfTrue="1">
      <formula>AND($F41&gt;=7,$C41="あり")</formula>
    </cfRule>
  </conditionalFormatting>
  <conditionalFormatting sqref="N40">
    <cfRule type="expression" dxfId="731" priority="746" stopIfTrue="1">
      <formula>AND($F40&gt;=7,$C40="あり")</formula>
    </cfRule>
  </conditionalFormatting>
  <conditionalFormatting sqref="G46:G48">
    <cfRule type="expression" dxfId="730" priority="744" stopIfTrue="1">
      <formula>AND($E46&gt;=1,$C46="あり")</formula>
    </cfRule>
  </conditionalFormatting>
  <conditionalFormatting sqref="H45:M48">
    <cfRule type="expression" dxfId="729" priority="743" stopIfTrue="1">
      <formula>AND($F45&gt;=H$4,$C45="あり")</formula>
    </cfRule>
  </conditionalFormatting>
  <conditionalFormatting sqref="O45">
    <cfRule type="expression" dxfId="728" priority="742" stopIfTrue="1">
      <formula>$C45="あり"</formula>
    </cfRule>
  </conditionalFormatting>
  <conditionalFormatting sqref="O47">
    <cfRule type="expression" dxfId="727" priority="741" stopIfTrue="1">
      <formula>$C47="あり"</formula>
    </cfRule>
  </conditionalFormatting>
  <conditionalFormatting sqref="O48">
    <cfRule type="expression" dxfId="726" priority="740" stopIfTrue="1">
      <formula>$C48="あり"</formula>
    </cfRule>
  </conditionalFormatting>
  <conditionalFormatting sqref="N46:N48">
    <cfRule type="expression" dxfId="725" priority="739" stopIfTrue="1">
      <formula>AND($F46&gt;=7,$C46="あり")</formula>
    </cfRule>
  </conditionalFormatting>
  <conditionalFormatting sqref="N45">
    <cfRule type="expression" dxfId="724" priority="738" stopIfTrue="1">
      <formula>AND($F45&gt;=7,$C45="あり")</formula>
    </cfRule>
  </conditionalFormatting>
  <conditionalFormatting sqref="G51:G53">
    <cfRule type="expression" dxfId="723" priority="736" stopIfTrue="1">
      <formula>AND($E51&gt;=1,$C51="あり")</formula>
    </cfRule>
  </conditionalFormatting>
  <conditionalFormatting sqref="H50:M53">
    <cfRule type="expression" dxfId="722" priority="735" stopIfTrue="1">
      <formula>AND($F50&gt;=H$4,$C50="あり")</formula>
    </cfRule>
  </conditionalFormatting>
  <conditionalFormatting sqref="O50">
    <cfRule type="expression" dxfId="721" priority="734" stopIfTrue="1">
      <formula>$C50="あり"</formula>
    </cfRule>
  </conditionalFormatting>
  <conditionalFormatting sqref="O52">
    <cfRule type="expression" dxfId="720" priority="733" stopIfTrue="1">
      <formula>$C52="あり"</formula>
    </cfRule>
  </conditionalFormatting>
  <conditionalFormatting sqref="O53">
    <cfRule type="expression" dxfId="719" priority="732" stopIfTrue="1">
      <formula>$C53="あり"</formula>
    </cfRule>
  </conditionalFormatting>
  <conditionalFormatting sqref="N51:N53">
    <cfRule type="expression" dxfId="718" priority="731" stopIfTrue="1">
      <formula>AND($F51&gt;=7,$C51="あり")</formula>
    </cfRule>
  </conditionalFormatting>
  <conditionalFormatting sqref="N50">
    <cfRule type="expression" dxfId="717" priority="730" stopIfTrue="1">
      <formula>AND($F50&gt;=7,$C50="あり")</formula>
    </cfRule>
  </conditionalFormatting>
  <conditionalFormatting sqref="C50:D53">
    <cfRule type="expression" dxfId="716" priority="729">
      <formula>$C50="あり"</formula>
    </cfRule>
  </conditionalFormatting>
  <conditionalFormatting sqref="G56:G58">
    <cfRule type="expression" dxfId="715" priority="728" stopIfTrue="1">
      <formula>AND($E56&gt;=1,$C56="あり")</formula>
    </cfRule>
  </conditionalFormatting>
  <conditionalFormatting sqref="H55:M58">
    <cfRule type="expression" dxfId="714" priority="727" stopIfTrue="1">
      <formula>AND($F55&gt;=H$4,$C55="あり")</formula>
    </cfRule>
  </conditionalFormatting>
  <conditionalFormatting sqref="O55">
    <cfRule type="expression" dxfId="713" priority="726" stopIfTrue="1">
      <formula>$C55="あり"</formula>
    </cfRule>
  </conditionalFormatting>
  <conditionalFormatting sqref="O57">
    <cfRule type="expression" dxfId="712" priority="725" stopIfTrue="1">
      <formula>$C57="あり"</formula>
    </cfRule>
  </conditionalFormatting>
  <conditionalFormatting sqref="O58">
    <cfRule type="expression" dxfId="711" priority="724" stopIfTrue="1">
      <formula>$C58="あり"</formula>
    </cfRule>
  </conditionalFormatting>
  <conditionalFormatting sqref="N56:N58">
    <cfRule type="expression" dxfId="710" priority="723" stopIfTrue="1">
      <formula>AND($F56&gt;=7,$C56="あり")</formula>
    </cfRule>
  </conditionalFormatting>
  <conditionalFormatting sqref="N55">
    <cfRule type="expression" dxfId="709" priority="722" stopIfTrue="1">
      <formula>AND($F55&gt;=7,$C55="あり")</formula>
    </cfRule>
  </conditionalFormatting>
  <conditionalFormatting sqref="G61:G63">
    <cfRule type="expression" dxfId="708" priority="720" stopIfTrue="1">
      <formula>AND($E61&gt;=1,$C61="あり")</formula>
    </cfRule>
  </conditionalFormatting>
  <conditionalFormatting sqref="H60:M63">
    <cfRule type="expression" dxfId="707" priority="719" stopIfTrue="1">
      <formula>AND($F60&gt;=H$4,$C60="あり")</formula>
    </cfRule>
  </conditionalFormatting>
  <conditionalFormatting sqref="O60">
    <cfRule type="expression" dxfId="706" priority="718" stopIfTrue="1">
      <formula>$C60="あり"</formula>
    </cfRule>
  </conditionalFormatting>
  <conditionalFormatting sqref="O62">
    <cfRule type="expression" dxfId="705" priority="717" stopIfTrue="1">
      <formula>$C62="あり"</formula>
    </cfRule>
  </conditionalFormatting>
  <conditionalFormatting sqref="O63">
    <cfRule type="expression" dxfId="704" priority="716" stopIfTrue="1">
      <formula>$C63="あり"</formula>
    </cfRule>
  </conditionalFormatting>
  <conditionalFormatting sqref="N61:N63">
    <cfRule type="expression" dxfId="703" priority="715" stopIfTrue="1">
      <formula>AND($F61&gt;=7,$C61="あり")</formula>
    </cfRule>
  </conditionalFormatting>
  <conditionalFormatting sqref="N60">
    <cfRule type="expression" dxfId="702" priority="714" stopIfTrue="1">
      <formula>AND($F60&gt;=7,$C60="あり")</formula>
    </cfRule>
  </conditionalFormatting>
  <conditionalFormatting sqref="C60:D63">
    <cfRule type="expression" dxfId="701" priority="713">
      <formula>$C60="あり"</formula>
    </cfRule>
  </conditionalFormatting>
  <conditionalFormatting sqref="G66:G68">
    <cfRule type="expression" dxfId="700" priority="712" stopIfTrue="1">
      <formula>AND($E66&gt;=1,$C66="あり")</formula>
    </cfRule>
  </conditionalFormatting>
  <conditionalFormatting sqref="H65:M68">
    <cfRule type="expression" dxfId="699" priority="711" stopIfTrue="1">
      <formula>AND($F65&gt;=H$4,$C65="あり")</formula>
    </cfRule>
  </conditionalFormatting>
  <conditionalFormatting sqref="O65">
    <cfRule type="expression" dxfId="698" priority="710" stopIfTrue="1">
      <formula>$C65="あり"</formula>
    </cfRule>
  </conditionalFormatting>
  <conditionalFormatting sqref="O67">
    <cfRule type="expression" dxfId="697" priority="709" stopIfTrue="1">
      <formula>$C67="あり"</formula>
    </cfRule>
  </conditionalFormatting>
  <conditionalFormatting sqref="O68">
    <cfRule type="expression" dxfId="696" priority="708" stopIfTrue="1">
      <formula>$C68="あり"</formula>
    </cfRule>
  </conditionalFormatting>
  <conditionalFormatting sqref="N66:N68">
    <cfRule type="expression" dxfId="695" priority="707" stopIfTrue="1">
      <formula>AND($F66&gt;=7,$C66="あり")</formula>
    </cfRule>
  </conditionalFormatting>
  <conditionalFormatting sqref="N65">
    <cfRule type="expression" dxfId="694" priority="706" stopIfTrue="1">
      <formula>AND($F65&gt;=7,$C65="あり")</formula>
    </cfRule>
  </conditionalFormatting>
  <conditionalFormatting sqref="G71:G73">
    <cfRule type="expression" dxfId="693" priority="704" stopIfTrue="1">
      <formula>AND($E71&gt;=1,$C71="あり")</formula>
    </cfRule>
  </conditionalFormatting>
  <conditionalFormatting sqref="H70:M73">
    <cfRule type="expression" dxfId="692" priority="703" stopIfTrue="1">
      <formula>AND($F70&gt;=H$4,$C70="あり")</formula>
    </cfRule>
  </conditionalFormatting>
  <conditionalFormatting sqref="O70">
    <cfRule type="expression" dxfId="691" priority="702" stopIfTrue="1">
      <formula>$C70="あり"</formula>
    </cfRule>
  </conditionalFormatting>
  <conditionalFormatting sqref="O72">
    <cfRule type="expression" dxfId="690" priority="701" stopIfTrue="1">
      <formula>$C72="あり"</formula>
    </cfRule>
  </conditionalFormatting>
  <conditionalFormatting sqref="O73">
    <cfRule type="expression" dxfId="689" priority="700" stopIfTrue="1">
      <formula>$C73="あり"</formula>
    </cfRule>
  </conditionalFormatting>
  <conditionalFormatting sqref="N71:N73">
    <cfRule type="expression" dxfId="688" priority="699" stopIfTrue="1">
      <formula>AND($F71&gt;=7,$C71="あり")</formula>
    </cfRule>
  </conditionalFormatting>
  <conditionalFormatting sqref="N70">
    <cfRule type="expression" dxfId="687" priority="698" stopIfTrue="1">
      <formula>AND($F70&gt;=7,$C70="あり")</formula>
    </cfRule>
  </conditionalFormatting>
  <conditionalFormatting sqref="C70:D73">
    <cfRule type="expression" dxfId="686" priority="697">
      <formula>$C70="あり"</formula>
    </cfRule>
  </conditionalFormatting>
  <conditionalFormatting sqref="G76:G78">
    <cfRule type="expression" dxfId="685" priority="696" stopIfTrue="1">
      <formula>AND($E76&gt;=1,$C76="あり")</formula>
    </cfRule>
  </conditionalFormatting>
  <conditionalFormatting sqref="H75:M78">
    <cfRule type="expression" dxfId="684" priority="695" stopIfTrue="1">
      <formula>AND($F75&gt;=H$4,$C75="あり")</formula>
    </cfRule>
  </conditionalFormatting>
  <conditionalFormatting sqref="O75">
    <cfRule type="expression" dxfId="683" priority="694" stopIfTrue="1">
      <formula>$C75="あり"</formula>
    </cfRule>
  </conditionalFormatting>
  <conditionalFormatting sqref="O77">
    <cfRule type="expression" dxfId="682" priority="693" stopIfTrue="1">
      <formula>$C77="あり"</formula>
    </cfRule>
  </conditionalFormatting>
  <conditionalFormatting sqref="O78">
    <cfRule type="expression" dxfId="681" priority="692" stopIfTrue="1">
      <formula>$C78="あり"</formula>
    </cfRule>
  </conditionalFormatting>
  <conditionalFormatting sqref="N76:N78">
    <cfRule type="expression" dxfId="680" priority="691" stopIfTrue="1">
      <formula>AND($F76&gt;=7,$C76="あり")</formula>
    </cfRule>
  </conditionalFormatting>
  <conditionalFormatting sqref="N75">
    <cfRule type="expression" dxfId="679" priority="690" stopIfTrue="1">
      <formula>AND($F75&gt;=7,$C75="あり")</formula>
    </cfRule>
  </conditionalFormatting>
  <conditionalFormatting sqref="C75:D78">
    <cfRule type="expression" dxfId="678" priority="689">
      <formula>$C75="あり"</formula>
    </cfRule>
  </conditionalFormatting>
  <conditionalFormatting sqref="G81:G83">
    <cfRule type="expression" dxfId="677" priority="688" stopIfTrue="1">
      <formula>AND($E81&gt;=1,$C81="あり")</formula>
    </cfRule>
  </conditionalFormatting>
  <conditionalFormatting sqref="H80:M83">
    <cfRule type="expression" dxfId="676" priority="687" stopIfTrue="1">
      <formula>AND($F80&gt;=H$4,$C80="あり")</formula>
    </cfRule>
  </conditionalFormatting>
  <conditionalFormatting sqref="O80">
    <cfRule type="expression" dxfId="675" priority="686" stopIfTrue="1">
      <formula>$C80="あり"</formula>
    </cfRule>
  </conditionalFormatting>
  <conditionalFormatting sqref="O82">
    <cfRule type="expression" dxfId="674" priority="685" stopIfTrue="1">
      <formula>$C82="あり"</formula>
    </cfRule>
  </conditionalFormatting>
  <conditionalFormatting sqref="O83">
    <cfRule type="expression" dxfId="673" priority="684" stopIfTrue="1">
      <formula>$C83="あり"</formula>
    </cfRule>
  </conditionalFormatting>
  <conditionalFormatting sqref="N81:N83">
    <cfRule type="expression" dxfId="672" priority="683" stopIfTrue="1">
      <formula>AND($F81&gt;=7,$C81="あり")</formula>
    </cfRule>
  </conditionalFormatting>
  <conditionalFormatting sqref="N80">
    <cfRule type="expression" dxfId="671" priority="682" stopIfTrue="1">
      <formula>AND($F80&gt;=7,$C80="あり")</formula>
    </cfRule>
  </conditionalFormatting>
  <conditionalFormatting sqref="G86:G88">
    <cfRule type="expression" dxfId="670" priority="680" stopIfTrue="1">
      <formula>AND($E86&gt;=1,$C86="あり")</formula>
    </cfRule>
  </conditionalFormatting>
  <conditionalFormatting sqref="H85:M88">
    <cfRule type="expression" dxfId="669" priority="679" stopIfTrue="1">
      <formula>AND($F85&gt;=H$4,$C85="あり")</formula>
    </cfRule>
  </conditionalFormatting>
  <conditionalFormatting sqref="O85">
    <cfRule type="expression" dxfId="668" priority="678" stopIfTrue="1">
      <formula>$C85="あり"</formula>
    </cfRule>
  </conditionalFormatting>
  <conditionalFormatting sqref="O87">
    <cfRule type="expression" dxfId="667" priority="677" stopIfTrue="1">
      <formula>$C87="あり"</formula>
    </cfRule>
  </conditionalFormatting>
  <conditionalFormatting sqref="O88">
    <cfRule type="expression" dxfId="666" priority="676" stopIfTrue="1">
      <formula>$C88="あり"</formula>
    </cfRule>
  </conditionalFormatting>
  <conditionalFormatting sqref="N86:N88">
    <cfRule type="expression" dxfId="665" priority="675" stopIfTrue="1">
      <formula>AND($F86&gt;=7,$C86="あり")</formula>
    </cfRule>
  </conditionalFormatting>
  <conditionalFormatting sqref="N85">
    <cfRule type="expression" dxfId="664" priority="674" stopIfTrue="1">
      <formula>AND($F85&gt;=7,$C85="あり")</formula>
    </cfRule>
  </conditionalFormatting>
  <conditionalFormatting sqref="C85:D88">
    <cfRule type="expression" dxfId="663" priority="673">
      <formula>$C85="あり"</formula>
    </cfRule>
  </conditionalFormatting>
  <conditionalFormatting sqref="G91:G93">
    <cfRule type="expression" dxfId="662" priority="672" stopIfTrue="1">
      <formula>AND($E91&gt;=1,$C91="あり")</formula>
    </cfRule>
  </conditionalFormatting>
  <conditionalFormatting sqref="H90:M93">
    <cfRule type="expression" dxfId="661" priority="671" stopIfTrue="1">
      <formula>AND($F90&gt;=H$4,$C90="あり")</formula>
    </cfRule>
  </conditionalFormatting>
  <conditionalFormatting sqref="O90">
    <cfRule type="expression" dxfId="660" priority="670" stopIfTrue="1">
      <formula>$C90="あり"</formula>
    </cfRule>
  </conditionalFormatting>
  <conditionalFormatting sqref="O92">
    <cfRule type="expression" dxfId="659" priority="669" stopIfTrue="1">
      <formula>$C92="あり"</formula>
    </cfRule>
  </conditionalFormatting>
  <conditionalFormatting sqref="O93">
    <cfRule type="expression" dxfId="658" priority="668" stopIfTrue="1">
      <formula>$C93="あり"</formula>
    </cfRule>
  </conditionalFormatting>
  <conditionalFormatting sqref="N91:N93">
    <cfRule type="expression" dxfId="657" priority="667" stopIfTrue="1">
      <formula>AND($F91&gt;=7,$C91="あり")</formula>
    </cfRule>
  </conditionalFormatting>
  <conditionalFormatting sqref="N90">
    <cfRule type="expression" dxfId="656" priority="666" stopIfTrue="1">
      <formula>AND($F90&gt;=7,$C90="あり")</formula>
    </cfRule>
  </conditionalFormatting>
  <conditionalFormatting sqref="C90:D93">
    <cfRule type="expression" dxfId="655" priority="665">
      <formula>$C90="あり"</formula>
    </cfRule>
  </conditionalFormatting>
  <conditionalFormatting sqref="G96:G98">
    <cfRule type="expression" dxfId="654" priority="664" stopIfTrue="1">
      <formula>AND($E96&gt;=1,$C96="あり")</formula>
    </cfRule>
  </conditionalFormatting>
  <conditionalFormatting sqref="H95:M98">
    <cfRule type="expression" dxfId="653" priority="663" stopIfTrue="1">
      <formula>AND($F95&gt;=H$4,$C95="あり")</formula>
    </cfRule>
  </conditionalFormatting>
  <conditionalFormatting sqref="O95">
    <cfRule type="expression" dxfId="652" priority="662" stopIfTrue="1">
      <formula>$C95="あり"</formula>
    </cfRule>
  </conditionalFormatting>
  <conditionalFormatting sqref="O97">
    <cfRule type="expression" dxfId="651" priority="661" stopIfTrue="1">
      <formula>$C97="あり"</formula>
    </cfRule>
  </conditionalFormatting>
  <conditionalFormatting sqref="O98">
    <cfRule type="expression" dxfId="650" priority="660" stopIfTrue="1">
      <formula>$C98="あり"</formula>
    </cfRule>
  </conditionalFormatting>
  <conditionalFormatting sqref="N96:N98">
    <cfRule type="expression" dxfId="649" priority="659" stopIfTrue="1">
      <formula>AND($F96&gt;=7,$C96="あり")</formula>
    </cfRule>
  </conditionalFormatting>
  <conditionalFormatting sqref="N95">
    <cfRule type="expression" dxfId="648" priority="658" stopIfTrue="1">
      <formula>AND($F95&gt;=7,$C95="あり")</formula>
    </cfRule>
  </conditionalFormatting>
  <conditionalFormatting sqref="C95:D98">
    <cfRule type="expression" dxfId="647" priority="657">
      <formula>$C95="あり"</formula>
    </cfRule>
  </conditionalFormatting>
  <conditionalFormatting sqref="G101:G103">
    <cfRule type="expression" dxfId="646" priority="656" stopIfTrue="1">
      <formula>AND($E101&gt;=1,$C101="あり")</formula>
    </cfRule>
  </conditionalFormatting>
  <conditionalFormatting sqref="H100:M103">
    <cfRule type="expression" dxfId="645" priority="655" stopIfTrue="1">
      <formula>AND($F100&gt;=H$4,$C100="あり")</formula>
    </cfRule>
  </conditionalFormatting>
  <conditionalFormatting sqref="O100">
    <cfRule type="expression" dxfId="644" priority="654" stopIfTrue="1">
      <formula>$C100="あり"</formula>
    </cfRule>
  </conditionalFormatting>
  <conditionalFormatting sqref="O102">
    <cfRule type="expression" dxfId="643" priority="653" stopIfTrue="1">
      <formula>$C102="あり"</formula>
    </cfRule>
  </conditionalFormatting>
  <conditionalFormatting sqref="O103">
    <cfRule type="expression" dxfId="642" priority="652" stopIfTrue="1">
      <formula>$C103="あり"</formula>
    </cfRule>
  </conditionalFormatting>
  <conditionalFormatting sqref="N101:N103">
    <cfRule type="expression" dxfId="641" priority="651" stopIfTrue="1">
      <formula>AND($F101&gt;=7,$C101="あり")</formula>
    </cfRule>
  </conditionalFormatting>
  <conditionalFormatting sqref="N100">
    <cfRule type="expression" dxfId="640" priority="650" stopIfTrue="1">
      <formula>AND($F100&gt;=7,$C100="あり")</formula>
    </cfRule>
  </conditionalFormatting>
  <conditionalFormatting sqref="C100:D103">
    <cfRule type="expression" dxfId="639" priority="649">
      <formula>$C100="あり"</formula>
    </cfRule>
  </conditionalFormatting>
  <conditionalFormatting sqref="G106:G108">
    <cfRule type="expression" dxfId="638" priority="640" stopIfTrue="1">
      <formula>AND($E106&gt;=1,$C106="あり")</formula>
    </cfRule>
  </conditionalFormatting>
  <conditionalFormatting sqref="H105:M108">
    <cfRule type="expression" dxfId="637" priority="639" stopIfTrue="1">
      <formula>AND($F105&gt;=H$4,$C105="あり")</formula>
    </cfRule>
  </conditionalFormatting>
  <conditionalFormatting sqref="O105">
    <cfRule type="expression" dxfId="636" priority="638" stopIfTrue="1">
      <formula>$C105="あり"</formula>
    </cfRule>
  </conditionalFormatting>
  <conditionalFormatting sqref="O107">
    <cfRule type="expression" dxfId="635" priority="637" stopIfTrue="1">
      <formula>$C107="あり"</formula>
    </cfRule>
  </conditionalFormatting>
  <conditionalFormatting sqref="O108">
    <cfRule type="expression" dxfId="634" priority="636" stopIfTrue="1">
      <formula>$C108="あり"</formula>
    </cfRule>
  </conditionalFormatting>
  <conditionalFormatting sqref="N106:N108">
    <cfRule type="expression" dxfId="633" priority="635" stopIfTrue="1">
      <formula>AND($F106&gt;=7,$C106="あり")</formula>
    </cfRule>
  </conditionalFormatting>
  <conditionalFormatting sqref="N105">
    <cfRule type="expression" dxfId="632" priority="634" stopIfTrue="1">
      <formula>AND($F105&gt;=7,$C105="あり")</formula>
    </cfRule>
  </conditionalFormatting>
  <conditionalFormatting sqref="C105:D108">
    <cfRule type="expression" dxfId="631" priority="633">
      <formula>$C105="あり"</formula>
    </cfRule>
  </conditionalFormatting>
  <conditionalFormatting sqref="G111:G113">
    <cfRule type="expression" dxfId="630" priority="632" stopIfTrue="1">
      <formula>AND($E111&gt;=1,$C111="あり")</formula>
    </cfRule>
  </conditionalFormatting>
  <conditionalFormatting sqref="H110:M113">
    <cfRule type="expression" dxfId="629" priority="631" stopIfTrue="1">
      <formula>AND($F110&gt;=H$4,$C110="あり")</formula>
    </cfRule>
  </conditionalFormatting>
  <conditionalFormatting sqref="O110">
    <cfRule type="expression" dxfId="628" priority="630" stopIfTrue="1">
      <formula>$C110="あり"</formula>
    </cfRule>
  </conditionalFormatting>
  <conditionalFormatting sqref="O112">
    <cfRule type="expression" dxfId="627" priority="629" stopIfTrue="1">
      <formula>$C112="あり"</formula>
    </cfRule>
  </conditionalFormatting>
  <conditionalFormatting sqref="O113">
    <cfRule type="expression" dxfId="626" priority="628" stopIfTrue="1">
      <formula>$C113="あり"</formula>
    </cfRule>
  </conditionalFormatting>
  <conditionalFormatting sqref="N111:N113">
    <cfRule type="expression" dxfId="625" priority="627" stopIfTrue="1">
      <formula>AND($F111&gt;=7,$C111="あり")</formula>
    </cfRule>
  </conditionalFormatting>
  <conditionalFormatting sqref="N110">
    <cfRule type="expression" dxfId="624" priority="626" stopIfTrue="1">
      <formula>AND($F110&gt;=7,$C110="あり")</formula>
    </cfRule>
  </conditionalFormatting>
  <conditionalFormatting sqref="C110:D113">
    <cfRule type="expression" dxfId="623" priority="625">
      <formula>$C110="あり"</formula>
    </cfRule>
  </conditionalFormatting>
  <conditionalFormatting sqref="G116:G118">
    <cfRule type="expression" dxfId="622" priority="624" stopIfTrue="1">
      <formula>AND($E116&gt;=1,$C116="あり")</formula>
    </cfRule>
  </conditionalFormatting>
  <conditionalFormatting sqref="H115:M118">
    <cfRule type="expression" dxfId="621" priority="623" stopIfTrue="1">
      <formula>AND($F115&gt;=H$4,$C115="あり")</formula>
    </cfRule>
  </conditionalFormatting>
  <conditionalFormatting sqref="O115">
    <cfRule type="expression" dxfId="620" priority="622" stopIfTrue="1">
      <formula>$C115="あり"</formula>
    </cfRule>
  </conditionalFormatting>
  <conditionalFormatting sqref="O117">
    <cfRule type="expression" dxfId="619" priority="621" stopIfTrue="1">
      <formula>$C117="あり"</formula>
    </cfRule>
  </conditionalFormatting>
  <conditionalFormatting sqref="O118">
    <cfRule type="expression" dxfId="618" priority="620" stopIfTrue="1">
      <formula>$C118="あり"</formula>
    </cfRule>
  </conditionalFormatting>
  <conditionalFormatting sqref="N116:N118">
    <cfRule type="expression" dxfId="617" priority="619" stopIfTrue="1">
      <formula>AND($F116&gt;=7,$C116="あり")</formula>
    </cfRule>
  </conditionalFormatting>
  <conditionalFormatting sqref="N115">
    <cfRule type="expression" dxfId="616" priority="618" stopIfTrue="1">
      <formula>AND($F115&gt;=7,$C115="あり")</formula>
    </cfRule>
  </conditionalFormatting>
  <conditionalFormatting sqref="C115:D118">
    <cfRule type="expression" dxfId="615" priority="617">
      <formula>$C115="あり"</formula>
    </cfRule>
  </conditionalFormatting>
  <conditionalFormatting sqref="G121:G123">
    <cfRule type="expression" dxfId="614" priority="616" stopIfTrue="1">
      <formula>AND($E121&gt;=1,$C121="あり")</formula>
    </cfRule>
  </conditionalFormatting>
  <conditionalFormatting sqref="H120:M123">
    <cfRule type="expression" dxfId="613" priority="615" stopIfTrue="1">
      <formula>AND($F120&gt;=H$4,$C120="あり")</formula>
    </cfRule>
  </conditionalFormatting>
  <conditionalFormatting sqref="O120">
    <cfRule type="expression" dxfId="612" priority="614" stopIfTrue="1">
      <formula>$C120="あり"</formula>
    </cfRule>
  </conditionalFormatting>
  <conditionalFormatting sqref="O122">
    <cfRule type="expression" dxfId="611" priority="613" stopIfTrue="1">
      <formula>$C122="あり"</formula>
    </cfRule>
  </conditionalFormatting>
  <conditionalFormatting sqref="O123">
    <cfRule type="expression" dxfId="610" priority="612" stopIfTrue="1">
      <formula>$C123="あり"</formula>
    </cfRule>
  </conditionalFormatting>
  <conditionalFormatting sqref="N121:N123">
    <cfRule type="expression" dxfId="609" priority="611" stopIfTrue="1">
      <formula>AND($F121&gt;=7,$C121="あり")</formula>
    </cfRule>
  </conditionalFormatting>
  <conditionalFormatting sqref="N120">
    <cfRule type="expression" dxfId="608" priority="610" stopIfTrue="1">
      <formula>AND($F120&gt;=7,$C120="あり")</formula>
    </cfRule>
  </conditionalFormatting>
  <conditionalFormatting sqref="C120:D123">
    <cfRule type="expression" dxfId="607" priority="609">
      <formula>$C120="あり"</formula>
    </cfRule>
  </conditionalFormatting>
  <conditionalFormatting sqref="G126:G128">
    <cfRule type="expression" dxfId="606" priority="608" stopIfTrue="1">
      <formula>AND($E126&gt;=1,$C126="あり")</formula>
    </cfRule>
  </conditionalFormatting>
  <conditionalFormatting sqref="H125:M128">
    <cfRule type="expression" dxfId="605" priority="607" stopIfTrue="1">
      <formula>AND($F125&gt;=H$4,$C125="あり")</formula>
    </cfRule>
  </conditionalFormatting>
  <conditionalFormatting sqref="O125">
    <cfRule type="expression" dxfId="604" priority="606" stopIfTrue="1">
      <formula>$C125="あり"</formula>
    </cfRule>
  </conditionalFormatting>
  <conditionalFormatting sqref="O127">
    <cfRule type="expression" dxfId="603" priority="605" stopIfTrue="1">
      <formula>$C127="あり"</formula>
    </cfRule>
  </conditionalFormatting>
  <conditionalFormatting sqref="O128">
    <cfRule type="expression" dxfId="602" priority="604" stopIfTrue="1">
      <formula>$C128="あり"</formula>
    </cfRule>
  </conditionalFormatting>
  <conditionalFormatting sqref="N126:N128">
    <cfRule type="expression" dxfId="601" priority="603" stopIfTrue="1">
      <formula>AND($F126&gt;=7,$C126="あり")</formula>
    </cfRule>
  </conditionalFormatting>
  <conditionalFormatting sqref="N125">
    <cfRule type="expression" dxfId="600" priority="602" stopIfTrue="1">
      <formula>AND($F125&gt;=7,$C125="あり")</formula>
    </cfRule>
  </conditionalFormatting>
  <conditionalFormatting sqref="C125:D128">
    <cfRule type="expression" dxfId="599" priority="601">
      <formula>$C125="あり"</formula>
    </cfRule>
  </conditionalFormatting>
  <conditionalFormatting sqref="G131:G133">
    <cfRule type="expression" dxfId="598" priority="600" stopIfTrue="1">
      <formula>AND($E131&gt;=1,$C131="あり")</formula>
    </cfRule>
  </conditionalFormatting>
  <conditionalFormatting sqref="H130:M133">
    <cfRule type="expression" dxfId="597" priority="599" stopIfTrue="1">
      <formula>AND($F130&gt;=H$4,$C130="あり")</formula>
    </cfRule>
  </conditionalFormatting>
  <conditionalFormatting sqref="O130">
    <cfRule type="expression" dxfId="596" priority="598" stopIfTrue="1">
      <formula>$C130="あり"</formula>
    </cfRule>
  </conditionalFormatting>
  <conditionalFormatting sqref="O132">
    <cfRule type="expression" dxfId="595" priority="597" stopIfTrue="1">
      <formula>$C132="あり"</formula>
    </cfRule>
  </conditionalFormatting>
  <conditionalFormatting sqref="O133">
    <cfRule type="expression" dxfId="594" priority="596" stopIfTrue="1">
      <formula>$C133="あり"</formula>
    </cfRule>
  </conditionalFormatting>
  <conditionalFormatting sqref="N131:N133">
    <cfRule type="expression" dxfId="593" priority="595" stopIfTrue="1">
      <formula>AND($F131&gt;=7,$C131="あり")</formula>
    </cfRule>
  </conditionalFormatting>
  <conditionalFormatting sqref="N130">
    <cfRule type="expression" dxfId="592" priority="594" stopIfTrue="1">
      <formula>AND($F130&gt;=7,$C130="あり")</formula>
    </cfRule>
  </conditionalFormatting>
  <conditionalFormatting sqref="C130:D133">
    <cfRule type="expression" dxfId="591" priority="593">
      <formula>$C130="あり"</formula>
    </cfRule>
  </conditionalFormatting>
  <conditionalFormatting sqref="G136:G138">
    <cfRule type="expression" dxfId="590" priority="592" stopIfTrue="1">
      <formula>AND($E136&gt;=1,$C136="あり")</formula>
    </cfRule>
  </conditionalFormatting>
  <conditionalFormatting sqref="H135:M138">
    <cfRule type="expression" dxfId="589" priority="591" stopIfTrue="1">
      <formula>AND($F135&gt;=H$4,$C135="あり")</formula>
    </cfRule>
  </conditionalFormatting>
  <conditionalFormatting sqref="O135">
    <cfRule type="expression" dxfId="588" priority="590" stopIfTrue="1">
      <formula>$C135="あり"</formula>
    </cfRule>
  </conditionalFormatting>
  <conditionalFormatting sqref="O137">
    <cfRule type="expression" dxfId="587" priority="589" stopIfTrue="1">
      <formula>$C137="あり"</formula>
    </cfRule>
  </conditionalFormatting>
  <conditionalFormatting sqref="O138">
    <cfRule type="expression" dxfId="586" priority="588" stopIfTrue="1">
      <formula>$C138="あり"</formula>
    </cfRule>
  </conditionalFormatting>
  <conditionalFormatting sqref="N136:N138">
    <cfRule type="expression" dxfId="585" priority="587" stopIfTrue="1">
      <formula>AND($F136&gt;=7,$C136="あり")</formula>
    </cfRule>
  </conditionalFormatting>
  <conditionalFormatting sqref="N135">
    <cfRule type="expression" dxfId="584" priority="586" stopIfTrue="1">
      <formula>AND($F135&gt;=7,$C135="あり")</formula>
    </cfRule>
  </conditionalFormatting>
  <conditionalFormatting sqref="C135:D138">
    <cfRule type="expression" dxfId="583" priority="585">
      <formula>$C135="あり"</formula>
    </cfRule>
  </conditionalFormatting>
  <conditionalFormatting sqref="G141:G143">
    <cfRule type="expression" dxfId="582" priority="584" stopIfTrue="1">
      <formula>AND($E141&gt;=1,$C141="あり")</formula>
    </cfRule>
  </conditionalFormatting>
  <conditionalFormatting sqref="H140:M143">
    <cfRule type="expression" dxfId="581" priority="583" stopIfTrue="1">
      <formula>AND($F140&gt;=H$4,$C140="あり")</formula>
    </cfRule>
  </conditionalFormatting>
  <conditionalFormatting sqref="O140">
    <cfRule type="expression" dxfId="580" priority="582" stopIfTrue="1">
      <formula>$C140="あり"</formula>
    </cfRule>
  </conditionalFormatting>
  <conditionalFormatting sqref="O142">
    <cfRule type="expression" dxfId="579" priority="581" stopIfTrue="1">
      <formula>$C142="あり"</formula>
    </cfRule>
  </conditionalFormatting>
  <conditionalFormatting sqref="O143">
    <cfRule type="expression" dxfId="578" priority="580" stopIfTrue="1">
      <formula>$C143="あり"</formula>
    </cfRule>
  </conditionalFormatting>
  <conditionalFormatting sqref="N141:N143">
    <cfRule type="expression" dxfId="577" priority="579" stopIfTrue="1">
      <formula>AND($F141&gt;=7,$C141="あり")</formula>
    </cfRule>
  </conditionalFormatting>
  <conditionalFormatting sqref="N140">
    <cfRule type="expression" dxfId="576" priority="578" stopIfTrue="1">
      <formula>AND($F140&gt;=7,$C140="あり")</formula>
    </cfRule>
  </conditionalFormatting>
  <conditionalFormatting sqref="C140:D143">
    <cfRule type="expression" dxfId="575" priority="577">
      <formula>$C140="あり"</formula>
    </cfRule>
  </conditionalFormatting>
  <conditionalFormatting sqref="G146:G148">
    <cfRule type="expression" dxfId="574" priority="576" stopIfTrue="1">
      <formula>AND($E146&gt;=1,$C146="あり")</formula>
    </cfRule>
  </conditionalFormatting>
  <conditionalFormatting sqref="H145:M148">
    <cfRule type="expression" dxfId="573" priority="575" stopIfTrue="1">
      <formula>AND($F145&gt;=H$4,$C145="あり")</formula>
    </cfRule>
  </conditionalFormatting>
  <conditionalFormatting sqref="O145">
    <cfRule type="expression" dxfId="572" priority="574" stopIfTrue="1">
      <formula>$C145="あり"</formula>
    </cfRule>
  </conditionalFormatting>
  <conditionalFormatting sqref="O147">
    <cfRule type="expression" dxfId="571" priority="573" stopIfTrue="1">
      <formula>$C147="あり"</formula>
    </cfRule>
  </conditionalFormatting>
  <conditionalFormatting sqref="O148">
    <cfRule type="expression" dxfId="570" priority="572" stopIfTrue="1">
      <formula>$C148="あり"</formula>
    </cfRule>
  </conditionalFormatting>
  <conditionalFormatting sqref="N146:N148">
    <cfRule type="expression" dxfId="569" priority="571" stopIfTrue="1">
      <formula>AND($F146&gt;=7,$C146="あり")</formula>
    </cfRule>
  </conditionalFormatting>
  <conditionalFormatting sqref="N145">
    <cfRule type="expression" dxfId="568" priority="570" stopIfTrue="1">
      <formula>AND($F145&gt;=7,$C145="あり")</formula>
    </cfRule>
  </conditionalFormatting>
  <conditionalFormatting sqref="C145:D148">
    <cfRule type="expression" dxfId="567" priority="569">
      <formula>$C145="あり"</formula>
    </cfRule>
  </conditionalFormatting>
  <conditionalFormatting sqref="G151:G153">
    <cfRule type="expression" dxfId="566" priority="568" stopIfTrue="1">
      <formula>AND($E151&gt;=1,$C151="あり")</formula>
    </cfRule>
  </conditionalFormatting>
  <conditionalFormatting sqref="H150:M153">
    <cfRule type="expression" dxfId="565" priority="567" stopIfTrue="1">
      <formula>AND($F150&gt;=H$4,$C150="あり")</formula>
    </cfRule>
  </conditionalFormatting>
  <conditionalFormatting sqref="O150">
    <cfRule type="expression" dxfId="564" priority="566" stopIfTrue="1">
      <formula>$C150="あり"</formula>
    </cfRule>
  </conditionalFormatting>
  <conditionalFormatting sqref="O152">
    <cfRule type="expression" dxfId="563" priority="565" stopIfTrue="1">
      <formula>$C152="あり"</formula>
    </cfRule>
  </conditionalFormatting>
  <conditionalFormatting sqref="O153">
    <cfRule type="expression" dxfId="562" priority="564" stopIfTrue="1">
      <formula>$C153="あり"</formula>
    </cfRule>
  </conditionalFormatting>
  <conditionalFormatting sqref="N151:N153">
    <cfRule type="expression" dxfId="561" priority="563" stopIfTrue="1">
      <formula>AND($F151&gt;=7,$C151="あり")</formula>
    </cfRule>
  </conditionalFormatting>
  <conditionalFormatting sqref="N150">
    <cfRule type="expression" dxfId="560" priority="562" stopIfTrue="1">
      <formula>AND($F150&gt;=7,$C150="あり")</formula>
    </cfRule>
  </conditionalFormatting>
  <conditionalFormatting sqref="C150:D153">
    <cfRule type="expression" dxfId="559" priority="561">
      <formula>$C150="あり"</formula>
    </cfRule>
  </conditionalFormatting>
  <conditionalFormatting sqref="G156:G158">
    <cfRule type="expression" dxfId="558" priority="560" stopIfTrue="1">
      <formula>AND($E156&gt;=1,$C156="あり")</formula>
    </cfRule>
  </conditionalFormatting>
  <conditionalFormatting sqref="H155:M158">
    <cfRule type="expression" dxfId="557" priority="559" stopIfTrue="1">
      <formula>AND($F155&gt;=H$4,$C155="あり")</formula>
    </cfRule>
  </conditionalFormatting>
  <conditionalFormatting sqref="O155">
    <cfRule type="expression" dxfId="556" priority="558" stopIfTrue="1">
      <formula>$C155="あり"</formula>
    </cfRule>
  </conditionalFormatting>
  <conditionalFormatting sqref="O157">
    <cfRule type="expression" dxfId="555" priority="557" stopIfTrue="1">
      <formula>$C157="あり"</formula>
    </cfRule>
  </conditionalFormatting>
  <conditionalFormatting sqref="O158">
    <cfRule type="expression" dxfId="554" priority="556" stopIfTrue="1">
      <formula>$C158="あり"</formula>
    </cfRule>
  </conditionalFormatting>
  <conditionalFormatting sqref="N156:N158">
    <cfRule type="expression" dxfId="553" priority="555" stopIfTrue="1">
      <formula>AND($F156&gt;=7,$C156="あり")</formula>
    </cfRule>
  </conditionalFormatting>
  <conditionalFormatting sqref="N155">
    <cfRule type="expression" dxfId="552" priority="554" stopIfTrue="1">
      <formula>AND($F155&gt;=7,$C155="あり")</formula>
    </cfRule>
  </conditionalFormatting>
  <conditionalFormatting sqref="C155:D158">
    <cfRule type="expression" dxfId="551" priority="553">
      <formula>$C155="あり"</formula>
    </cfRule>
  </conditionalFormatting>
  <conditionalFormatting sqref="G161:G163">
    <cfRule type="expression" dxfId="550" priority="552" stopIfTrue="1">
      <formula>AND($E161&gt;=1,$C161="あり")</formula>
    </cfRule>
  </conditionalFormatting>
  <conditionalFormatting sqref="H160:M163">
    <cfRule type="expression" dxfId="549" priority="551" stopIfTrue="1">
      <formula>AND($F160&gt;=H$4,$C160="あり")</formula>
    </cfRule>
  </conditionalFormatting>
  <conditionalFormatting sqref="O160">
    <cfRule type="expression" dxfId="548" priority="550" stopIfTrue="1">
      <formula>$C160="あり"</formula>
    </cfRule>
  </conditionalFormatting>
  <conditionalFormatting sqref="O162">
    <cfRule type="expression" dxfId="547" priority="549" stopIfTrue="1">
      <formula>$C162="あり"</formula>
    </cfRule>
  </conditionalFormatting>
  <conditionalFormatting sqref="O163">
    <cfRule type="expression" dxfId="546" priority="548" stopIfTrue="1">
      <formula>$C163="あり"</formula>
    </cfRule>
  </conditionalFormatting>
  <conditionalFormatting sqref="N161:N163">
    <cfRule type="expression" dxfId="545" priority="547" stopIfTrue="1">
      <formula>AND($F161&gt;=7,$C161="あり")</formula>
    </cfRule>
  </conditionalFormatting>
  <conditionalFormatting sqref="N160">
    <cfRule type="expression" dxfId="544" priority="546" stopIfTrue="1">
      <formula>AND($F160&gt;=7,$C160="あり")</formula>
    </cfRule>
  </conditionalFormatting>
  <conditionalFormatting sqref="C160:D163">
    <cfRule type="expression" dxfId="543" priority="545">
      <formula>$C160="あり"</formula>
    </cfRule>
  </conditionalFormatting>
  <conditionalFormatting sqref="G166:G168">
    <cfRule type="expression" dxfId="542" priority="544" stopIfTrue="1">
      <formula>AND($E166&gt;=1,$C166="あり")</formula>
    </cfRule>
  </conditionalFormatting>
  <conditionalFormatting sqref="H165:M168">
    <cfRule type="expression" dxfId="541" priority="543" stopIfTrue="1">
      <formula>AND($F165&gt;=H$4,$C165="あり")</formula>
    </cfRule>
  </conditionalFormatting>
  <conditionalFormatting sqref="O165">
    <cfRule type="expression" dxfId="540" priority="542" stopIfTrue="1">
      <formula>$C165="あり"</formula>
    </cfRule>
  </conditionalFormatting>
  <conditionalFormatting sqref="O167">
    <cfRule type="expression" dxfId="539" priority="541" stopIfTrue="1">
      <formula>$C167="あり"</formula>
    </cfRule>
  </conditionalFormatting>
  <conditionalFormatting sqref="O168">
    <cfRule type="expression" dxfId="538" priority="540" stopIfTrue="1">
      <formula>$C168="あり"</formula>
    </cfRule>
  </conditionalFormatting>
  <conditionalFormatting sqref="N166:N168">
    <cfRule type="expression" dxfId="537" priority="539" stopIfTrue="1">
      <formula>AND($F166&gt;=7,$C166="あり")</formula>
    </cfRule>
  </conditionalFormatting>
  <conditionalFormatting sqref="N165">
    <cfRule type="expression" dxfId="536" priority="538" stopIfTrue="1">
      <formula>AND($F165&gt;=7,$C165="あり")</formula>
    </cfRule>
  </conditionalFormatting>
  <conditionalFormatting sqref="C165:D168">
    <cfRule type="expression" dxfId="535" priority="537">
      <formula>$C165="あり"</formula>
    </cfRule>
  </conditionalFormatting>
  <conditionalFormatting sqref="G171:G173">
    <cfRule type="expression" dxfId="534" priority="536" stopIfTrue="1">
      <formula>AND($E171&gt;=1,$C171="あり")</formula>
    </cfRule>
  </conditionalFormatting>
  <conditionalFormatting sqref="H170:M173">
    <cfRule type="expression" dxfId="533" priority="535" stopIfTrue="1">
      <formula>AND($F170&gt;=H$4,$C170="あり")</formula>
    </cfRule>
  </conditionalFormatting>
  <conditionalFormatting sqref="O170">
    <cfRule type="expression" dxfId="532" priority="534" stopIfTrue="1">
      <formula>$C170="あり"</formula>
    </cfRule>
  </conditionalFormatting>
  <conditionalFormatting sqref="O172">
    <cfRule type="expression" dxfId="531" priority="533" stopIfTrue="1">
      <formula>$C172="あり"</formula>
    </cfRule>
  </conditionalFormatting>
  <conditionalFormatting sqref="O173">
    <cfRule type="expression" dxfId="530" priority="532" stopIfTrue="1">
      <formula>$C173="あり"</formula>
    </cfRule>
  </conditionalFormatting>
  <conditionalFormatting sqref="N171:N173">
    <cfRule type="expression" dxfId="529" priority="531" stopIfTrue="1">
      <formula>AND($F171&gt;=7,$C171="あり")</formula>
    </cfRule>
  </conditionalFormatting>
  <conditionalFormatting sqref="N170">
    <cfRule type="expression" dxfId="528" priority="530" stopIfTrue="1">
      <formula>AND($F170&gt;=7,$C170="あり")</formula>
    </cfRule>
  </conditionalFormatting>
  <conditionalFormatting sqref="C170:D173">
    <cfRule type="expression" dxfId="527" priority="529">
      <formula>$C170="あり"</formula>
    </cfRule>
  </conditionalFormatting>
  <conditionalFormatting sqref="G176:G178">
    <cfRule type="expression" dxfId="526" priority="528" stopIfTrue="1">
      <formula>AND($E176&gt;=1,$C176="あり")</formula>
    </cfRule>
  </conditionalFormatting>
  <conditionalFormatting sqref="H175:M178">
    <cfRule type="expression" dxfId="525" priority="527" stopIfTrue="1">
      <formula>AND($F175&gt;=H$4,$C175="あり")</formula>
    </cfRule>
  </conditionalFormatting>
  <conditionalFormatting sqref="O175">
    <cfRule type="expression" dxfId="524" priority="526" stopIfTrue="1">
      <formula>$C175="あり"</formula>
    </cfRule>
  </conditionalFormatting>
  <conditionalFormatting sqref="O177">
    <cfRule type="expression" dxfId="523" priority="525" stopIfTrue="1">
      <formula>$C177="あり"</formula>
    </cfRule>
  </conditionalFormatting>
  <conditionalFormatting sqref="O178">
    <cfRule type="expression" dxfId="522" priority="524" stopIfTrue="1">
      <formula>$C178="あり"</formula>
    </cfRule>
  </conditionalFormatting>
  <conditionalFormatting sqref="N176:N178">
    <cfRule type="expression" dxfId="521" priority="523" stopIfTrue="1">
      <formula>AND($F176&gt;=7,$C176="あり")</formula>
    </cfRule>
  </conditionalFormatting>
  <conditionalFormatting sqref="N175">
    <cfRule type="expression" dxfId="520" priority="522" stopIfTrue="1">
      <formula>AND($F175&gt;=7,$C175="あり")</formula>
    </cfRule>
  </conditionalFormatting>
  <conditionalFormatting sqref="C175:D178">
    <cfRule type="expression" dxfId="519" priority="521">
      <formula>$C175="あり"</formula>
    </cfRule>
  </conditionalFormatting>
  <conditionalFormatting sqref="G181:G183">
    <cfRule type="expression" dxfId="518" priority="520" stopIfTrue="1">
      <formula>AND($E181&gt;=1,$C181="あり")</formula>
    </cfRule>
  </conditionalFormatting>
  <conditionalFormatting sqref="H180:M183">
    <cfRule type="expression" dxfId="517" priority="519" stopIfTrue="1">
      <formula>AND($F180&gt;=H$4,$C180="あり")</formula>
    </cfRule>
  </conditionalFormatting>
  <conditionalFormatting sqref="O180">
    <cfRule type="expression" dxfId="516" priority="518" stopIfTrue="1">
      <formula>$C180="あり"</formula>
    </cfRule>
  </conditionalFormatting>
  <conditionalFormatting sqref="O182">
    <cfRule type="expression" dxfId="515" priority="517" stopIfTrue="1">
      <formula>$C182="あり"</formula>
    </cfRule>
  </conditionalFormatting>
  <conditionalFormatting sqref="O183">
    <cfRule type="expression" dxfId="514" priority="516" stopIfTrue="1">
      <formula>$C183="あり"</formula>
    </cfRule>
  </conditionalFormatting>
  <conditionalFormatting sqref="N181:N183">
    <cfRule type="expression" dxfId="513" priority="515" stopIfTrue="1">
      <formula>AND($F181&gt;=7,$C181="あり")</formula>
    </cfRule>
  </conditionalFormatting>
  <conditionalFormatting sqref="N180">
    <cfRule type="expression" dxfId="512" priority="514" stopIfTrue="1">
      <formula>AND($F180&gt;=7,$C180="あり")</formula>
    </cfRule>
  </conditionalFormatting>
  <conditionalFormatting sqref="C180:D183">
    <cfRule type="expression" dxfId="511" priority="513">
      <formula>$C180="あり"</formula>
    </cfRule>
  </conditionalFormatting>
  <conditionalFormatting sqref="G186:G188">
    <cfRule type="expression" dxfId="510" priority="512" stopIfTrue="1">
      <formula>AND($E186&gt;=1,$C186="あり")</formula>
    </cfRule>
  </conditionalFormatting>
  <conditionalFormatting sqref="H185:M188">
    <cfRule type="expression" dxfId="509" priority="511" stopIfTrue="1">
      <formula>AND($F185&gt;=H$4,$C185="あり")</formula>
    </cfRule>
  </conditionalFormatting>
  <conditionalFormatting sqref="O185">
    <cfRule type="expression" dxfId="508" priority="510" stopIfTrue="1">
      <formula>$C185="あり"</formula>
    </cfRule>
  </conditionalFormatting>
  <conditionalFormatting sqref="O187">
    <cfRule type="expression" dxfId="507" priority="509" stopIfTrue="1">
      <formula>$C187="あり"</formula>
    </cfRule>
  </conditionalFormatting>
  <conditionalFormatting sqref="O188">
    <cfRule type="expression" dxfId="506" priority="508" stopIfTrue="1">
      <formula>$C188="あり"</formula>
    </cfRule>
  </conditionalFormatting>
  <conditionalFormatting sqref="N186:N188">
    <cfRule type="expression" dxfId="505" priority="507" stopIfTrue="1">
      <formula>AND($F186&gt;=7,$C186="あり")</formula>
    </cfRule>
  </conditionalFormatting>
  <conditionalFormatting sqref="N185">
    <cfRule type="expression" dxfId="504" priority="506" stopIfTrue="1">
      <formula>AND($F185&gt;=7,$C185="あり")</formula>
    </cfRule>
  </conditionalFormatting>
  <conditionalFormatting sqref="C185:D188">
    <cfRule type="expression" dxfId="503" priority="505">
      <formula>$C185="あり"</formula>
    </cfRule>
  </conditionalFormatting>
  <conditionalFormatting sqref="G191:G193">
    <cfRule type="expression" dxfId="502" priority="504" stopIfTrue="1">
      <formula>AND($E191&gt;=1,$C191="あり")</formula>
    </cfRule>
  </conditionalFormatting>
  <conditionalFormatting sqref="H190:M193">
    <cfRule type="expression" dxfId="501" priority="503" stopIfTrue="1">
      <formula>AND($F190&gt;=H$4,$C190="あり")</formula>
    </cfRule>
  </conditionalFormatting>
  <conditionalFormatting sqref="O190">
    <cfRule type="expression" dxfId="500" priority="502" stopIfTrue="1">
      <formula>$C190="あり"</formula>
    </cfRule>
  </conditionalFormatting>
  <conditionalFormatting sqref="O192">
    <cfRule type="expression" dxfId="499" priority="501" stopIfTrue="1">
      <formula>$C192="あり"</formula>
    </cfRule>
  </conditionalFormatting>
  <conditionalFormatting sqref="O193">
    <cfRule type="expression" dxfId="498" priority="500" stopIfTrue="1">
      <formula>$C193="あり"</formula>
    </cfRule>
  </conditionalFormatting>
  <conditionalFormatting sqref="N191:N193">
    <cfRule type="expression" dxfId="497" priority="499" stopIfTrue="1">
      <formula>AND($F191&gt;=7,$C191="あり")</formula>
    </cfRule>
  </conditionalFormatting>
  <conditionalFormatting sqref="N190">
    <cfRule type="expression" dxfId="496" priority="498" stopIfTrue="1">
      <formula>AND($F190&gt;=7,$C190="あり")</formula>
    </cfRule>
  </conditionalFormatting>
  <conditionalFormatting sqref="C190:D193">
    <cfRule type="expression" dxfId="495" priority="497">
      <formula>$C190="あり"</formula>
    </cfRule>
  </conditionalFormatting>
  <conditionalFormatting sqref="G196:G198">
    <cfRule type="expression" dxfId="494" priority="496" stopIfTrue="1">
      <formula>AND($E196&gt;=1,$C196="あり")</formula>
    </cfRule>
  </conditionalFormatting>
  <conditionalFormatting sqref="H195:M198">
    <cfRule type="expression" dxfId="493" priority="495" stopIfTrue="1">
      <formula>AND($F195&gt;=H$4,$C195="あり")</formula>
    </cfRule>
  </conditionalFormatting>
  <conditionalFormatting sqref="O195">
    <cfRule type="expression" dxfId="492" priority="494" stopIfTrue="1">
      <formula>$C195="あり"</formula>
    </cfRule>
  </conditionalFormatting>
  <conditionalFormatting sqref="O197">
    <cfRule type="expression" dxfId="491" priority="493" stopIfTrue="1">
      <formula>$C197="あり"</formula>
    </cfRule>
  </conditionalFormatting>
  <conditionalFormatting sqref="O198">
    <cfRule type="expression" dxfId="490" priority="492" stopIfTrue="1">
      <formula>$C198="あり"</formula>
    </cfRule>
  </conditionalFormatting>
  <conditionalFormatting sqref="N196:N198">
    <cfRule type="expression" dxfId="489" priority="491" stopIfTrue="1">
      <formula>AND($F196&gt;=7,$C196="あり")</formula>
    </cfRule>
  </conditionalFormatting>
  <conditionalFormatting sqref="N195">
    <cfRule type="expression" dxfId="488" priority="490" stopIfTrue="1">
      <formula>AND($F195&gt;=7,$C195="あり")</formula>
    </cfRule>
  </conditionalFormatting>
  <conditionalFormatting sqref="C195:D198">
    <cfRule type="expression" dxfId="487" priority="489">
      <formula>$C195="あり"</formula>
    </cfRule>
  </conditionalFormatting>
  <conditionalFormatting sqref="G201:G203">
    <cfRule type="expression" dxfId="486" priority="488" stopIfTrue="1">
      <formula>AND($E201&gt;=1,$C201="あり")</formula>
    </cfRule>
  </conditionalFormatting>
  <conditionalFormatting sqref="H200:M203">
    <cfRule type="expression" dxfId="485" priority="487" stopIfTrue="1">
      <formula>AND($F200&gt;=H$4,$C200="あり")</formula>
    </cfRule>
  </conditionalFormatting>
  <conditionalFormatting sqref="O200">
    <cfRule type="expression" dxfId="484" priority="486" stopIfTrue="1">
      <formula>$C200="あり"</formula>
    </cfRule>
  </conditionalFormatting>
  <conditionalFormatting sqref="O202">
    <cfRule type="expression" dxfId="483" priority="485" stopIfTrue="1">
      <formula>$C202="あり"</formula>
    </cfRule>
  </conditionalFormatting>
  <conditionalFormatting sqref="O203">
    <cfRule type="expression" dxfId="482" priority="484" stopIfTrue="1">
      <formula>$C203="あり"</formula>
    </cfRule>
  </conditionalFormatting>
  <conditionalFormatting sqref="N201:N203">
    <cfRule type="expression" dxfId="481" priority="483" stopIfTrue="1">
      <formula>AND($F201&gt;=7,$C201="あり")</formula>
    </cfRule>
  </conditionalFormatting>
  <conditionalFormatting sqref="N200">
    <cfRule type="expression" dxfId="480" priority="482" stopIfTrue="1">
      <formula>AND($F200&gt;=7,$C200="あり")</formula>
    </cfRule>
  </conditionalFormatting>
  <conditionalFormatting sqref="C200:D203">
    <cfRule type="expression" dxfId="479" priority="481">
      <formula>$C200="あり"</formula>
    </cfRule>
  </conditionalFormatting>
  <conditionalFormatting sqref="G206:G208">
    <cfRule type="expression" dxfId="478" priority="480" stopIfTrue="1">
      <formula>AND($E206&gt;=1,$C206="あり")</formula>
    </cfRule>
  </conditionalFormatting>
  <conditionalFormatting sqref="H205:M208">
    <cfRule type="expression" dxfId="477" priority="479" stopIfTrue="1">
      <formula>AND($F205&gt;=H$4,$C205="あり")</formula>
    </cfRule>
  </conditionalFormatting>
  <conditionalFormatting sqref="O205">
    <cfRule type="expression" dxfId="476" priority="478" stopIfTrue="1">
      <formula>$C205="あり"</formula>
    </cfRule>
  </conditionalFormatting>
  <conditionalFormatting sqref="O207">
    <cfRule type="expression" dxfId="475" priority="477" stopIfTrue="1">
      <formula>$C207="あり"</formula>
    </cfRule>
  </conditionalFormatting>
  <conditionalFormatting sqref="O208">
    <cfRule type="expression" dxfId="474" priority="476" stopIfTrue="1">
      <formula>$C208="あり"</formula>
    </cfRule>
  </conditionalFormatting>
  <conditionalFormatting sqref="N206:N208">
    <cfRule type="expression" dxfId="473" priority="475" stopIfTrue="1">
      <formula>AND($F206&gt;=7,$C206="あり")</formula>
    </cfRule>
  </conditionalFormatting>
  <conditionalFormatting sqref="N205">
    <cfRule type="expression" dxfId="472" priority="474" stopIfTrue="1">
      <formula>AND($F205&gt;=7,$C205="あり")</formula>
    </cfRule>
  </conditionalFormatting>
  <conditionalFormatting sqref="C205:D208">
    <cfRule type="expression" dxfId="471" priority="473">
      <formula>$C205="あり"</formula>
    </cfRule>
  </conditionalFormatting>
  <conditionalFormatting sqref="G211:G213">
    <cfRule type="expression" dxfId="470" priority="472" stopIfTrue="1">
      <formula>AND($E211&gt;=1,$C211="あり")</formula>
    </cfRule>
  </conditionalFormatting>
  <conditionalFormatting sqref="H210:M213">
    <cfRule type="expression" dxfId="469" priority="471" stopIfTrue="1">
      <formula>AND($F210&gt;=H$4,$C210="あり")</formula>
    </cfRule>
  </conditionalFormatting>
  <conditionalFormatting sqref="O210">
    <cfRule type="expression" dxfId="468" priority="470" stopIfTrue="1">
      <formula>$C210="あり"</formula>
    </cfRule>
  </conditionalFormatting>
  <conditionalFormatting sqref="O212">
    <cfRule type="expression" dxfId="467" priority="469" stopIfTrue="1">
      <formula>$C212="あり"</formula>
    </cfRule>
  </conditionalFormatting>
  <conditionalFormatting sqref="O213">
    <cfRule type="expression" dxfId="466" priority="468" stopIfTrue="1">
      <formula>$C213="あり"</formula>
    </cfRule>
  </conditionalFormatting>
  <conditionalFormatting sqref="N211:N213">
    <cfRule type="expression" dxfId="465" priority="467" stopIfTrue="1">
      <formula>AND($F211&gt;=7,$C211="あり")</formula>
    </cfRule>
  </conditionalFormatting>
  <conditionalFormatting sqref="N210">
    <cfRule type="expression" dxfId="464" priority="466" stopIfTrue="1">
      <formula>AND($F210&gt;=7,$C210="あり")</formula>
    </cfRule>
  </conditionalFormatting>
  <conditionalFormatting sqref="C210:D213">
    <cfRule type="expression" dxfId="463" priority="465">
      <formula>$C210="あり"</formula>
    </cfRule>
  </conditionalFormatting>
  <conditionalFormatting sqref="G216:G218">
    <cfRule type="expression" dxfId="462" priority="464" stopIfTrue="1">
      <formula>AND($E216&gt;=1,$C216="あり")</formula>
    </cfRule>
  </conditionalFormatting>
  <conditionalFormatting sqref="H215:M218">
    <cfRule type="expression" dxfId="461" priority="463" stopIfTrue="1">
      <formula>AND($F215&gt;=H$4,$C215="あり")</formula>
    </cfRule>
  </conditionalFormatting>
  <conditionalFormatting sqref="O215">
    <cfRule type="expression" dxfId="460" priority="462" stopIfTrue="1">
      <formula>$C215="あり"</formula>
    </cfRule>
  </conditionalFormatting>
  <conditionalFormatting sqref="O217">
    <cfRule type="expression" dxfId="459" priority="461" stopIfTrue="1">
      <formula>$C217="あり"</formula>
    </cfRule>
  </conditionalFormatting>
  <conditionalFormatting sqref="O218">
    <cfRule type="expression" dxfId="458" priority="460" stopIfTrue="1">
      <formula>$C218="あり"</formula>
    </cfRule>
  </conditionalFormatting>
  <conditionalFormatting sqref="N216:N218">
    <cfRule type="expression" dxfId="457" priority="459" stopIfTrue="1">
      <formula>AND($F216&gt;=7,$C216="あり")</formula>
    </cfRule>
  </conditionalFormatting>
  <conditionalFormatting sqref="N215">
    <cfRule type="expression" dxfId="456" priority="458" stopIfTrue="1">
      <formula>AND($F215&gt;=7,$C215="あり")</formula>
    </cfRule>
  </conditionalFormatting>
  <conditionalFormatting sqref="C215:D218">
    <cfRule type="expression" dxfId="455" priority="457">
      <formula>$C215="あり"</formula>
    </cfRule>
  </conditionalFormatting>
  <conditionalFormatting sqref="G221:G223">
    <cfRule type="expression" dxfId="454" priority="456" stopIfTrue="1">
      <formula>AND($E221&gt;=1,$C221="あり")</formula>
    </cfRule>
  </conditionalFormatting>
  <conditionalFormatting sqref="H220:M223">
    <cfRule type="expression" dxfId="453" priority="455" stopIfTrue="1">
      <formula>AND($F220&gt;=H$4,$C220="あり")</formula>
    </cfRule>
  </conditionalFormatting>
  <conditionalFormatting sqref="O220">
    <cfRule type="expression" dxfId="452" priority="454" stopIfTrue="1">
      <formula>$C220="あり"</formula>
    </cfRule>
  </conditionalFormatting>
  <conditionalFormatting sqref="O222">
    <cfRule type="expression" dxfId="451" priority="453" stopIfTrue="1">
      <formula>$C222="あり"</formula>
    </cfRule>
  </conditionalFormatting>
  <conditionalFormatting sqref="O223">
    <cfRule type="expression" dxfId="450" priority="452" stopIfTrue="1">
      <formula>$C223="あり"</formula>
    </cfRule>
  </conditionalFormatting>
  <conditionalFormatting sqref="N221:N223">
    <cfRule type="expression" dxfId="449" priority="451" stopIfTrue="1">
      <formula>AND($F221&gt;=7,$C221="あり")</formula>
    </cfRule>
  </conditionalFormatting>
  <conditionalFormatting sqref="N220">
    <cfRule type="expression" dxfId="448" priority="450" stopIfTrue="1">
      <formula>AND($F220&gt;=7,$C220="あり")</formula>
    </cfRule>
  </conditionalFormatting>
  <conditionalFormatting sqref="C220:D223">
    <cfRule type="expression" dxfId="447" priority="449">
      <formula>$C220="あり"</formula>
    </cfRule>
  </conditionalFormatting>
  <conditionalFormatting sqref="G226:G228">
    <cfRule type="expression" dxfId="446" priority="448" stopIfTrue="1">
      <formula>AND($E226&gt;=1,$C226="あり")</formula>
    </cfRule>
  </conditionalFormatting>
  <conditionalFormatting sqref="H225:M228">
    <cfRule type="expression" dxfId="445" priority="447" stopIfTrue="1">
      <formula>AND($F225&gt;=H$4,$C225="あり")</formula>
    </cfRule>
  </conditionalFormatting>
  <conditionalFormatting sqref="O225">
    <cfRule type="expression" dxfId="444" priority="446" stopIfTrue="1">
      <formula>$C225="あり"</formula>
    </cfRule>
  </conditionalFormatting>
  <conditionalFormatting sqref="O227">
    <cfRule type="expression" dxfId="443" priority="445" stopIfTrue="1">
      <formula>$C227="あり"</formula>
    </cfRule>
  </conditionalFormatting>
  <conditionalFormatting sqref="O228">
    <cfRule type="expression" dxfId="442" priority="444" stopIfTrue="1">
      <formula>$C228="あり"</formula>
    </cfRule>
  </conditionalFormatting>
  <conditionalFormatting sqref="N226:N228">
    <cfRule type="expression" dxfId="441" priority="443" stopIfTrue="1">
      <formula>AND($F226&gt;=7,$C226="あり")</formula>
    </cfRule>
  </conditionalFormatting>
  <conditionalFormatting sqref="N225">
    <cfRule type="expression" dxfId="440" priority="442" stopIfTrue="1">
      <formula>AND($F225&gt;=7,$C225="あり")</formula>
    </cfRule>
  </conditionalFormatting>
  <conditionalFormatting sqref="C225:D228">
    <cfRule type="expression" dxfId="439" priority="441">
      <formula>$C225="あり"</formula>
    </cfRule>
  </conditionalFormatting>
  <conditionalFormatting sqref="G231:G233">
    <cfRule type="expression" dxfId="438" priority="440" stopIfTrue="1">
      <formula>AND($E231&gt;=1,$C231="あり")</formula>
    </cfRule>
  </conditionalFormatting>
  <conditionalFormatting sqref="H230:M233">
    <cfRule type="expression" dxfId="437" priority="439" stopIfTrue="1">
      <formula>AND($F230&gt;=H$4,$C230="あり")</formula>
    </cfRule>
  </conditionalFormatting>
  <conditionalFormatting sqref="O230">
    <cfRule type="expression" dxfId="436" priority="438" stopIfTrue="1">
      <formula>$C230="あり"</formula>
    </cfRule>
  </conditionalFormatting>
  <conditionalFormatting sqref="O232">
    <cfRule type="expression" dxfId="435" priority="437" stopIfTrue="1">
      <formula>$C232="あり"</formula>
    </cfRule>
  </conditionalFormatting>
  <conditionalFormatting sqref="O233">
    <cfRule type="expression" dxfId="434" priority="436" stopIfTrue="1">
      <formula>$C233="あり"</formula>
    </cfRule>
  </conditionalFormatting>
  <conditionalFormatting sqref="N231:N233">
    <cfRule type="expression" dxfId="433" priority="435" stopIfTrue="1">
      <formula>AND($F231&gt;=7,$C231="あり")</formula>
    </cfRule>
  </conditionalFormatting>
  <conditionalFormatting sqref="N230">
    <cfRule type="expression" dxfId="432" priority="434" stopIfTrue="1">
      <formula>AND($F230&gt;=7,$C230="あり")</formula>
    </cfRule>
  </conditionalFormatting>
  <conditionalFormatting sqref="C230:D233">
    <cfRule type="expression" dxfId="431" priority="433">
      <formula>$C230="あり"</formula>
    </cfRule>
  </conditionalFormatting>
  <conditionalFormatting sqref="G236:G238">
    <cfRule type="expression" dxfId="430" priority="432" stopIfTrue="1">
      <formula>AND($E236&gt;=1,$C236="あり")</formula>
    </cfRule>
  </conditionalFormatting>
  <conditionalFormatting sqref="H235:M238">
    <cfRule type="expression" dxfId="429" priority="431" stopIfTrue="1">
      <formula>AND($F235&gt;=H$4,$C235="あり")</formula>
    </cfRule>
  </conditionalFormatting>
  <conditionalFormatting sqref="O235">
    <cfRule type="expression" dxfId="428" priority="430" stopIfTrue="1">
      <formula>$C235="あり"</formula>
    </cfRule>
  </conditionalFormatting>
  <conditionalFormatting sqref="O237">
    <cfRule type="expression" dxfId="427" priority="429" stopIfTrue="1">
      <formula>$C237="あり"</formula>
    </cfRule>
  </conditionalFormatting>
  <conditionalFormatting sqref="O238">
    <cfRule type="expression" dxfId="426" priority="428" stopIfTrue="1">
      <formula>$C238="あり"</formula>
    </cfRule>
  </conditionalFormatting>
  <conditionalFormatting sqref="N236:N238">
    <cfRule type="expression" dxfId="425" priority="427" stopIfTrue="1">
      <formula>AND($F236&gt;=7,$C236="あり")</formula>
    </cfRule>
  </conditionalFormatting>
  <conditionalFormatting sqref="N235">
    <cfRule type="expression" dxfId="424" priority="426" stopIfTrue="1">
      <formula>AND($F235&gt;=7,$C235="あり")</formula>
    </cfRule>
  </conditionalFormatting>
  <conditionalFormatting sqref="C235:D238">
    <cfRule type="expression" dxfId="423" priority="425">
      <formula>$C235="あり"</formula>
    </cfRule>
  </conditionalFormatting>
  <conditionalFormatting sqref="G241:G243">
    <cfRule type="expression" dxfId="422" priority="424" stopIfTrue="1">
      <formula>AND($E241&gt;=1,$C241="あり")</formula>
    </cfRule>
  </conditionalFormatting>
  <conditionalFormatting sqref="H240:M243">
    <cfRule type="expression" dxfId="421" priority="423" stopIfTrue="1">
      <formula>AND($F240&gt;=H$4,$C240="あり")</formula>
    </cfRule>
  </conditionalFormatting>
  <conditionalFormatting sqref="O240">
    <cfRule type="expression" dxfId="420" priority="422" stopIfTrue="1">
      <formula>$C240="あり"</formula>
    </cfRule>
  </conditionalFormatting>
  <conditionalFormatting sqref="O242">
    <cfRule type="expression" dxfId="419" priority="421" stopIfTrue="1">
      <formula>$C242="あり"</formula>
    </cfRule>
  </conditionalFormatting>
  <conditionalFormatting sqref="O243">
    <cfRule type="expression" dxfId="418" priority="420" stopIfTrue="1">
      <formula>$C243="あり"</formula>
    </cfRule>
  </conditionalFormatting>
  <conditionalFormatting sqref="N241:N243">
    <cfRule type="expression" dxfId="417" priority="419" stopIfTrue="1">
      <formula>AND($F241&gt;=7,$C241="あり")</formula>
    </cfRule>
  </conditionalFormatting>
  <conditionalFormatting sqref="N240">
    <cfRule type="expression" dxfId="416" priority="418" stopIfTrue="1">
      <formula>AND($F240&gt;=7,$C240="あり")</formula>
    </cfRule>
  </conditionalFormatting>
  <conditionalFormatting sqref="C240:D243">
    <cfRule type="expression" dxfId="415" priority="417">
      <formula>$C240="あり"</formula>
    </cfRule>
  </conditionalFormatting>
  <conditionalFormatting sqref="G246:G248">
    <cfRule type="expression" dxfId="414" priority="416" stopIfTrue="1">
      <formula>AND($E246&gt;=1,$C246="あり")</formula>
    </cfRule>
  </conditionalFormatting>
  <conditionalFormatting sqref="H245:M248">
    <cfRule type="expression" dxfId="413" priority="415" stopIfTrue="1">
      <formula>AND($F245&gt;=H$4,$C245="あり")</formula>
    </cfRule>
  </conditionalFormatting>
  <conditionalFormatting sqref="O245">
    <cfRule type="expression" dxfId="412" priority="414" stopIfTrue="1">
      <formula>$C245="あり"</formula>
    </cfRule>
  </conditionalFormatting>
  <conditionalFormatting sqref="O247">
    <cfRule type="expression" dxfId="411" priority="413" stopIfTrue="1">
      <formula>$C247="あり"</formula>
    </cfRule>
  </conditionalFormatting>
  <conditionalFormatting sqref="O248">
    <cfRule type="expression" dxfId="410" priority="412" stopIfTrue="1">
      <formula>$C248="あり"</formula>
    </cfRule>
  </conditionalFormatting>
  <conditionalFormatting sqref="N246:N248">
    <cfRule type="expression" dxfId="409" priority="411" stopIfTrue="1">
      <formula>AND($F246&gt;=7,$C246="あり")</formula>
    </cfRule>
  </conditionalFormatting>
  <conditionalFormatting sqref="N245">
    <cfRule type="expression" dxfId="408" priority="410" stopIfTrue="1">
      <formula>AND($F245&gt;=7,$C245="あり")</formula>
    </cfRule>
  </conditionalFormatting>
  <conditionalFormatting sqref="C245:D248">
    <cfRule type="expression" dxfId="407" priority="409">
      <formula>$C245="あり"</formula>
    </cfRule>
  </conditionalFormatting>
  <conditionalFormatting sqref="G251:G253">
    <cfRule type="expression" dxfId="406" priority="408" stopIfTrue="1">
      <formula>AND($E251&gt;=1,$C251="あり")</formula>
    </cfRule>
  </conditionalFormatting>
  <conditionalFormatting sqref="H250:M253">
    <cfRule type="expression" dxfId="405" priority="407" stopIfTrue="1">
      <formula>AND($F250&gt;=H$4,$C250="あり")</formula>
    </cfRule>
  </conditionalFormatting>
  <conditionalFormatting sqref="O250">
    <cfRule type="expression" dxfId="404" priority="406" stopIfTrue="1">
      <formula>$C250="あり"</formula>
    </cfRule>
  </conditionalFormatting>
  <conditionalFormatting sqref="O252">
    <cfRule type="expression" dxfId="403" priority="405" stopIfTrue="1">
      <formula>$C252="あり"</formula>
    </cfRule>
  </conditionalFormatting>
  <conditionalFormatting sqref="O253">
    <cfRule type="expression" dxfId="402" priority="404" stopIfTrue="1">
      <formula>$C253="あり"</formula>
    </cfRule>
  </conditionalFormatting>
  <conditionalFormatting sqref="N251:N253">
    <cfRule type="expression" dxfId="401" priority="403" stopIfTrue="1">
      <formula>AND($F251&gt;=7,$C251="あり")</formula>
    </cfRule>
  </conditionalFormatting>
  <conditionalFormatting sqref="N250">
    <cfRule type="expression" dxfId="400" priority="402" stopIfTrue="1">
      <formula>AND($F250&gt;=7,$C250="あり")</formula>
    </cfRule>
  </conditionalFormatting>
  <conditionalFormatting sqref="C250:D253">
    <cfRule type="expression" dxfId="399" priority="401">
      <formula>$C250="あり"</formula>
    </cfRule>
  </conditionalFormatting>
  <conditionalFormatting sqref="G256:G258">
    <cfRule type="expression" dxfId="398" priority="400" stopIfTrue="1">
      <formula>AND($E256&gt;=1,$C256="あり")</formula>
    </cfRule>
  </conditionalFormatting>
  <conditionalFormatting sqref="H255:M258">
    <cfRule type="expression" dxfId="397" priority="399" stopIfTrue="1">
      <formula>AND($F255&gt;=H$4,$C255="あり")</formula>
    </cfRule>
  </conditionalFormatting>
  <conditionalFormatting sqref="O255">
    <cfRule type="expression" dxfId="396" priority="398" stopIfTrue="1">
      <formula>$C255="あり"</formula>
    </cfRule>
  </conditionalFormatting>
  <conditionalFormatting sqref="O257">
    <cfRule type="expression" dxfId="395" priority="397" stopIfTrue="1">
      <formula>$C257="あり"</formula>
    </cfRule>
  </conditionalFormatting>
  <conditionalFormatting sqref="O258">
    <cfRule type="expression" dxfId="394" priority="396" stopIfTrue="1">
      <formula>$C258="あり"</formula>
    </cfRule>
  </conditionalFormatting>
  <conditionalFormatting sqref="N256:N258">
    <cfRule type="expression" dxfId="393" priority="395" stopIfTrue="1">
      <formula>AND($F256&gt;=7,$C256="あり")</formula>
    </cfRule>
  </conditionalFormatting>
  <conditionalFormatting sqref="N255">
    <cfRule type="expression" dxfId="392" priority="394" stopIfTrue="1">
      <formula>AND($F255&gt;=7,$C255="あり")</formula>
    </cfRule>
  </conditionalFormatting>
  <conditionalFormatting sqref="C255:D258">
    <cfRule type="expression" dxfId="391" priority="393">
      <formula>$C255="あり"</formula>
    </cfRule>
  </conditionalFormatting>
  <conditionalFormatting sqref="G261:G263">
    <cfRule type="expression" dxfId="390" priority="392" stopIfTrue="1">
      <formula>AND($E261&gt;=1,$C261="あり")</formula>
    </cfRule>
  </conditionalFormatting>
  <conditionalFormatting sqref="H260:M263">
    <cfRule type="expression" dxfId="389" priority="391" stopIfTrue="1">
      <formula>AND($F260&gt;=H$4,$C260="あり")</formula>
    </cfRule>
  </conditionalFormatting>
  <conditionalFormatting sqref="O260">
    <cfRule type="expression" dxfId="388" priority="390" stopIfTrue="1">
      <formula>$C260="あり"</formula>
    </cfRule>
  </conditionalFormatting>
  <conditionalFormatting sqref="O262">
    <cfRule type="expression" dxfId="387" priority="389" stopIfTrue="1">
      <formula>$C262="あり"</formula>
    </cfRule>
  </conditionalFormatting>
  <conditionalFormatting sqref="O263">
    <cfRule type="expression" dxfId="386" priority="388" stopIfTrue="1">
      <formula>$C263="あり"</formula>
    </cfRule>
  </conditionalFormatting>
  <conditionalFormatting sqref="N261:N263">
    <cfRule type="expression" dxfId="385" priority="387" stopIfTrue="1">
      <formula>AND($F261&gt;=7,$C261="あり")</formula>
    </cfRule>
  </conditionalFormatting>
  <conditionalFormatting sqref="N260">
    <cfRule type="expression" dxfId="384" priority="386" stopIfTrue="1">
      <formula>AND($F260&gt;=7,$C260="あり")</formula>
    </cfRule>
  </conditionalFormatting>
  <conditionalFormatting sqref="C260:D263">
    <cfRule type="expression" dxfId="383" priority="385">
      <formula>$C260="あり"</formula>
    </cfRule>
  </conditionalFormatting>
  <conditionalFormatting sqref="G266:G268">
    <cfRule type="expression" dxfId="382" priority="384" stopIfTrue="1">
      <formula>AND($E266&gt;=1,$C266="あり")</formula>
    </cfRule>
  </conditionalFormatting>
  <conditionalFormatting sqref="H265:M268">
    <cfRule type="expression" dxfId="381" priority="383" stopIfTrue="1">
      <formula>AND($F265&gt;=H$4,$C265="あり")</formula>
    </cfRule>
  </conditionalFormatting>
  <conditionalFormatting sqref="O265">
    <cfRule type="expression" dxfId="380" priority="382" stopIfTrue="1">
      <formula>$C265="あり"</formula>
    </cfRule>
  </conditionalFormatting>
  <conditionalFormatting sqref="O267">
    <cfRule type="expression" dxfId="379" priority="381" stopIfTrue="1">
      <formula>$C267="あり"</formula>
    </cfRule>
  </conditionalFormatting>
  <conditionalFormatting sqref="O268">
    <cfRule type="expression" dxfId="378" priority="380" stopIfTrue="1">
      <formula>$C268="あり"</formula>
    </cfRule>
  </conditionalFormatting>
  <conditionalFormatting sqref="N266:N268">
    <cfRule type="expression" dxfId="377" priority="379" stopIfTrue="1">
      <formula>AND($F266&gt;=7,$C266="あり")</formula>
    </cfRule>
  </conditionalFormatting>
  <conditionalFormatting sqref="N265">
    <cfRule type="expression" dxfId="376" priority="378" stopIfTrue="1">
      <formula>AND($F265&gt;=7,$C265="あり")</formula>
    </cfRule>
  </conditionalFormatting>
  <conditionalFormatting sqref="C265:D268">
    <cfRule type="expression" dxfId="375" priority="377">
      <formula>$C265="あり"</formula>
    </cfRule>
  </conditionalFormatting>
  <conditionalFormatting sqref="G271:G273">
    <cfRule type="expression" dxfId="374" priority="376" stopIfTrue="1">
      <formula>AND($E271&gt;=1,$C271="あり")</formula>
    </cfRule>
  </conditionalFormatting>
  <conditionalFormatting sqref="H270:M273">
    <cfRule type="expression" dxfId="373" priority="375" stopIfTrue="1">
      <formula>AND($F270&gt;=H$4,$C270="あり")</formula>
    </cfRule>
  </conditionalFormatting>
  <conditionalFormatting sqref="O270">
    <cfRule type="expression" dxfId="372" priority="374" stopIfTrue="1">
      <formula>$C270="あり"</formula>
    </cfRule>
  </conditionalFormatting>
  <conditionalFormatting sqref="O272">
    <cfRule type="expression" dxfId="371" priority="373" stopIfTrue="1">
      <formula>$C272="あり"</formula>
    </cfRule>
  </conditionalFormatting>
  <conditionalFormatting sqref="O273">
    <cfRule type="expression" dxfId="370" priority="372" stopIfTrue="1">
      <formula>$C273="あり"</formula>
    </cfRule>
  </conditionalFormatting>
  <conditionalFormatting sqref="N271:N273">
    <cfRule type="expression" dxfId="369" priority="371" stopIfTrue="1">
      <formula>AND($F271&gt;=7,$C271="あり")</formula>
    </cfRule>
  </conditionalFormatting>
  <conditionalFormatting sqref="N270">
    <cfRule type="expression" dxfId="368" priority="370" stopIfTrue="1">
      <formula>AND($F270&gt;=7,$C270="あり")</formula>
    </cfRule>
  </conditionalFormatting>
  <conditionalFormatting sqref="C270:D273">
    <cfRule type="expression" dxfId="367" priority="369">
      <formula>$C270="あり"</formula>
    </cfRule>
  </conditionalFormatting>
  <conditionalFormatting sqref="G276:G278">
    <cfRule type="expression" dxfId="366" priority="368" stopIfTrue="1">
      <formula>AND($E276&gt;=1,$C276="あり")</formula>
    </cfRule>
  </conditionalFormatting>
  <conditionalFormatting sqref="H275:M278">
    <cfRule type="expression" dxfId="365" priority="367" stopIfTrue="1">
      <formula>AND($F275&gt;=H$4,$C275="あり")</formula>
    </cfRule>
  </conditionalFormatting>
  <conditionalFormatting sqref="O275">
    <cfRule type="expression" dxfId="364" priority="366" stopIfTrue="1">
      <formula>$C275="あり"</formula>
    </cfRule>
  </conditionalFormatting>
  <conditionalFormatting sqref="O277">
    <cfRule type="expression" dxfId="363" priority="365" stopIfTrue="1">
      <formula>$C277="あり"</formula>
    </cfRule>
  </conditionalFormatting>
  <conditionalFormatting sqref="O278">
    <cfRule type="expression" dxfId="362" priority="364" stopIfTrue="1">
      <formula>$C278="あり"</formula>
    </cfRule>
  </conditionalFormatting>
  <conditionalFormatting sqref="N276:N278">
    <cfRule type="expression" dxfId="361" priority="363" stopIfTrue="1">
      <formula>AND($F276&gt;=7,$C276="あり")</formula>
    </cfRule>
  </conditionalFormatting>
  <conditionalFormatting sqref="N275">
    <cfRule type="expression" dxfId="360" priority="362" stopIfTrue="1">
      <formula>AND($F275&gt;=7,$C275="あり")</formula>
    </cfRule>
  </conditionalFormatting>
  <conditionalFormatting sqref="C275:D278">
    <cfRule type="expression" dxfId="359" priority="361">
      <formula>$C275="あり"</formula>
    </cfRule>
  </conditionalFormatting>
  <conditionalFormatting sqref="G281:G283">
    <cfRule type="expression" dxfId="358" priority="360" stopIfTrue="1">
      <formula>AND($E281&gt;=1,$C281="あり")</formula>
    </cfRule>
  </conditionalFormatting>
  <conditionalFormatting sqref="H280:M283">
    <cfRule type="expression" dxfId="357" priority="359" stopIfTrue="1">
      <formula>AND($F280&gt;=H$4,$C280="あり")</formula>
    </cfRule>
  </conditionalFormatting>
  <conditionalFormatting sqref="O280">
    <cfRule type="expression" dxfId="356" priority="358" stopIfTrue="1">
      <formula>$C280="あり"</formula>
    </cfRule>
  </conditionalFormatting>
  <conditionalFormatting sqref="O282">
    <cfRule type="expression" dxfId="355" priority="357" stopIfTrue="1">
      <formula>$C282="あり"</formula>
    </cfRule>
  </conditionalFormatting>
  <conditionalFormatting sqref="O283">
    <cfRule type="expression" dxfId="354" priority="356" stopIfTrue="1">
      <formula>$C283="あり"</formula>
    </cfRule>
  </conditionalFormatting>
  <conditionalFormatting sqref="N281:N283">
    <cfRule type="expression" dxfId="353" priority="355" stopIfTrue="1">
      <formula>AND($F281&gt;=7,$C281="あり")</formula>
    </cfRule>
  </conditionalFormatting>
  <conditionalFormatting sqref="N280">
    <cfRule type="expression" dxfId="352" priority="354" stopIfTrue="1">
      <formula>AND($F280&gt;=7,$C280="あり")</formula>
    </cfRule>
  </conditionalFormatting>
  <conditionalFormatting sqref="C280:D283">
    <cfRule type="expression" dxfId="351" priority="353">
      <formula>$C280="あり"</formula>
    </cfRule>
  </conditionalFormatting>
  <conditionalFormatting sqref="G286:G288">
    <cfRule type="expression" dxfId="350" priority="352" stopIfTrue="1">
      <formula>AND($E286&gt;=1,$C286="あり")</formula>
    </cfRule>
  </conditionalFormatting>
  <conditionalFormatting sqref="H285:M288">
    <cfRule type="expression" dxfId="349" priority="351" stopIfTrue="1">
      <formula>AND($F285&gt;=H$4,$C285="あり")</formula>
    </cfRule>
  </conditionalFormatting>
  <conditionalFormatting sqref="O285">
    <cfRule type="expression" dxfId="348" priority="350" stopIfTrue="1">
      <formula>$C285="あり"</formula>
    </cfRule>
  </conditionalFormatting>
  <conditionalFormatting sqref="O287">
    <cfRule type="expression" dxfId="347" priority="349" stopIfTrue="1">
      <formula>$C287="あり"</formula>
    </cfRule>
  </conditionalFormatting>
  <conditionalFormatting sqref="O288">
    <cfRule type="expression" dxfId="346" priority="348" stopIfTrue="1">
      <formula>$C288="あり"</formula>
    </cfRule>
  </conditionalFormatting>
  <conditionalFormatting sqref="N286:N288">
    <cfRule type="expression" dxfId="345" priority="347" stopIfTrue="1">
      <formula>AND($F286&gt;=7,$C286="あり")</formula>
    </cfRule>
  </conditionalFormatting>
  <conditionalFormatting sqref="N285">
    <cfRule type="expression" dxfId="344" priority="346" stopIfTrue="1">
      <formula>AND($F285&gt;=7,$C285="あり")</formula>
    </cfRule>
  </conditionalFormatting>
  <conditionalFormatting sqref="C285:D288">
    <cfRule type="expression" dxfId="343" priority="345">
      <formula>$C285="あり"</formula>
    </cfRule>
  </conditionalFormatting>
  <conditionalFormatting sqref="G291:G293">
    <cfRule type="expression" dxfId="342" priority="344" stopIfTrue="1">
      <formula>AND($E291&gt;=1,$C291="あり")</formula>
    </cfRule>
  </conditionalFormatting>
  <conditionalFormatting sqref="H290:M293">
    <cfRule type="expression" dxfId="341" priority="343" stopIfTrue="1">
      <formula>AND($F290&gt;=H$4,$C290="あり")</formula>
    </cfRule>
  </conditionalFormatting>
  <conditionalFormatting sqref="O290">
    <cfRule type="expression" dxfId="340" priority="342" stopIfTrue="1">
      <formula>$C290="あり"</formula>
    </cfRule>
  </conditionalFormatting>
  <conditionalFormatting sqref="O292">
    <cfRule type="expression" dxfId="339" priority="341" stopIfTrue="1">
      <formula>$C292="あり"</formula>
    </cfRule>
  </conditionalFormatting>
  <conditionalFormatting sqref="O293">
    <cfRule type="expression" dxfId="338" priority="340" stopIfTrue="1">
      <formula>$C293="あり"</formula>
    </cfRule>
  </conditionalFormatting>
  <conditionalFormatting sqref="N291:N293">
    <cfRule type="expression" dxfId="337" priority="339" stopIfTrue="1">
      <formula>AND($F291&gt;=7,$C291="あり")</formula>
    </cfRule>
  </conditionalFormatting>
  <conditionalFormatting sqref="N290">
    <cfRule type="expression" dxfId="336" priority="338" stopIfTrue="1">
      <formula>AND($F290&gt;=7,$C290="あり")</formula>
    </cfRule>
  </conditionalFormatting>
  <conditionalFormatting sqref="C290:D293">
    <cfRule type="expression" dxfId="335" priority="337">
      <formula>$C290="あり"</formula>
    </cfRule>
  </conditionalFormatting>
  <conditionalFormatting sqref="G296:G298">
    <cfRule type="expression" dxfId="334" priority="336" stopIfTrue="1">
      <formula>AND($E296&gt;=1,$C296="あり")</formula>
    </cfRule>
  </conditionalFormatting>
  <conditionalFormatting sqref="H295:M298">
    <cfRule type="expression" dxfId="333" priority="335" stopIfTrue="1">
      <formula>AND($F295&gt;=H$4,$C295="あり")</formula>
    </cfRule>
  </conditionalFormatting>
  <conditionalFormatting sqref="O295">
    <cfRule type="expression" dxfId="332" priority="334" stopIfTrue="1">
      <formula>$C295="あり"</formula>
    </cfRule>
  </conditionalFormatting>
  <conditionalFormatting sqref="O297">
    <cfRule type="expression" dxfId="331" priority="333" stopIfTrue="1">
      <formula>$C297="あり"</formula>
    </cfRule>
  </conditionalFormatting>
  <conditionalFormatting sqref="O298">
    <cfRule type="expression" dxfId="330" priority="332" stopIfTrue="1">
      <formula>$C298="あり"</formula>
    </cfRule>
  </conditionalFormatting>
  <conditionalFormatting sqref="N296:N298">
    <cfRule type="expression" dxfId="329" priority="331" stopIfTrue="1">
      <formula>AND($F296&gt;=7,$C296="あり")</formula>
    </cfRule>
  </conditionalFormatting>
  <conditionalFormatting sqref="N295">
    <cfRule type="expression" dxfId="328" priority="330" stopIfTrue="1">
      <formula>AND($F295&gt;=7,$C295="あり")</formula>
    </cfRule>
  </conditionalFormatting>
  <conditionalFormatting sqref="C295:D298">
    <cfRule type="expression" dxfId="327" priority="329">
      <formula>$C295="あり"</formula>
    </cfRule>
  </conditionalFormatting>
  <conditionalFormatting sqref="G301:G303">
    <cfRule type="expression" dxfId="326" priority="328" stopIfTrue="1">
      <formula>AND($E301&gt;=1,$C301="あり")</formula>
    </cfRule>
  </conditionalFormatting>
  <conditionalFormatting sqref="H300:M303">
    <cfRule type="expression" dxfId="325" priority="327" stopIfTrue="1">
      <formula>AND($F300&gt;=H$4,$C300="あり")</formula>
    </cfRule>
  </conditionalFormatting>
  <conditionalFormatting sqref="O300">
    <cfRule type="expression" dxfId="324" priority="326" stopIfTrue="1">
      <formula>$C300="あり"</formula>
    </cfRule>
  </conditionalFormatting>
  <conditionalFormatting sqref="O302">
    <cfRule type="expression" dxfId="323" priority="325" stopIfTrue="1">
      <formula>$C302="あり"</formula>
    </cfRule>
  </conditionalFormatting>
  <conditionalFormatting sqref="O303">
    <cfRule type="expression" dxfId="322" priority="324" stopIfTrue="1">
      <formula>$C303="あり"</formula>
    </cfRule>
  </conditionalFormatting>
  <conditionalFormatting sqref="N301:N303">
    <cfRule type="expression" dxfId="321" priority="323" stopIfTrue="1">
      <formula>AND($F301&gt;=7,$C301="あり")</formula>
    </cfRule>
  </conditionalFormatting>
  <conditionalFormatting sqref="N300">
    <cfRule type="expression" dxfId="320" priority="322" stopIfTrue="1">
      <formula>AND($F300&gt;=7,$C300="あり")</formula>
    </cfRule>
  </conditionalFormatting>
  <conditionalFormatting sqref="C300:D303">
    <cfRule type="expression" dxfId="319" priority="321">
      <formula>$C300="あり"</formula>
    </cfRule>
  </conditionalFormatting>
  <conditionalFormatting sqref="G306:G308">
    <cfRule type="expression" dxfId="318" priority="320" stopIfTrue="1">
      <formula>AND($E306&gt;=1,$C306="あり")</formula>
    </cfRule>
  </conditionalFormatting>
  <conditionalFormatting sqref="H305:M308">
    <cfRule type="expression" dxfId="317" priority="319" stopIfTrue="1">
      <formula>AND($F305&gt;=H$4,$C305="あり")</formula>
    </cfRule>
  </conditionalFormatting>
  <conditionalFormatting sqref="O305">
    <cfRule type="expression" dxfId="316" priority="318" stopIfTrue="1">
      <formula>$C305="あり"</formula>
    </cfRule>
  </conditionalFormatting>
  <conditionalFormatting sqref="O307">
    <cfRule type="expression" dxfId="315" priority="317" stopIfTrue="1">
      <formula>$C307="あり"</formula>
    </cfRule>
  </conditionalFormatting>
  <conditionalFormatting sqref="O308">
    <cfRule type="expression" dxfId="314" priority="316" stopIfTrue="1">
      <formula>$C308="あり"</formula>
    </cfRule>
  </conditionalFormatting>
  <conditionalFormatting sqref="N306:N308">
    <cfRule type="expression" dxfId="313" priority="315" stopIfTrue="1">
      <formula>AND($F306&gt;=7,$C306="あり")</formula>
    </cfRule>
  </conditionalFormatting>
  <conditionalFormatting sqref="N305">
    <cfRule type="expression" dxfId="312" priority="314" stopIfTrue="1">
      <formula>AND($F305&gt;=7,$C305="あり")</formula>
    </cfRule>
  </conditionalFormatting>
  <conditionalFormatting sqref="C305:D308">
    <cfRule type="expression" dxfId="311" priority="313">
      <formula>$C305="あり"</formula>
    </cfRule>
  </conditionalFormatting>
  <conditionalFormatting sqref="G311:G313">
    <cfRule type="expression" dxfId="310" priority="312" stopIfTrue="1">
      <formula>AND($E311&gt;=1,$C311="あり")</formula>
    </cfRule>
  </conditionalFormatting>
  <conditionalFormatting sqref="H310:M313">
    <cfRule type="expression" dxfId="309" priority="311" stopIfTrue="1">
      <formula>AND($F310&gt;=H$4,$C310="あり")</formula>
    </cfRule>
  </conditionalFormatting>
  <conditionalFormatting sqref="O310">
    <cfRule type="expression" dxfId="308" priority="310" stopIfTrue="1">
      <formula>$C310="あり"</formula>
    </cfRule>
  </conditionalFormatting>
  <conditionalFormatting sqref="O312">
    <cfRule type="expression" dxfId="307" priority="309" stopIfTrue="1">
      <formula>$C312="あり"</formula>
    </cfRule>
  </conditionalFormatting>
  <conditionalFormatting sqref="O313">
    <cfRule type="expression" dxfId="306" priority="308" stopIfTrue="1">
      <formula>$C313="あり"</formula>
    </cfRule>
  </conditionalFormatting>
  <conditionalFormatting sqref="N311:N313">
    <cfRule type="expression" dxfId="305" priority="307" stopIfTrue="1">
      <formula>AND($F311&gt;=7,$C311="あり")</formula>
    </cfRule>
  </conditionalFormatting>
  <conditionalFormatting sqref="N310">
    <cfRule type="expression" dxfId="304" priority="306" stopIfTrue="1">
      <formula>AND($F310&gt;=7,$C310="あり")</formula>
    </cfRule>
  </conditionalFormatting>
  <conditionalFormatting sqref="C310:D313">
    <cfRule type="expression" dxfId="303" priority="305">
      <formula>$C310="あり"</formula>
    </cfRule>
  </conditionalFormatting>
  <conditionalFormatting sqref="G316:G318">
    <cfRule type="expression" dxfId="302" priority="304" stopIfTrue="1">
      <formula>AND($E316&gt;=1,$C316="あり")</formula>
    </cfRule>
  </conditionalFormatting>
  <conditionalFormatting sqref="H315:M318">
    <cfRule type="expression" dxfId="301" priority="303" stopIfTrue="1">
      <formula>AND($F315&gt;=H$4,$C315="あり")</formula>
    </cfRule>
  </conditionalFormatting>
  <conditionalFormatting sqref="O315">
    <cfRule type="expression" dxfId="300" priority="302" stopIfTrue="1">
      <formula>$C315="あり"</formula>
    </cfRule>
  </conditionalFormatting>
  <conditionalFormatting sqref="O317">
    <cfRule type="expression" dxfId="299" priority="301" stopIfTrue="1">
      <formula>$C317="あり"</formula>
    </cfRule>
  </conditionalFormatting>
  <conditionalFormatting sqref="O318">
    <cfRule type="expression" dxfId="298" priority="300" stopIfTrue="1">
      <formula>$C318="あり"</formula>
    </cfRule>
  </conditionalFormatting>
  <conditionalFormatting sqref="N316:N318">
    <cfRule type="expression" dxfId="297" priority="299" stopIfTrue="1">
      <formula>AND($F316&gt;=7,$C316="あり")</formula>
    </cfRule>
  </conditionalFormatting>
  <conditionalFormatting sqref="N315">
    <cfRule type="expression" dxfId="296" priority="298" stopIfTrue="1">
      <formula>AND($F315&gt;=7,$C315="あり")</formula>
    </cfRule>
  </conditionalFormatting>
  <conditionalFormatting sqref="C315:D318">
    <cfRule type="expression" dxfId="295" priority="297">
      <formula>$C315="あり"</formula>
    </cfRule>
  </conditionalFormatting>
  <conditionalFormatting sqref="G321:G323">
    <cfRule type="expression" dxfId="294" priority="296" stopIfTrue="1">
      <formula>AND($E321&gt;=1,$C321="あり")</formula>
    </cfRule>
  </conditionalFormatting>
  <conditionalFormatting sqref="H320:M323">
    <cfRule type="expression" dxfId="293" priority="295" stopIfTrue="1">
      <formula>AND($F320&gt;=H$4,$C320="あり")</formula>
    </cfRule>
  </conditionalFormatting>
  <conditionalFormatting sqref="O320">
    <cfRule type="expression" dxfId="292" priority="294" stopIfTrue="1">
      <formula>$C320="あり"</formula>
    </cfRule>
  </conditionalFormatting>
  <conditionalFormatting sqref="O322">
    <cfRule type="expression" dxfId="291" priority="293" stopIfTrue="1">
      <formula>$C322="あり"</formula>
    </cfRule>
  </conditionalFormatting>
  <conditionalFormatting sqref="O323">
    <cfRule type="expression" dxfId="290" priority="292" stopIfTrue="1">
      <formula>$C323="あり"</formula>
    </cfRule>
  </conditionalFormatting>
  <conditionalFormatting sqref="N321:N323">
    <cfRule type="expression" dxfId="289" priority="291" stopIfTrue="1">
      <formula>AND($F321&gt;=7,$C321="あり")</formula>
    </cfRule>
  </conditionalFormatting>
  <conditionalFormatting sqref="N320">
    <cfRule type="expression" dxfId="288" priority="290" stopIfTrue="1">
      <formula>AND($F320&gt;=7,$C320="あり")</formula>
    </cfRule>
  </conditionalFormatting>
  <conditionalFormatting sqref="C320:D323">
    <cfRule type="expression" dxfId="287" priority="289">
      <formula>$C320="あり"</formula>
    </cfRule>
  </conditionalFormatting>
  <conditionalFormatting sqref="G326:G328">
    <cfRule type="expression" dxfId="286" priority="288" stopIfTrue="1">
      <formula>AND($E326&gt;=1,$C326="あり")</formula>
    </cfRule>
  </conditionalFormatting>
  <conditionalFormatting sqref="H325:M328">
    <cfRule type="expression" dxfId="285" priority="287" stopIfTrue="1">
      <formula>AND($F325&gt;=H$4,$C325="あり")</formula>
    </cfRule>
  </conditionalFormatting>
  <conditionalFormatting sqref="O325">
    <cfRule type="expression" dxfId="284" priority="286" stopIfTrue="1">
      <formula>$C325="あり"</formula>
    </cfRule>
  </conditionalFormatting>
  <conditionalFormatting sqref="O327">
    <cfRule type="expression" dxfId="283" priority="285" stopIfTrue="1">
      <formula>$C327="あり"</formula>
    </cfRule>
  </conditionalFormatting>
  <conditionalFormatting sqref="O328">
    <cfRule type="expression" dxfId="282" priority="284" stopIfTrue="1">
      <formula>$C328="あり"</formula>
    </cfRule>
  </conditionalFormatting>
  <conditionalFormatting sqref="N326:N328">
    <cfRule type="expression" dxfId="281" priority="283" stopIfTrue="1">
      <formula>AND($F326&gt;=7,$C326="あり")</formula>
    </cfRule>
  </conditionalFormatting>
  <conditionalFormatting sqref="N325">
    <cfRule type="expression" dxfId="280" priority="282" stopIfTrue="1">
      <formula>AND($F325&gt;=7,$C325="あり")</formula>
    </cfRule>
  </conditionalFormatting>
  <conditionalFormatting sqref="C325:D328">
    <cfRule type="expression" dxfId="279" priority="281">
      <formula>$C325="あり"</formula>
    </cfRule>
  </conditionalFormatting>
  <conditionalFormatting sqref="G331:G333">
    <cfRule type="expression" dxfId="278" priority="280" stopIfTrue="1">
      <formula>AND($E331&gt;=1,$C331="あり")</formula>
    </cfRule>
  </conditionalFormatting>
  <conditionalFormatting sqref="H330:M333">
    <cfRule type="expression" dxfId="277" priority="279" stopIfTrue="1">
      <formula>AND($F330&gt;=H$4,$C330="あり")</formula>
    </cfRule>
  </conditionalFormatting>
  <conditionalFormatting sqref="O330">
    <cfRule type="expression" dxfId="276" priority="278" stopIfTrue="1">
      <formula>$C330="あり"</formula>
    </cfRule>
  </conditionalFormatting>
  <conditionalFormatting sqref="O332">
    <cfRule type="expression" dxfId="275" priority="277" stopIfTrue="1">
      <formula>$C332="あり"</formula>
    </cfRule>
  </conditionalFormatting>
  <conditionalFormatting sqref="O333">
    <cfRule type="expression" dxfId="274" priority="276" stopIfTrue="1">
      <formula>$C333="あり"</formula>
    </cfRule>
  </conditionalFormatting>
  <conditionalFormatting sqref="N331:N333">
    <cfRule type="expression" dxfId="273" priority="275" stopIfTrue="1">
      <formula>AND($F331&gt;=7,$C331="あり")</formula>
    </cfRule>
  </conditionalFormatting>
  <conditionalFormatting sqref="N330">
    <cfRule type="expression" dxfId="272" priority="274" stopIfTrue="1">
      <formula>AND($F330&gt;=7,$C330="あり")</formula>
    </cfRule>
  </conditionalFormatting>
  <conditionalFormatting sqref="C330:D333">
    <cfRule type="expression" dxfId="271" priority="273">
      <formula>$C330="あり"</formula>
    </cfRule>
  </conditionalFormatting>
  <conditionalFormatting sqref="G336:G338">
    <cfRule type="expression" dxfId="270" priority="272" stopIfTrue="1">
      <formula>AND($E336&gt;=1,$C336="あり")</formula>
    </cfRule>
  </conditionalFormatting>
  <conditionalFormatting sqref="H335:M338">
    <cfRule type="expression" dxfId="269" priority="271" stopIfTrue="1">
      <formula>AND($F335&gt;=H$4,$C335="あり")</formula>
    </cfRule>
  </conditionalFormatting>
  <conditionalFormatting sqref="O335">
    <cfRule type="expression" dxfId="268" priority="270" stopIfTrue="1">
      <formula>$C335="あり"</formula>
    </cfRule>
  </conditionalFormatting>
  <conditionalFormatting sqref="O337">
    <cfRule type="expression" dxfId="267" priority="269" stopIfTrue="1">
      <formula>$C337="あり"</formula>
    </cfRule>
  </conditionalFormatting>
  <conditionalFormatting sqref="O338">
    <cfRule type="expression" dxfId="266" priority="268" stopIfTrue="1">
      <formula>$C338="あり"</formula>
    </cfRule>
  </conditionalFormatting>
  <conditionalFormatting sqref="N336:N338">
    <cfRule type="expression" dxfId="265" priority="267" stopIfTrue="1">
      <formula>AND($F336&gt;=7,$C336="あり")</formula>
    </cfRule>
  </conditionalFormatting>
  <conditionalFormatting sqref="N335">
    <cfRule type="expression" dxfId="264" priority="266" stopIfTrue="1">
      <formula>AND($F335&gt;=7,$C335="あり")</formula>
    </cfRule>
  </conditionalFormatting>
  <conditionalFormatting sqref="C335:D338">
    <cfRule type="expression" dxfId="263" priority="265">
      <formula>$C335="あり"</formula>
    </cfRule>
  </conditionalFormatting>
  <conditionalFormatting sqref="G341:G343">
    <cfRule type="expression" dxfId="262" priority="264" stopIfTrue="1">
      <formula>AND($E341&gt;=1,$C341="あり")</formula>
    </cfRule>
  </conditionalFormatting>
  <conditionalFormatting sqref="H340:M343">
    <cfRule type="expression" dxfId="261" priority="263" stopIfTrue="1">
      <formula>AND($F340&gt;=H$4,$C340="あり")</formula>
    </cfRule>
  </conditionalFormatting>
  <conditionalFormatting sqref="O340">
    <cfRule type="expression" dxfId="260" priority="262" stopIfTrue="1">
      <formula>$C340="あり"</formula>
    </cfRule>
  </conditionalFormatting>
  <conditionalFormatting sqref="O342">
    <cfRule type="expression" dxfId="259" priority="261" stopIfTrue="1">
      <formula>$C342="あり"</formula>
    </cfRule>
  </conditionalFormatting>
  <conditionalFormatting sqref="O343">
    <cfRule type="expression" dxfId="258" priority="260" stopIfTrue="1">
      <formula>$C343="あり"</formula>
    </cfRule>
  </conditionalFormatting>
  <conditionalFormatting sqref="N341:N343">
    <cfRule type="expression" dxfId="257" priority="259" stopIfTrue="1">
      <formula>AND($F341&gt;=7,$C341="あり")</formula>
    </cfRule>
  </conditionalFormatting>
  <conditionalFormatting sqref="N340">
    <cfRule type="expression" dxfId="256" priority="258" stopIfTrue="1">
      <formula>AND($F340&gt;=7,$C340="あり")</formula>
    </cfRule>
  </conditionalFormatting>
  <conditionalFormatting sqref="C340:D343">
    <cfRule type="expression" dxfId="255" priority="257">
      <formula>$C340="あり"</formula>
    </cfRule>
  </conditionalFormatting>
  <conditionalFormatting sqref="G346:G348">
    <cfRule type="expression" dxfId="254" priority="256" stopIfTrue="1">
      <formula>AND($E346&gt;=1,$C346="あり")</formula>
    </cfRule>
  </conditionalFormatting>
  <conditionalFormatting sqref="H345:M348">
    <cfRule type="expression" dxfId="253" priority="255" stopIfTrue="1">
      <formula>AND($F345&gt;=H$4,$C345="あり")</formula>
    </cfRule>
  </conditionalFormatting>
  <conditionalFormatting sqref="O345">
    <cfRule type="expression" dxfId="252" priority="254" stopIfTrue="1">
      <formula>$C345="あり"</formula>
    </cfRule>
  </conditionalFormatting>
  <conditionalFormatting sqref="O347">
    <cfRule type="expression" dxfId="251" priority="253" stopIfTrue="1">
      <formula>$C347="あり"</formula>
    </cfRule>
  </conditionalFormatting>
  <conditionalFormatting sqref="O348">
    <cfRule type="expression" dxfId="250" priority="252" stopIfTrue="1">
      <formula>$C348="あり"</formula>
    </cfRule>
  </conditionalFormatting>
  <conditionalFormatting sqref="N346:N348">
    <cfRule type="expression" dxfId="249" priority="251" stopIfTrue="1">
      <formula>AND($F346&gt;=7,$C346="あり")</formula>
    </cfRule>
  </conditionalFormatting>
  <conditionalFormatting sqref="N345">
    <cfRule type="expression" dxfId="248" priority="250" stopIfTrue="1">
      <formula>AND($F345&gt;=7,$C345="あり")</formula>
    </cfRule>
  </conditionalFormatting>
  <conditionalFormatting sqref="C345:D348">
    <cfRule type="expression" dxfId="247" priority="249">
      <formula>$C345="あり"</formula>
    </cfRule>
  </conditionalFormatting>
  <conditionalFormatting sqref="G351:G353">
    <cfRule type="expression" dxfId="246" priority="248" stopIfTrue="1">
      <formula>AND($E351&gt;=1,$C351="あり")</formula>
    </cfRule>
  </conditionalFormatting>
  <conditionalFormatting sqref="H350:M353">
    <cfRule type="expression" dxfId="245" priority="247" stopIfTrue="1">
      <formula>AND($F350&gt;=H$4,$C350="あり")</formula>
    </cfRule>
  </conditionalFormatting>
  <conditionalFormatting sqref="O350">
    <cfRule type="expression" dxfId="244" priority="246" stopIfTrue="1">
      <formula>$C350="あり"</formula>
    </cfRule>
  </conditionalFormatting>
  <conditionalFormatting sqref="O352">
    <cfRule type="expression" dxfId="243" priority="245" stopIfTrue="1">
      <formula>$C352="あり"</formula>
    </cfRule>
  </conditionalFormatting>
  <conditionalFormatting sqref="O353">
    <cfRule type="expression" dxfId="242" priority="244" stopIfTrue="1">
      <formula>$C353="あり"</formula>
    </cfRule>
  </conditionalFormatting>
  <conditionalFormatting sqref="N351:N353">
    <cfRule type="expression" dxfId="241" priority="243" stopIfTrue="1">
      <formula>AND($F351&gt;=7,$C351="あり")</formula>
    </cfRule>
  </conditionalFormatting>
  <conditionalFormatting sqref="N350">
    <cfRule type="expression" dxfId="240" priority="242" stopIfTrue="1">
      <formula>AND($F350&gt;=7,$C350="あり")</formula>
    </cfRule>
  </conditionalFormatting>
  <conditionalFormatting sqref="C350:D353">
    <cfRule type="expression" dxfId="239" priority="241">
      <formula>$C350="あり"</formula>
    </cfRule>
  </conditionalFormatting>
  <conditionalFormatting sqref="G356:G358">
    <cfRule type="expression" dxfId="238" priority="240" stopIfTrue="1">
      <formula>AND($E356&gt;=1,$C356="あり")</formula>
    </cfRule>
  </conditionalFormatting>
  <conditionalFormatting sqref="H355:M358">
    <cfRule type="expression" dxfId="237" priority="239" stopIfTrue="1">
      <formula>AND($F355&gt;=H$4,$C355="あり")</formula>
    </cfRule>
  </conditionalFormatting>
  <conditionalFormatting sqref="O355">
    <cfRule type="expression" dxfId="236" priority="238" stopIfTrue="1">
      <formula>$C355="あり"</formula>
    </cfRule>
  </conditionalFormatting>
  <conditionalFormatting sqref="O357">
    <cfRule type="expression" dxfId="235" priority="237" stopIfTrue="1">
      <formula>$C357="あり"</formula>
    </cfRule>
  </conditionalFormatting>
  <conditionalFormatting sqref="O358">
    <cfRule type="expression" dxfId="234" priority="236" stopIfTrue="1">
      <formula>$C358="あり"</formula>
    </cfRule>
  </conditionalFormatting>
  <conditionalFormatting sqref="N356:N358">
    <cfRule type="expression" dxfId="233" priority="235" stopIfTrue="1">
      <formula>AND($F356&gt;=7,$C356="あり")</formula>
    </cfRule>
  </conditionalFormatting>
  <conditionalFormatting sqref="N355">
    <cfRule type="expression" dxfId="232" priority="234" stopIfTrue="1">
      <formula>AND($F355&gt;=7,$C355="あり")</formula>
    </cfRule>
  </conditionalFormatting>
  <conditionalFormatting sqref="C355:D358">
    <cfRule type="expression" dxfId="231" priority="233">
      <formula>$C355="あり"</formula>
    </cfRule>
  </conditionalFormatting>
  <conditionalFormatting sqref="G361:G363">
    <cfRule type="expression" dxfId="230" priority="232" stopIfTrue="1">
      <formula>AND($E361&gt;=1,$C361="あり")</formula>
    </cfRule>
  </conditionalFormatting>
  <conditionalFormatting sqref="H360:M363">
    <cfRule type="expression" dxfId="229" priority="231" stopIfTrue="1">
      <formula>AND($F360&gt;=H$4,$C360="あり")</formula>
    </cfRule>
  </conditionalFormatting>
  <conditionalFormatting sqref="O360">
    <cfRule type="expression" dxfId="228" priority="230" stopIfTrue="1">
      <formula>$C360="あり"</formula>
    </cfRule>
  </conditionalFormatting>
  <conditionalFormatting sqref="O362">
    <cfRule type="expression" dxfId="227" priority="229" stopIfTrue="1">
      <formula>$C362="あり"</formula>
    </cfRule>
  </conditionalFormatting>
  <conditionalFormatting sqref="O363">
    <cfRule type="expression" dxfId="226" priority="228" stopIfTrue="1">
      <formula>$C363="あり"</formula>
    </cfRule>
  </conditionalFormatting>
  <conditionalFormatting sqref="N361:N363">
    <cfRule type="expression" dxfId="225" priority="227" stopIfTrue="1">
      <formula>AND($F361&gt;=7,$C361="あり")</formula>
    </cfRule>
  </conditionalFormatting>
  <conditionalFormatting sqref="N360">
    <cfRule type="expression" dxfId="224" priority="226" stopIfTrue="1">
      <formula>AND($F360&gt;=7,$C360="あり")</formula>
    </cfRule>
  </conditionalFormatting>
  <conditionalFormatting sqref="C360:D363">
    <cfRule type="expression" dxfId="223" priority="225">
      <formula>$C360="あり"</formula>
    </cfRule>
  </conditionalFormatting>
  <conditionalFormatting sqref="G366:G368">
    <cfRule type="expression" dxfId="222" priority="224" stopIfTrue="1">
      <formula>AND($E366&gt;=1,$C366="あり")</formula>
    </cfRule>
  </conditionalFormatting>
  <conditionalFormatting sqref="H365:M368">
    <cfRule type="expression" dxfId="221" priority="223" stopIfTrue="1">
      <formula>AND($F365&gt;=H$4,$C365="あり")</formula>
    </cfRule>
  </conditionalFormatting>
  <conditionalFormatting sqref="O365">
    <cfRule type="expression" dxfId="220" priority="222" stopIfTrue="1">
      <formula>$C365="あり"</formula>
    </cfRule>
  </conditionalFormatting>
  <conditionalFormatting sqref="O367">
    <cfRule type="expression" dxfId="219" priority="221" stopIfTrue="1">
      <formula>$C367="あり"</formula>
    </cfRule>
  </conditionalFormatting>
  <conditionalFormatting sqref="O368">
    <cfRule type="expression" dxfId="218" priority="220" stopIfTrue="1">
      <formula>$C368="あり"</formula>
    </cfRule>
  </conditionalFormatting>
  <conditionalFormatting sqref="N366:N368">
    <cfRule type="expression" dxfId="217" priority="219" stopIfTrue="1">
      <formula>AND($F366&gt;=7,$C366="あり")</formula>
    </cfRule>
  </conditionalFormatting>
  <conditionalFormatting sqref="N365">
    <cfRule type="expression" dxfId="216" priority="218" stopIfTrue="1">
      <formula>AND($F365&gt;=7,$C365="あり")</formula>
    </cfRule>
  </conditionalFormatting>
  <conditionalFormatting sqref="C365:D368">
    <cfRule type="expression" dxfId="215" priority="217">
      <formula>$C365="あり"</formula>
    </cfRule>
  </conditionalFormatting>
  <conditionalFormatting sqref="G371:G373">
    <cfRule type="expression" dxfId="214" priority="216" stopIfTrue="1">
      <formula>AND($E371&gt;=1,$C371="あり")</formula>
    </cfRule>
  </conditionalFormatting>
  <conditionalFormatting sqref="H370:M373">
    <cfRule type="expression" dxfId="213" priority="215" stopIfTrue="1">
      <formula>AND($F370&gt;=H$4,$C370="あり")</formula>
    </cfRule>
  </conditionalFormatting>
  <conditionalFormatting sqref="O370">
    <cfRule type="expression" dxfId="212" priority="214" stopIfTrue="1">
      <formula>$C370="あり"</formula>
    </cfRule>
  </conditionalFormatting>
  <conditionalFormatting sqref="O372">
    <cfRule type="expression" dxfId="211" priority="213" stopIfTrue="1">
      <formula>$C372="あり"</formula>
    </cfRule>
  </conditionalFormatting>
  <conditionalFormatting sqref="O373">
    <cfRule type="expression" dxfId="210" priority="212" stopIfTrue="1">
      <formula>$C373="あり"</formula>
    </cfRule>
  </conditionalFormatting>
  <conditionalFormatting sqref="N371:N373">
    <cfRule type="expression" dxfId="209" priority="211" stopIfTrue="1">
      <formula>AND($F371&gt;=7,$C371="あり")</formula>
    </cfRule>
  </conditionalFormatting>
  <conditionalFormatting sqref="N370">
    <cfRule type="expression" dxfId="208" priority="210" stopIfTrue="1">
      <formula>AND($F370&gt;=7,$C370="あり")</formula>
    </cfRule>
  </conditionalFormatting>
  <conditionalFormatting sqref="C370:D373">
    <cfRule type="expression" dxfId="207" priority="209">
      <formula>$C370="あり"</formula>
    </cfRule>
  </conditionalFormatting>
  <conditionalFormatting sqref="G376:G378">
    <cfRule type="expression" dxfId="206" priority="208" stopIfTrue="1">
      <formula>AND($E376&gt;=1,$C376="あり")</formula>
    </cfRule>
  </conditionalFormatting>
  <conditionalFormatting sqref="H375:M378">
    <cfRule type="expression" dxfId="205" priority="207" stopIfTrue="1">
      <formula>AND($F375&gt;=H$4,$C375="あり")</formula>
    </cfRule>
  </conditionalFormatting>
  <conditionalFormatting sqref="O375">
    <cfRule type="expression" dxfId="204" priority="206" stopIfTrue="1">
      <formula>$C375="あり"</formula>
    </cfRule>
  </conditionalFormatting>
  <conditionalFormatting sqref="O377">
    <cfRule type="expression" dxfId="203" priority="205" stopIfTrue="1">
      <formula>$C377="あり"</formula>
    </cfRule>
  </conditionalFormatting>
  <conditionalFormatting sqref="O378">
    <cfRule type="expression" dxfId="202" priority="204" stopIfTrue="1">
      <formula>$C378="あり"</formula>
    </cfRule>
  </conditionalFormatting>
  <conditionalFormatting sqref="N376:N378">
    <cfRule type="expression" dxfId="201" priority="203" stopIfTrue="1">
      <formula>AND($F376&gt;=7,$C376="あり")</formula>
    </cfRule>
  </conditionalFormatting>
  <conditionalFormatting sqref="N375">
    <cfRule type="expression" dxfId="200" priority="202" stopIfTrue="1">
      <formula>AND($F375&gt;=7,$C375="あり")</formula>
    </cfRule>
  </conditionalFormatting>
  <conditionalFormatting sqref="C375:D378">
    <cfRule type="expression" dxfId="199" priority="201">
      <formula>$C375="あり"</formula>
    </cfRule>
  </conditionalFormatting>
  <conditionalFormatting sqref="G381:G383">
    <cfRule type="expression" dxfId="198" priority="200" stopIfTrue="1">
      <formula>AND($E381&gt;=1,$C381="あり")</formula>
    </cfRule>
  </conditionalFormatting>
  <conditionalFormatting sqref="H380:M383">
    <cfRule type="expression" dxfId="197" priority="199" stopIfTrue="1">
      <formula>AND($F380&gt;=H$4,$C380="あり")</formula>
    </cfRule>
  </conditionalFormatting>
  <conditionalFormatting sqref="O380">
    <cfRule type="expression" dxfId="196" priority="198" stopIfTrue="1">
      <formula>$C380="あり"</formula>
    </cfRule>
  </conditionalFormatting>
  <conditionalFormatting sqref="O382">
    <cfRule type="expression" dxfId="195" priority="197" stopIfTrue="1">
      <formula>$C382="あり"</formula>
    </cfRule>
  </conditionalFormatting>
  <conditionalFormatting sqref="O383">
    <cfRule type="expression" dxfId="194" priority="196" stopIfTrue="1">
      <formula>$C383="あり"</formula>
    </cfRule>
  </conditionalFormatting>
  <conditionalFormatting sqref="N381:N383">
    <cfRule type="expression" dxfId="193" priority="195" stopIfTrue="1">
      <formula>AND($F381&gt;=7,$C381="あり")</formula>
    </cfRule>
  </conditionalFormatting>
  <conditionalFormatting sqref="N380">
    <cfRule type="expression" dxfId="192" priority="194" stopIfTrue="1">
      <formula>AND($F380&gt;=7,$C380="あり")</formula>
    </cfRule>
  </conditionalFormatting>
  <conditionalFormatting sqref="C380:D383">
    <cfRule type="expression" dxfId="191" priority="193">
      <formula>$C380="あり"</formula>
    </cfRule>
  </conditionalFormatting>
  <conditionalFormatting sqref="G386:G388">
    <cfRule type="expression" dxfId="190" priority="192" stopIfTrue="1">
      <formula>AND($E386&gt;=1,$C386="あり")</formula>
    </cfRule>
  </conditionalFormatting>
  <conditionalFormatting sqref="H385:M388">
    <cfRule type="expression" dxfId="189" priority="191" stopIfTrue="1">
      <formula>AND($F385&gt;=H$4,$C385="あり")</formula>
    </cfRule>
  </conditionalFormatting>
  <conditionalFormatting sqref="O385">
    <cfRule type="expression" dxfId="188" priority="190" stopIfTrue="1">
      <formula>$C385="あり"</formula>
    </cfRule>
  </conditionalFormatting>
  <conditionalFormatting sqref="O387">
    <cfRule type="expression" dxfId="187" priority="189" stopIfTrue="1">
      <formula>$C387="あり"</formula>
    </cfRule>
  </conditionalFormatting>
  <conditionalFormatting sqref="O388">
    <cfRule type="expression" dxfId="186" priority="188" stopIfTrue="1">
      <formula>$C388="あり"</formula>
    </cfRule>
  </conditionalFormatting>
  <conditionalFormatting sqref="N386:N388">
    <cfRule type="expression" dxfId="185" priority="187" stopIfTrue="1">
      <formula>AND($F386&gt;=7,$C386="あり")</formula>
    </cfRule>
  </conditionalFormatting>
  <conditionalFormatting sqref="N385">
    <cfRule type="expression" dxfId="184" priority="186" stopIfTrue="1">
      <formula>AND($F385&gt;=7,$C385="あり")</formula>
    </cfRule>
  </conditionalFormatting>
  <conditionalFormatting sqref="C385:D388">
    <cfRule type="expression" dxfId="183" priority="185">
      <formula>$C385="あり"</formula>
    </cfRule>
  </conditionalFormatting>
  <conditionalFormatting sqref="G391:G393">
    <cfRule type="expression" dxfId="182" priority="184" stopIfTrue="1">
      <formula>AND($E391&gt;=1,$C391="あり")</formula>
    </cfRule>
  </conditionalFormatting>
  <conditionalFormatting sqref="H390:M393">
    <cfRule type="expression" dxfId="181" priority="183" stopIfTrue="1">
      <formula>AND($F390&gt;=H$4,$C390="あり")</formula>
    </cfRule>
  </conditionalFormatting>
  <conditionalFormatting sqref="O390">
    <cfRule type="expression" dxfId="180" priority="182" stopIfTrue="1">
      <formula>$C390="あり"</formula>
    </cfRule>
  </conditionalFormatting>
  <conditionalFormatting sqref="O392">
    <cfRule type="expression" dxfId="179" priority="181" stopIfTrue="1">
      <formula>$C392="あり"</formula>
    </cfRule>
  </conditionalFormatting>
  <conditionalFormatting sqref="O393">
    <cfRule type="expression" dxfId="178" priority="180" stopIfTrue="1">
      <formula>$C393="あり"</formula>
    </cfRule>
  </conditionalFormatting>
  <conditionalFormatting sqref="N391:N393">
    <cfRule type="expression" dxfId="177" priority="179" stopIfTrue="1">
      <formula>AND($F391&gt;=7,$C391="あり")</formula>
    </cfRule>
  </conditionalFormatting>
  <conditionalFormatting sqref="N390">
    <cfRule type="expression" dxfId="176" priority="178" stopIfTrue="1">
      <formula>AND($F390&gt;=7,$C390="あり")</formula>
    </cfRule>
  </conditionalFormatting>
  <conditionalFormatting sqref="C390:D393">
    <cfRule type="expression" dxfId="175" priority="177">
      <formula>$C390="あり"</formula>
    </cfRule>
  </conditionalFormatting>
  <conditionalFormatting sqref="G396:G398">
    <cfRule type="expression" dxfId="174" priority="176" stopIfTrue="1">
      <formula>AND($E396&gt;=1,$C396="あり")</formula>
    </cfRule>
  </conditionalFormatting>
  <conditionalFormatting sqref="H395:M398">
    <cfRule type="expression" dxfId="173" priority="175" stopIfTrue="1">
      <formula>AND($F395&gt;=H$4,$C395="あり")</formula>
    </cfRule>
  </conditionalFormatting>
  <conditionalFormatting sqref="O397">
    <cfRule type="expression" dxfId="172" priority="173" stopIfTrue="1">
      <formula>$C397="あり"</formula>
    </cfRule>
  </conditionalFormatting>
  <conditionalFormatting sqref="O398">
    <cfRule type="expression" dxfId="171" priority="172" stopIfTrue="1">
      <formula>$C398="あり"</formula>
    </cfRule>
  </conditionalFormatting>
  <conditionalFormatting sqref="N396:N398">
    <cfRule type="expression" dxfId="170" priority="171" stopIfTrue="1">
      <formula>AND($F396&gt;=7,$C396="あり")</formula>
    </cfRule>
  </conditionalFormatting>
  <conditionalFormatting sqref="N395">
    <cfRule type="expression" dxfId="169" priority="170" stopIfTrue="1">
      <formula>AND($F395&gt;=7,$C395="あり")</formula>
    </cfRule>
  </conditionalFormatting>
  <conditionalFormatting sqref="C395:D398">
    <cfRule type="expression" dxfId="168" priority="169">
      <formula>$C395="あり"</formula>
    </cfRule>
  </conditionalFormatting>
  <conditionalFormatting sqref="G401:G403">
    <cfRule type="expression" dxfId="167" priority="168" stopIfTrue="1">
      <formula>AND($E401&gt;=1,$C401="あり")</formula>
    </cfRule>
  </conditionalFormatting>
  <conditionalFormatting sqref="H400:M403">
    <cfRule type="expression" dxfId="166" priority="167" stopIfTrue="1">
      <formula>AND($F400&gt;=H$4,$C400="あり")</formula>
    </cfRule>
  </conditionalFormatting>
  <conditionalFormatting sqref="O400">
    <cfRule type="expression" dxfId="165" priority="166" stopIfTrue="1">
      <formula>$C400="あり"</formula>
    </cfRule>
  </conditionalFormatting>
  <conditionalFormatting sqref="O402">
    <cfRule type="expression" dxfId="164" priority="165" stopIfTrue="1">
      <formula>$C402="あり"</formula>
    </cfRule>
  </conditionalFormatting>
  <conditionalFormatting sqref="O403">
    <cfRule type="expression" dxfId="163" priority="164" stopIfTrue="1">
      <formula>$C403="あり"</formula>
    </cfRule>
  </conditionalFormatting>
  <conditionalFormatting sqref="N401:N403">
    <cfRule type="expression" dxfId="162" priority="163" stopIfTrue="1">
      <formula>AND($F401&gt;=7,$C401="あり")</formula>
    </cfRule>
  </conditionalFormatting>
  <conditionalFormatting sqref="N400">
    <cfRule type="expression" dxfId="161" priority="162" stopIfTrue="1">
      <formula>AND($F400&gt;=7,$C400="あり")</formula>
    </cfRule>
  </conditionalFormatting>
  <conditionalFormatting sqref="C400:D403">
    <cfRule type="expression" dxfId="160" priority="161">
      <formula>$C400="あり"</formula>
    </cfRule>
  </conditionalFormatting>
  <conditionalFormatting sqref="G406:G408">
    <cfRule type="expression" dxfId="159" priority="160" stopIfTrue="1">
      <formula>AND($E406&gt;=1,$C406="あり")</formula>
    </cfRule>
  </conditionalFormatting>
  <conditionalFormatting sqref="H405:M408">
    <cfRule type="expression" dxfId="158" priority="159" stopIfTrue="1">
      <formula>AND($F405&gt;=H$4,$C405="あり")</formula>
    </cfRule>
  </conditionalFormatting>
  <conditionalFormatting sqref="O405">
    <cfRule type="expression" dxfId="157" priority="158" stopIfTrue="1">
      <formula>$C405="あり"</formula>
    </cfRule>
  </conditionalFormatting>
  <conditionalFormatting sqref="O407">
    <cfRule type="expression" dxfId="156" priority="157" stopIfTrue="1">
      <formula>$C407="あり"</formula>
    </cfRule>
  </conditionalFormatting>
  <conditionalFormatting sqref="O408">
    <cfRule type="expression" dxfId="155" priority="156" stopIfTrue="1">
      <formula>$C408="あり"</formula>
    </cfRule>
  </conditionalFormatting>
  <conditionalFormatting sqref="N406:N408">
    <cfRule type="expression" dxfId="154" priority="155" stopIfTrue="1">
      <formula>AND($F406&gt;=7,$C406="あり")</formula>
    </cfRule>
  </conditionalFormatting>
  <conditionalFormatting sqref="N405">
    <cfRule type="expression" dxfId="153" priority="154" stopIfTrue="1">
      <formula>AND($F405&gt;=7,$C405="あり")</formula>
    </cfRule>
  </conditionalFormatting>
  <conditionalFormatting sqref="G411:G413">
    <cfRule type="expression" dxfId="152" priority="152" stopIfTrue="1">
      <formula>AND($E411&gt;=1,$C411="あり")</formula>
    </cfRule>
  </conditionalFormatting>
  <conditionalFormatting sqref="H410:M413">
    <cfRule type="expression" dxfId="151" priority="151" stopIfTrue="1">
      <formula>AND($F410&gt;=H$4,$C410="あり")</formula>
    </cfRule>
  </conditionalFormatting>
  <conditionalFormatting sqref="O410">
    <cfRule type="expression" dxfId="150" priority="150" stopIfTrue="1">
      <formula>$C410="あり"</formula>
    </cfRule>
  </conditionalFormatting>
  <conditionalFormatting sqref="O412">
    <cfRule type="expression" dxfId="149" priority="149" stopIfTrue="1">
      <formula>$C412="あり"</formula>
    </cfRule>
  </conditionalFormatting>
  <conditionalFormatting sqref="O413">
    <cfRule type="expression" dxfId="148" priority="148" stopIfTrue="1">
      <formula>$C413="あり"</formula>
    </cfRule>
  </conditionalFormatting>
  <conditionalFormatting sqref="N411:N413">
    <cfRule type="expression" dxfId="147" priority="147" stopIfTrue="1">
      <formula>AND($F411&gt;=7,$C411="あり")</formula>
    </cfRule>
  </conditionalFormatting>
  <conditionalFormatting sqref="N410">
    <cfRule type="expression" dxfId="146" priority="146" stopIfTrue="1">
      <formula>AND($F410&gt;=7,$C410="あり")</formula>
    </cfRule>
  </conditionalFormatting>
  <conditionalFormatting sqref="C410:D413">
    <cfRule type="expression" dxfId="145" priority="145">
      <formula>$C410="あり"</formula>
    </cfRule>
  </conditionalFormatting>
  <conditionalFormatting sqref="G416:G418">
    <cfRule type="expression" dxfId="144" priority="144" stopIfTrue="1">
      <formula>AND($E416&gt;=1,$C416="あり")</formula>
    </cfRule>
  </conditionalFormatting>
  <conditionalFormatting sqref="H415:M418">
    <cfRule type="expression" dxfId="143" priority="143" stopIfTrue="1">
      <formula>AND($F415&gt;=H$4,$C415="あり")</formula>
    </cfRule>
  </conditionalFormatting>
  <conditionalFormatting sqref="O415">
    <cfRule type="expression" dxfId="142" priority="142" stopIfTrue="1">
      <formula>$C415="あり"</formula>
    </cfRule>
  </conditionalFormatting>
  <conditionalFormatting sqref="O417">
    <cfRule type="expression" dxfId="141" priority="141" stopIfTrue="1">
      <formula>$C417="あり"</formula>
    </cfRule>
  </conditionalFormatting>
  <conditionalFormatting sqref="O418">
    <cfRule type="expression" dxfId="140" priority="140" stopIfTrue="1">
      <formula>$C418="あり"</formula>
    </cfRule>
  </conditionalFormatting>
  <conditionalFormatting sqref="N416:N418">
    <cfRule type="expression" dxfId="139" priority="139" stopIfTrue="1">
      <formula>AND($F416&gt;=7,$C416="あり")</formula>
    </cfRule>
  </conditionalFormatting>
  <conditionalFormatting sqref="N415">
    <cfRule type="expression" dxfId="138" priority="138" stopIfTrue="1">
      <formula>AND($F415&gt;=7,$C415="あり")</formula>
    </cfRule>
  </conditionalFormatting>
  <conditionalFormatting sqref="C415:D418">
    <cfRule type="expression" dxfId="137" priority="137">
      <formula>$C415="あり"</formula>
    </cfRule>
  </conditionalFormatting>
  <conditionalFormatting sqref="G421:G423">
    <cfRule type="expression" dxfId="136" priority="136" stopIfTrue="1">
      <formula>AND($E421&gt;=1,$C421="あり")</formula>
    </cfRule>
  </conditionalFormatting>
  <conditionalFormatting sqref="H420:M423">
    <cfRule type="expression" dxfId="135" priority="135" stopIfTrue="1">
      <formula>AND($F420&gt;=H$4,$C420="あり")</formula>
    </cfRule>
  </conditionalFormatting>
  <conditionalFormatting sqref="O420">
    <cfRule type="expression" dxfId="134" priority="134" stopIfTrue="1">
      <formula>$C420="あり"</formula>
    </cfRule>
  </conditionalFormatting>
  <conditionalFormatting sqref="O422">
    <cfRule type="expression" dxfId="133" priority="133" stopIfTrue="1">
      <formula>$C422="あり"</formula>
    </cfRule>
  </conditionalFormatting>
  <conditionalFormatting sqref="O423">
    <cfRule type="expression" dxfId="132" priority="132" stopIfTrue="1">
      <formula>$C423="あり"</formula>
    </cfRule>
  </conditionalFormatting>
  <conditionalFormatting sqref="N421:N423">
    <cfRule type="expression" dxfId="131" priority="131" stopIfTrue="1">
      <formula>AND($F421&gt;=7,$C421="あり")</formula>
    </cfRule>
  </conditionalFormatting>
  <conditionalFormatting sqref="N420">
    <cfRule type="expression" dxfId="130" priority="130" stopIfTrue="1">
      <formula>AND($F420&gt;=7,$C420="あり")</formula>
    </cfRule>
  </conditionalFormatting>
  <conditionalFormatting sqref="C420:D423">
    <cfRule type="expression" dxfId="129" priority="129">
      <formula>$C420="あり"</formula>
    </cfRule>
  </conditionalFormatting>
  <conditionalFormatting sqref="G426:G428">
    <cfRule type="expression" dxfId="128" priority="128" stopIfTrue="1">
      <formula>AND($E426&gt;=1,$C426="あり")</formula>
    </cfRule>
  </conditionalFormatting>
  <conditionalFormatting sqref="H425:M428">
    <cfRule type="expression" dxfId="127" priority="127" stopIfTrue="1">
      <formula>AND($F425&gt;=H$4,$C425="あり")</formula>
    </cfRule>
  </conditionalFormatting>
  <conditionalFormatting sqref="O425">
    <cfRule type="expression" dxfId="126" priority="126" stopIfTrue="1">
      <formula>$C425="あり"</formula>
    </cfRule>
  </conditionalFormatting>
  <conditionalFormatting sqref="O427">
    <cfRule type="expression" dxfId="125" priority="125" stopIfTrue="1">
      <formula>$C427="あり"</formula>
    </cfRule>
  </conditionalFormatting>
  <conditionalFormatting sqref="O428">
    <cfRule type="expression" dxfId="124" priority="124" stopIfTrue="1">
      <formula>$C428="あり"</formula>
    </cfRule>
  </conditionalFormatting>
  <conditionalFormatting sqref="N426:N428">
    <cfRule type="expression" dxfId="123" priority="123" stopIfTrue="1">
      <formula>AND($F426&gt;=7,$C426="あり")</formula>
    </cfRule>
  </conditionalFormatting>
  <conditionalFormatting sqref="N425">
    <cfRule type="expression" dxfId="122" priority="122" stopIfTrue="1">
      <formula>AND($F425&gt;=7,$C425="あり")</formula>
    </cfRule>
  </conditionalFormatting>
  <conditionalFormatting sqref="C425:D428">
    <cfRule type="expression" dxfId="121" priority="121">
      <formula>$C425="あり"</formula>
    </cfRule>
  </conditionalFormatting>
  <conditionalFormatting sqref="G431:G433">
    <cfRule type="expression" dxfId="120" priority="120" stopIfTrue="1">
      <formula>AND($E431&gt;=1,$C431="あり")</formula>
    </cfRule>
  </conditionalFormatting>
  <conditionalFormatting sqref="H430:M433">
    <cfRule type="expression" dxfId="119" priority="119" stopIfTrue="1">
      <formula>AND($F430&gt;=H$4,$C430="あり")</formula>
    </cfRule>
  </conditionalFormatting>
  <conditionalFormatting sqref="O430">
    <cfRule type="expression" dxfId="118" priority="118" stopIfTrue="1">
      <formula>$C430="あり"</formula>
    </cfRule>
  </conditionalFormatting>
  <conditionalFormatting sqref="O432">
    <cfRule type="expression" dxfId="117" priority="117" stopIfTrue="1">
      <formula>$C432="あり"</formula>
    </cfRule>
  </conditionalFormatting>
  <conditionalFormatting sqref="O433">
    <cfRule type="expression" dxfId="116" priority="116" stopIfTrue="1">
      <formula>$C433="あり"</formula>
    </cfRule>
  </conditionalFormatting>
  <conditionalFormatting sqref="N431:N433">
    <cfRule type="expression" dxfId="115" priority="115" stopIfTrue="1">
      <formula>AND($F431&gt;=7,$C431="あり")</formula>
    </cfRule>
  </conditionalFormatting>
  <conditionalFormatting sqref="N430">
    <cfRule type="expression" dxfId="114" priority="114" stopIfTrue="1">
      <formula>AND($F430&gt;=7,$C430="あり")</formula>
    </cfRule>
  </conditionalFormatting>
  <conditionalFormatting sqref="C430:D433">
    <cfRule type="expression" dxfId="113" priority="113">
      <formula>$C430="あり"</formula>
    </cfRule>
  </conditionalFormatting>
  <conditionalFormatting sqref="G436:G438">
    <cfRule type="expression" dxfId="112" priority="112" stopIfTrue="1">
      <formula>AND($E436&gt;=1,$C436="あり")</formula>
    </cfRule>
  </conditionalFormatting>
  <conditionalFormatting sqref="H435:M438">
    <cfRule type="expression" dxfId="111" priority="111" stopIfTrue="1">
      <formula>AND($F435&gt;=H$4,$C435="あり")</formula>
    </cfRule>
  </conditionalFormatting>
  <conditionalFormatting sqref="O435">
    <cfRule type="expression" dxfId="110" priority="110" stopIfTrue="1">
      <formula>$C435="あり"</formula>
    </cfRule>
  </conditionalFormatting>
  <conditionalFormatting sqref="O437">
    <cfRule type="expression" dxfId="109" priority="109" stopIfTrue="1">
      <formula>$C437="あり"</formula>
    </cfRule>
  </conditionalFormatting>
  <conditionalFormatting sqref="O438">
    <cfRule type="expression" dxfId="108" priority="108" stopIfTrue="1">
      <formula>$C438="あり"</formula>
    </cfRule>
  </conditionalFormatting>
  <conditionalFormatting sqref="N436:N438">
    <cfRule type="expression" dxfId="107" priority="107" stopIfTrue="1">
      <formula>AND($F436&gt;=7,$C436="あり")</formula>
    </cfRule>
  </conditionalFormatting>
  <conditionalFormatting sqref="N435">
    <cfRule type="expression" dxfId="106" priority="106" stopIfTrue="1">
      <formula>AND($F435&gt;=7,$C435="あり")</formula>
    </cfRule>
  </conditionalFormatting>
  <conditionalFormatting sqref="C435:D438">
    <cfRule type="expression" dxfId="105" priority="105">
      <formula>$C435="あり"</formula>
    </cfRule>
  </conditionalFormatting>
  <conditionalFormatting sqref="G441:G443">
    <cfRule type="expression" dxfId="104" priority="104" stopIfTrue="1">
      <formula>AND($E441&gt;=1,$C441="あり")</formula>
    </cfRule>
  </conditionalFormatting>
  <conditionalFormatting sqref="H440:M443">
    <cfRule type="expression" dxfId="103" priority="103" stopIfTrue="1">
      <formula>AND($F440&gt;=H$4,$C440="あり")</formula>
    </cfRule>
  </conditionalFormatting>
  <conditionalFormatting sqref="O440">
    <cfRule type="expression" dxfId="102" priority="102" stopIfTrue="1">
      <formula>$C440="あり"</formula>
    </cfRule>
  </conditionalFormatting>
  <conditionalFormatting sqref="O442">
    <cfRule type="expression" dxfId="101" priority="101" stopIfTrue="1">
      <formula>$C442="あり"</formula>
    </cfRule>
  </conditionalFormatting>
  <conditionalFormatting sqref="O443">
    <cfRule type="expression" dxfId="100" priority="100" stopIfTrue="1">
      <formula>$C443="あり"</formula>
    </cfRule>
  </conditionalFormatting>
  <conditionalFormatting sqref="N441:N443">
    <cfRule type="expression" dxfId="99" priority="99" stopIfTrue="1">
      <formula>AND($F441&gt;=7,$C441="あり")</formula>
    </cfRule>
  </conditionalFormatting>
  <conditionalFormatting sqref="N440">
    <cfRule type="expression" dxfId="98" priority="98" stopIfTrue="1">
      <formula>AND($F440&gt;=7,$C440="あり")</formula>
    </cfRule>
  </conditionalFormatting>
  <conditionalFormatting sqref="C440:D443">
    <cfRule type="expression" dxfId="97" priority="97">
      <formula>$C440="あり"</formula>
    </cfRule>
  </conditionalFormatting>
  <conditionalFormatting sqref="G446:G448">
    <cfRule type="expression" dxfId="96" priority="96" stopIfTrue="1">
      <formula>AND($E446&gt;=1,$C446="あり")</formula>
    </cfRule>
  </conditionalFormatting>
  <conditionalFormatting sqref="H445:M448">
    <cfRule type="expression" dxfId="95" priority="95" stopIfTrue="1">
      <formula>AND($F445&gt;=H$4,$C445="あり")</formula>
    </cfRule>
  </conditionalFormatting>
  <conditionalFormatting sqref="O445">
    <cfRule type="expression" dxfId="94" priority="94" stopIfTrue="1">
      <formula>$C445="あり"</formula>
    </cfRule>
  </conditionalFormatting>
  <conditionalFormatting sqref="O447">
    <cfRule type="expression" dxfId="93" priority="93" stopIfTrue="1">
      <formula>$C447="あり"</formula>
    </cfRule>
  </conditionalFormatting>
  <conditionalFormatting sqref="O448">
    <cfRule type="expression" dxfId="92" priority="92" stopIfTrue="1">
      <formula>$C448="あり"</formula>
    </cfRule>
  </conditionalFormatting>
  <conditionalFormatting sqref="N446:N448">
    <cfRule type="expression" dxfId="91" priority="91" stopIfTrue="1">
      <formula>AND($F446&gt;=7,$C446="あり")</formula>
    </cfRule>
  </conditionalFormatting>
  <conditionalFormatting sqref="N445">
    <cfRule type="expression" dxfId="90" priority="90" stopIfTrue="1">
      <formula>AND($F445&gt;=7,$C445="あり")</formula>
    </cfRule>
  </conditionalFormatting>
  <conditionalFormatting sqref="C445:D448">
    <cfRule type="expression" dxfId="89" priority="89">
      <formula>$C445="あり"</formula>
    </cfRule>
  </conditionalFormatting>
  <conditionalFormatting sqref="G451:G453">
    <cfRule type="expression" dxfId="88" priority="88" stopIfTrue="1">
      <formula>AND($E451&gt;=1,$C451="あり")</formula>
    </cfRule>
  </conditionalFormatting>
  <conditionalFormatting sqref="H450:M453">
    <cfRule type="expression" dxfId="87" priority="87" stopIfTrue="1">
      <formula>AND($F450&gt;=H$4,$C450="あり")</formula>
    </cfRule>
  </conditionalFormatting>
  <conditionalFormatting sqref="O450">
    <cfRule type="expression" dxfId="86" priority="86" stopIfTrue="1">
      <formula>$C450="あり"</formula>
    </cfRule>
  </conditionalFormatting>
  <conditionalFormatting sqref="O452">
    <cfRule type="expression" dxfId="85" priority="85" stopIfTrue="1">
      <formula>$C452="あり"</formula>
    </cfRule>
  </conditionalFormatting>
  <conditionalFormatting sqref="O453">
    <cfRule type="expression" dxfId="84" priority="84" stopIfTrue="1">
      <formula>$C453="あり"</formula>
    </cfRule>
  </conditionalFormatting>
  <conditionalFormatting sqref="N451:N453">
    <cfRule type="expression" dxfId="83" priority="83" stopIfTrue="1">
      <formula>AND($F451&gt;=7,$C451="あり")</formula>
    </cfRule>
  </conditionalFormatting>
  <conditionalFormatting sqref="N450">
    <cfRule type="expression" dxfId="82" priority="82" stopIfTrue="1">
      <formula>AND($F450&gt;=7,$C450="あり")</formula>
    </cfRule>
  </conditionalFormatting>
  <conditionalFormatting sqref="C450:D453">
    <cfRule type="expression" dxfId="81" priority="81">
      <formula>$C450="あり"</formula>
    </cfRule>
  </conditionalFormatting>
  <conditionalFormatting sqref="G456:G458">
    <cfRule type="expression" dxfId="80" priority="80" stopIfTrue="1">
      <formula>AND($E456&gt;=1,$C456="あり")</formula>
    </cfRule>
  </conditionalFormatting>
  <conditionalFormatting sqref="H455:M458">
    <cfRule type="expression" dxfId="79" priority="79" stopIfTrue="1">
      <formula>AND($F455&gt;=H$4,$C455="あり")</formula>
    </cfRule>
  </conditionalFormatting>
  <conditionalFormatting sqref="O455">
    <cfRule type="expression" dxfId="78" priority="78" stopIfTrue="1">
      <formula>$C455="あり"</formula>
    </cfRule>
  </conditionalFormatting>
  <conditionalFormatting sqref="O457">
    <cfRule type="expression" dxfId="77" priority="77" stopIfTrue="1">
      <formula>$C457="あり"</formula>
    </cfRule>
  </conditionalFormatting>
  <conditionalFormatting sqref="O458">
    <cfRule type="expression" dxfId="76" priority="76" stopIfTrue="1">
      <formula>$C458="あり"</formula>
    </cfRule>
  </conditionalFormatting>
  <conditionalFormatting sqref="N456:N458">
    <cfRule type="expression" dxfId="75" priority="75" stopIfTrue="1">
      <formula>AND($F456&gt;=7,$C456="あり")</formula>
    </cfRule>
  </conditionalFormatting>
  <conditionalFormatting sqref="N455">
    <cfRule type="expression" dxfId="74" priority="74" stopIfTrue="1">
      <formula>AND($F455&gt;=7,$C455="あり")</formula>
    </cfRule>
  </conditionalFormatting>
  <conditionalFormatting sqref="C455:D458">
    <cfRule type="expression" dxfId="73" priority="73">
      <formula>$C455="あり"</formula>
    </cfRule>
  </conditionalFormatting>
  <conditionalFormatting sqref="G461:G463">
    <cfRule type="expression" dxfId="72" priority="72" stopIfTrue="1">
      <formula>AND($E461&gt;=1,$C461="あり")</formula>
    </cfRule>
  </conditionalFormatting>
  <conditionalFormatting sqref="H460:M463">
    <cfRule type="expression" dxfId="71" priority="71" stopIfTrue="1">
      <formula>AND($F460&gt;=H$4,$C460="あり")</formula>
    </cfRule>
  </conditionalFormatting>
  <conditionalFormatting sqref="O460">
    <cfRule type="expression" dxfId="70" priority="70" stopIfTrue="1">
      <formula>$C460="あり"</formula>
    </cfRule>
  </conditionalFormatting>
  <conditionalFormatting sqref="O462">
    <cfRule type="expression" dxfId="69" priority="69" stopIfTrue="1">
      <formula>$C462="あり"</formula>
    </cfRule>
  </conditionalFormatting>
  <conditionalFormatting sqref="O463">
    <cfRule type="expression" dxfId="68" priority="68" stopIfTrue="1">
      <formula>$C463="あり"</formula>
    </cfRule>
  </conditionalFormatting>
  <conditionalFormatting sqref="N461:N463">
    <cfRule type="expression" dxfId="67" priority="67" stopIfTrue="1">
      <formula>AND($F461&gt;=7,$C461="あり")</formula>
    </cfRule>
  </conditionalFormatting>
  <conditionalFormatting sqref="N460">
    <cfRule type="expression" dxfId="66" priority="66" stopIfTrue="1">
      <formula>AND($F460&gt;=7,$C460="あり")</formula>
    </cfRule>
  </conditionalFormatting>
  <conditionalFormatting sqref="C460:D463">
    <cfRule type="expression" dxfId="65" priority="65">
      <formula>$C460="あり"</formula>
    </cfRule>
  </conditionalFormatting>
  <conditionalFormatting sqref="G466:G468">
    <cfRule type="expression" dxfId="64" priority="64" stopIfTrue="1">
      <formula>AND($E466&gt;=1,$C466="あり")</formula>
    </cfRule>
  </conditionalFormatting>
  <conditionalFormatting sqref="H465:M468">
    <cfRule type="expression" dxfId="63" priority="63" stopIfTrue="1">
      <formula>AND($F465&gt;=H$4,$C465="あり")</formula>
    </cfRule>
  </conditionalFormatting>
  <conditionalFormatting sqref="O465">
    <cfRule type="expression" dxfId="62" priority="62" stopIfTrue="1">
      <formula>$C465="あり"</formula>
    </cfRule>
  </conditionalFormatting>
  <conditionalFormatting sqref="O467">
    <cfRule type="expression" dxfId="61" priority="61" stopIfTrue="1">
      <formula>$C467="あり"</formula>
    </cfRule>
  </conditionalFormatting>
  <conditionalFormatting sqref="O468">
    <cfRule type="expression" dxfId="60" priority="60" stopIfTrue="1">
      <formula>$C468="あり"</formula>
    </cfRule>
  </conditionalFormatting>
  <conditionalFormatting sqref="N466:N468">
    <cfRule type="expression" dxfId="59" priority="59" stopIfTrue="1">
      <formula>AND($F466&gt;=7,$C466="あり")</formula>
    </cfRule>
  </conditionalFormatting>
  <conditionalFormatting sqref="N465">
    <cfRule type="expression" dxfId="58" priority="58" stopIfTrue="1">
      <formula>AND($F465&gt;=7,$C465="あり")</formula>
    </cfRule>
  </conditionalFormatting>
  <conditionalFormatting sqref="C465:D468">
    <cfRule type="expression" dxfId="57" priority="57">
      <formula>$C465="あり"</formula>
    </cfRule>
  </conditionalFormatting>
  <conditionalFormatting sqref="G471:G473">
    <cfRule type="expression" dxfId="56" priority="56" stopIfTrue="1">
      <formula>AND($E471&gt;=1,$C471="あり")</formula>
    </cfRule>
  </conditionalFormatting>
  <conditionalFormatting sqref="H470:M473">
    <cfRule type="expression" dxfId="55" priority="55" stopIfTrue="1">
      <formula>AND($F470&gt;=H$4,$C470="あり")</formula>
    </cfRule>
  </conditionalFormatting>
  <conditionalFormatting sqref="O470">
    <cfRule type="expression" dxfId="54" priority="54" stopIfTrue="1">
      <formula>$C470="あり"</formula>
    </cfRule>
  </conditionalFormatting>
  <conditionalFormatting sqref="O472">
    <cfRule type="expression" dxfId="53" priority="53" stopIfTrue="1">
      <formula>$C472="あり"</formula>
    </cfRule>
  </conditionalFormatting>
  <conditionalFormatting sqref="O473">
    <cfRule type="expression" dxfId="52" priority="52" stopIfTrue="1">
      <formula>$C473="あり"</formula>
    </cfRule>
  </conditionalFormatting>
  <conditionalFormatting sqref="N471:N473">
    <cfRule type="expression" dxfId="51" priority="51" stopIfTrue="1">
      <formula>AND($F471&gt;=7,$C471="あり")</formula>
    </cfRule>
  </conditionalFormatting>
  <conditionalFormatting sqref="N470">
    <cfRule type="expression" dxfId="50" priority="50" stopIfTrue="1">
      <formula>AND($F470&gt;=7,$C470="あり")</formula>
    </cfRule>
  </conditionalFormatting>
  <conditionalFormatting sqref="C470:D473">
    <cfRule type="expression" dxfId="49" priority="49">
      <formula>$C470="あり"</formula>
    </cfRule>
  </conditionalFormatting>
  <conditionalFormatting sqref="G476:G478">
    <cfRule type="expression" dxfId="48" priority="48" stopIfTrue="1">
      <formula>AND($E476&gt;=1,$C476="あり")</formula>
    </cfRule>
  </conditionalFormatting>
  <conditionalFormatting sqref="H475:M478">
    <cfRule type="expression" dxfId="47" priority="47" stopIfTrue="1">
      <formula>AND($F475&gt;=H$4,$C475="あり")</formula>
    </cfRule>
  </conditionalFormatting>
  <conditionalFormatting sqref="O475">
    <cfRule type="expression" dxfId="46" priority="46" stopIfTrue="1">
      <formula>$C475="あり"</formula>
    </cfRule>
  </conditionalFormatting>
  <conditionalFormatting sqref="O477">
    <cfRule type="expression" dxfId="45" priority="45" stopIfTrue="1">
      <formula>$C477="あり"</formula>
    </cfRule>
  </conditionalFormatting>
  <conditionalFormatting sqref="O478">
    <cfRule type="expression" dxfId="44" priority="44" stopIfTrue="1">
      <formula>$C478="あり"</formula>
    </cfRule>
  </conditionalFormatting>
  <conditionalFormatting sqref="N476:N478">
    <cfRule type="expression" dxfId="43" priority="43" stopIfTrue="1">
      <formula>AND($F476&gt;=7,$C476="あり")</formula>
    </cfRule>
  </conditionalFormatting>
  <conditionalFormatting sqref="N475">
    <cfRule type="expression" dxfId="42" priority="42" stopIfTrue="1">
      <formula>AND($F475&gt;=7,$C475="あり")</formula>
    </cfRule>
  </conditionalFormatting>
  <conditionalFormatting sqref="C475:D478">
    <cfRule type="expression" dxfId="41" priority="41">
      <formula>$C475="あり"</formula>
    </cfRule>
  </conditionalFormatting>
  <conditionalFormatting sqref="G481:G483">
    <cfRule type="expression" dxfId="40" priority="40" stopIfTrue="1">
      <formula>AND($E481&gt;=1,$C481="あり")</formula>
    </cfRule>
  </conditionalFormatting>
  <conditionalFormatting sqref="H480:M483">
    <cfRule type="expression" dxfId="39" priority="39" stopIfTrue="1">
      <formula>AND($F480&gt;=H$4,$C480="あり")</formula>
    </cfRule>
  </conditionalFormatting>
  <conditionalFormatting sqref="O480">
    <cfRule type="expression" dxfId="38" priority="38" stopIfTrue="1">
      <formula>$C480="あり"</formula>
    </cfRule>
  </conditionalFormatting>
  <conditionalFormatting sqref="O482">
    <cfRule type="expression" dxfId="37" priority="37" stopIfTrue="1">
      <formula>$C482="あり"</formula>
    </cfRule>
  </conditionalFormatting>
  <conditionalFormatting sqref="O483">
    <cfRule type="expression" dxfId="36" priority="36" stopIfTrue="1">
      <formula>$C483="あり"</formula>
    </cfRule>
  </conditionalFormatting>
  <conditionalFormatting sqref="N481:N483">
    <cfRule type="expression" dxfId="35" priority="35" stopIfTrue="1">
      <formula>AND($F481&gt;=7,$C481="あり")</formula>
    </cfRule>
  </conditionalFormatting>
  <conditionalFormatting sqref="N480">
    <cfRule type="expression" dxfId="34" priority="34" stopIfTrue="1">
      <formula>AND($F480&gt;=7,$C480="あり")</formula>
    </cfRule>
  </conditionalFormatting>
  <conditionalFormatting sqref="C480:D483">
    <cfRule type="expression" dxfId="33" priority="33">
      <formula>$C480="あり"</formula>
    </cfRule>
  </conditionalFormatting>
  <conditionalFormatting sqref="G486:G488">
    <cfRule type="expression" dxfId="32" priority="32" stopIfTrue="1">
      <formula>AND($E486&gt;=1,$C486="あり")</formula>
    </cfRule>
  </conditionalFormatting>
  <conditionalFormatting sqref="H485:M488">
    <cfRule type="expression" dxfId="31" priority="31" stopIfTrue="1">
      <formula>AND($F485&gt;=H$4,$C485="あり")</formula>
    </cfRule>
  </conditionalFormatting>
  <conditionalFormatting sqref="O485">
    <cfRule type="expression" dxfId="30" priority="30" stopIfTrue="1">
      <formula>$C485="あり"</formula>
    </cfRule>
  </conditionalFormatting>
  <conditionalFormatting sqref="O487">
    <cfRule type="expression" dxfId="29" priority="29" stopIfTrue="1">
      <formula>$C487="あり"</formula>
    </cfRule>
  </conditionalFormatting>
  <conditionalFormatting sqref="O488">
    <cfRule type="expression" dxfId="28" priority="28" stopIfTrue="1">
      <formula>$C488="あり"</formula>
    </cfRule>
  </conditionalFormatting>
  <conditionalFormatting sqref="N486:N488">
    <cfRule type="expression" dxfId="27" priority="27" stopIfTrue="1">
      <formula>AND($F486&gt;=7,$C486="あり")</formula>
    </cfRule>
  </conditionalFormatting>
  <conditionalFormatting sqref="N485">
    <cfRule type="expression" dxfId="26" priority="26" stopIfTrue="1">
      <formula>AND($F485&gt;=7,$C485="あり")</formula>
    </cfRule>
  </conditionalFormatting>
  <conditionalFormatting sqref="C485:D488">
    <cfRule type="expression" dxfId="25" priority="25">
      <formula>$C485="あり"</formula>
    </cfRule>
  </conditionalFormatting>
  <conditionalFormatting sqref="G491:G493">
    <cfRule type="expression" dxfId="24" priority="24" stopIfTrue="1">
      <formula>AND($E491&gt;=1,$C491="あり")</formula>
    </cfRule>
  </conditionalFormatting>
  <conditionalFormatting sqref="H490:M493">
    <cfRule type="expression" dxfId="23" priority="23" stopIfTrue="1">
      <formula>AND($F490&gt;=H$4,$C490="あり")</formula>
    </cfRule>
  </conditionalFormatting>
  <conditionalFormatting sqref="O490">
    <cfRule type="expression" dxfId="22" priority="22" stopIfTrue="1">
      <formula>$C490="あり"</formula>
    </cfRule>
  </conditionalFormatting>
  <conditionalFormatting sqref="O492">
    <cfRule type="expression" dxfId="21" priority="21" stopIfTrue="1">
      <formula>$C492="あり"</formula>
    </cfRule>
  </conditionalFormatting>
  <conditionalFormatting sqref="O493">
    <cfRule type="expression" dxfId="20" priority="20" stopIfTrue="1">
      <formula>$C493="あり"</formula>
    </cfRule>
  </conditionalFormatting>
  <conditionalFormatting sqref="N491:N493">
    <cfRule type="expression" dxfId="19" priority="19" stopIfTrue="1">
      <formula>AND($F491&gt;=7,$C491="あり")</formula>
    </cfRule>
  </conditionalFormatting>
  <conditionalFormatting sqref="N490">
    <cfRule type="expression" dxfId="18" priority="18" stopIfTrue="1">
      <formula>AND($F490&gt;=7,$C490="あり")</formula>
    </cfRule>
  </conditionalFormatting>
  <conditionalFormatting sqref="C490:D493">
    <cfRule type="expression" dxfId="17" priority="17">
      <formula>$C490="あり"</formula>
    </cfRule>
  </conditionalFormatting>
  <conditionalFormatting sqref="G496:G498">
    <cfRule type="expression" dxfId="16" priority="16" stopIfTrue="1">
      <formula>AND($E496&gt;=1,$C496="あり")</formula>
    </cfRule>
  </conditionalFormatting>
  <conditionalFormatting sqref="H495:M498">
    <cfRule type="expression" dxfId="15" priority="15" stopIfTrue="1">
      <formula>AND($F495&gt;=H$4,$C495="あり")</formula>
    </cfRule>
  </conditionalFormatting>
  <conditionalFormatting sqref="O495">
    <cfRule type="expression" dxfId="14" priority="14" stopIfTrue="1">
      <formula>$C495="あり"</formula>
    </cfRule>
  </conditionalFormatting>
  <conditionalFormatting sqref="O497">
    <cfRule type="expression" dxfId="13" priority="13" stopIfTrue="1">
      <formula>$C497="あり"</formula>
    </cfRule>
  </conditionalFormatting>
  <conditionalFormatting sqref="O498">
    <cfRule type="expression" dxfId="12" priority="12" stopIfTrue="1">
      <formula>$C498="あり"</formula>
    </cfRule>
  </conditionalFormatting>
  <conditionalFormatting sqref="N496:N498">
    <cfRule type="expression" dxfId="11" priority="11" stopIfTrue="1">
      <formula>AND($F496&gt;=7,$C496="あり")</formula>
    </cfRule>
  </conditionalFormatting>
  <conditionalFormatting sqref="N495">
    <cfRule type="expression" dxfId="10" priority="10" stopIfTrue="1">
      <formula>AND($F495&gt;=7,$C495="あり")</formula>
    </cfRule>
  </conditionalFormatting>
  <conditionalFormatting sqref="C495:D498">
    <cfRule type="expression" dxfId="9" priority="9">
      <formula>$C495="あり"</formula>
    </cfRule>
  </conditionalFormatting>
  <conditionalFormatting sqref="G501:G503">
    <cfRule type="expression" dxfId="8" priority="8" stopIfTrue="1">
      <formula>AND($E501&gt;=1,$C501="あり")</formula>
    </cfRule>
  </conditionalFormatting>
  <conditionalFormatting sqref="H500:M503">
    <cfRule type="expression" dxfId="7" priority="7" stopIfTrue="1">
      <formula>AND($F500&gt;=H$4,$C500="あり")</formula>
    </cfRule>
  </conditionalFormatting>
  <conditionalFormatting sqref="O500">
    <cfRule type="expression" dxfId="6" priority="6" stopIfTrue="1">
      <formula>$C500="あり"</formula>
    </cfRule>
  </conditionalFormatting>
  <conditionalFormatting sqref="O502">
    <cfRule type="expression" dxfId="5" priority="5" stopIfTrue="1">
      <formula>$C502="あり"</formula>
    </cfRule>
  </conditionalFormatting>
  <conditionalFormatting sqref="O503">
    <cfRule type="expression" dxfId="4" priority="4" stopIfTrue="1">
      <formula>$C503="あり"</formula>
    </cfRule>
  </conditionalFormatting>
  <conditionalFormatting sqref="N501:N503">
    <cfRule type="expression" dxfId="3" priority="3" stopIfTrue="1">
      <formula>AND($F501&gt;=7,$C501="あり")</formula>
    </cfRule>
  </conditionalFormatting>
  <conditionalFormatting sqref="N500">
    <cfRule type="expression" dxfId="2" priority="2" stopIfTrue="1">
      <formula>AND($F500&gt;=7,$C500="あり")</formula>
    </cfRule>
  </conditionalFormatting>
  <conditionalFormatting sqref="C500:D503">
    <cfRule type="expression" dxfId="1" priority="1">
      <formula>$C500="あり"</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412"/>
  <sheetViews>
    <sheetView zoomScaleNormal="100" workbookViewId="0"/>
  </sheetViews>
  <sheetFormatPr defaultRowHeight="13.5" x14ac:dyDescent="0.15"/>
  <cols>
    <col min="1" max="1" width="5.625" bestFit="1" customWidth="1"/>
    <col min="4" max="4" width="14.75" bestFit="1" customWidth="1"/>
    <col min="6" max="6" width="9.25" bestFit="1" customWidth="1"/>
    <col min="8" max="8" width="9" style="91"/>
    <col min="10" max="10" width="9" style="91"/>
    <col min="11" max="11" width="9" customWidth="1"/>
  </cols>
  <sheetData>
    <row r="1" spans="1:11" x14ac:dyDescent="0.15">
      <c r="B1" s="58" t="s">
        <v>225</v>
      </c>
      <c r="C1" s="58"/>
      <c r="D1" s="58"/>
      <c r="E1" s="58"/>
      <c r="F1" s="58"/>
      <c r="G1" s="58"/>
      <c r="H1" s="58">
        <f>COLUMN()</f>
        <v>8</v>
      </c>
      <c r="I1" s="58"/>
      <c r="J1" s="58">
        <f>COLUMN()</f>
        <v>10</v>
      </c>
      <c r="K1" s="58"/>
    </row>
    <row r="2" spans="1:11" x14ac:dyDescent="0.15">
      <c r="A2" s="58" t="s">
        <v>223</v>
      </c>
      <c r="B2" t="s">
        <v>1</v>
      </c>
      <c r="C2" t="s">
        <v>38</v>
      </c>
      <c r="D2" t="s">
        <v>112</v>
      </c>
      <c r="E2" t="s">
        <v>97</v>
      </c>
      <c r="F2" t="s">
        <v>48</v>
      </c>
      <c r="G2" t="s">
        <v>217</v>
      </c>
      <c r="H2" s="91" t="s">
        <v>244</v>
      </c>
      <c r="I2" t="s">
        <v>218</v>
      </c>
      <c r="J2" s="91" t="s">
        <v>245</v>
      </c>
    </row>
    <row r="3" spans="1:11" x14ac:dyDescent="0.15">
      <c r="A3" s="58">
        <f>ROW()</f>
        <v>3</v>
      </c>
      <c r="B3" s="85" t="str">
        <f t="shared" ref="B3:B66" ca="1" si="0">IF(D3&lt;&gt;"","●","")</f>
        <v/>
      </c>
      <c r="C3" s="85" t="s">
        <v>255</v>
      </c>
      <c r="D3" s="85" t="str">
        <f ca="1">OFFSET(④結果出力!$D$14,MATCH(③各部被害関数計算結果!$C3,④結果出力!$C$14:$C$113,0)-1,0)</f>
        <v/>
      </c>
      <c r="E3" s="85" t="s">
        <v>30</v>
      </c>
      <c r="F3" s="86" t="str">
        <f ca="1">OFFSET(④結果出力!$D$14,MATCH(③各部被害関数計算結果!$C3,④結果出力!$C$14:$C$113,0)-1,3)</f>
        <v/>
      </c>
      <c r="G3" s="86" t="str">
        <f ca="1">OFFSET(④結果出力!$D$14,MATCH(③各部被害関数計算結果!$C3,④結果出力!$C$14:$C$113,0)-1,1)</f>
        <v/>
      </c>
      <c r="H3" s="92"/>
      <c r="I3" s="86" t="str">
        <f ca="1">OFFSET(④結果出力!$D$14,MATCH(③各部被害関数計算結果!$C3,④結果出力!$C$14:$C$113,0)-1,2)</f>
        <v/>
      </c>
      <c r="J3" s="92"/>
    </row>
    <row r="4" spans="1:11" x14ac:dyDescent="0.15">
      <c r="A4" s="58">
        <f>ROW()</f>
        <v>4</v>
      </c>
      <c r="B4" s="85" t="str">
        <f t="shared" ca="1" si="0"/>
        <v/>
      </c>
      <c r="C4" s="85" t="s">
        <v>255</v>
      </c>
      <c r="D4" s="85" t="str">
        <f ca="1">OFFSET(④結果出力!$D$14,MATCH(③各部被害関数計算結果!$C4,④結果出力!$C$14:$C$113,0)-1,0)</f>
        <v/>
      </c>
      <c r="E4" s="85" t="s">
        <v>33</v>
      </c>
      <c r="F4" s="86" t="str">
        <f ca="1">OFFSET(④結果出力!$D$14,MATCH(③各部被害関数計算結果!$C4,④結果出力!$C$14:$C$113,0)-1,8)</f>
        <v/>
      </c>
      <c r="G4" s="86" t="str">
        <f ca="1">OFFSET(④結果出力!$D$14,MATCH(③各部被害関数計算結果!$C4,④結果出力!$C$14:$C$113,0)-1,1)</f>
        <v/>
      </c>
      <c r="H4" s="92"/>
      <c r="I4" s="86" t="str">
        <f ca="1">OFFSET(④結果出力!$D$14,MATCH(③各部被害関数計算結果!$C4,④結果出力!$C$14:$C$113,0)-1,2)</f>
        <v/>
      </c>
      <c r="J4" s="92"/>
    </row>
    <row r="5" spans="1:11" x14ac:dyDescent="0.15">
      <c r="A5" s="58">
        <f>ROW()</f>
        <v>5</v>
      </c>
      <c r="B5" s="85" t="str">
        <f t="shared" ca="1" si="0"/>
        <v/>
      </c>
      <c r="C5" s="85" t="s">
        <v>255</v>
      </c>
      <c r="D5" s="85" t="str">
        <f ca="1">OFFSET(④結果出力!$D$14,MATCH(③各部被害関数計算結果!$C5,④結果出力!$C$14:$C$113,0)-1,0)</f>
        <v/>
      </c>
      <c r="E5" s="85" t="s">
        <v>118</v>
      </c>
      <c r="F5" s="86" t="str">
        <f ca="1">OFFSET(④結果出力!$D$14,MATCH(③各部被害関数計算結果!$C5,④結果出力!$C$14:$C$1133,0)-1,13)</f>
        <v/>
      </c>
      <c r="G5" s="86" t="str">
        <f ca="1">OFFSET(④結果出力!$D$14,MATCH(③各部被害関数計算結果!$C5,④結果出力!$C$14:$C$113,0)-1,1)</f>
        <v/>
      </c>
      <c r="H5" s="92"/>
      <c r="I5" s="86" t="str">
        <f ca="1">OFFSET(④結果出力!$D$14,MATCH(③各部被害関数計算結果!$C5,④結果出力!$C$14:$C$113,0)-1,2)</f>
        <v/>
      </c>
      <c r="J5" s="92"/>
    </row>
    <row r="6" spans="1:11" x14ac:dyDescent="0.15">
      <c r="A6" s="58">
        <f>ROW()</f>
        <v>6</v>
      </c>
      <c r="B6" s="85" t="str">
        <f t="shared" ca="1" si="0"/>
        <v/>
      </c>
      <c r="C6" s="85" t="s">
        <v>255</v>
      </c>
      <c r="D6" s="85" t="str">
        <f ca="1">OFFSET(④結果出力!$D$14,MATCH(③各部被害関数計算結果!$C6,④結果出力!$C$14:$C$113,0)-1,0)</f>
        <v/>
      </c>
      <c r="E6" s="85" t="s">
        <v>53</v>
      </c>
      <c r="F6" s="86" t="str">
        <f ca="1">OFFSET(④結果出力!$D$14,MATCH(③各部被害関数計算結果!$C6,④結果出力!$C$14:$C$113,0)-1,18)</f>
        <v/>
      </c>
      <c r="G6" s="86" t="str">
        <f ca="1">OFFSET(④結果出力!$D$14,MATCH(③各部被害関数計算結果!$C6,④結果出力!$C$14:$C$113,0)-1,1)</f>
        <v/>
      </c>
      <c r="H6" s="92"/>
      <c r="I6" s="86" t="str">
        <f ca="1">OFFSET(④結果出力!$D$14,MATCH(③各部被害関数計算結果!$C6,④結果出力!$C$14:$C$113,0)-1,2)</f>
        <v/>
      </c>
      <c r="J6" s="92"/>
    </row>
    <row r="7" spans="1:11" x14ac:dyDescent="0.15">
      <c r="A7" s="58">
        <f>ROW()</f>
        <v>7</v>
      </c>
      <c r="B7" s="85" t="str">
        <f t="shared" ca="1" si="0"/>
        <v/>
      </c>
      <c r="C7" s="85" t="s">
        <v>120</v>
      </c>
      <c r="D7" s="85" t="str">
        <f ca="1">OFFSET(④結果出力!$D$14,MATCH(③各部被害関数計算結果!$C7,④結果出力!$C$14:$C$113,0)-1,0)</f>
        <v/>
      </c>
      <c r="E7" s="85" t="s">
        <v>30</v>
      </c>
      <c r="F7" s="86" t="str">
        <f ca="1">OFFSET(④結果出力!$D$14,MATCH(③各部被害関数計算結果!$C7,④結果出力!$C$14:$C$113,0)-1,3)</f>
        <v/>
      </c>
      <c r="G7" s="86" t="str">
        <f ca="1">OFFSET(④結果出力!$D$14,MATCH(③各部被害関数計算結果!$C7,④結果出力!$C$14:$C$113,0)-1,1)</f>
        <v/>
      </c>
      <c r="H7" s="92"/>
      <c r="I7" s="86" t="str">
        <f ca="1">OFFSET(④結果出力!$D$14,MATCH(③各部被害関数計算結果!$C7,④結果出力!$C$14:$C$113,0)-1,2)</f>
        <v/>
      </c>
      <c r="J7" s="92"/>
    </row>
    <row r="8" spans="1:11" x14ac:dyDescent="0.15">
      <c r="A8" s="58">
        <f>ROW()</f>
        <v>8</v>
      </c>
      <c r="B8" s="85" t="str">
        <f t="shared" ca="1" si="0"/>
        <v/>
      </c>
      <c r="C8" s="85" t="s">
        <v>120</v>
      </c>
      <c r="D8" s="85" t="str">
        <f ca="1">OFFSET(④結果出力!$D$14,MATCH(③各部被害関数計算結果!$C8,④結果出力!$C$14:$C$113,0)-1,0)</f>
        <v/>
      </c>
      <c r="E8" s="85" t="s">
        <v>33</v>
      </c>
      <c r="F8" s="86" t="str">
        <f ca="1">OFFSET(④結果出力!$D$14,MATCH(③各部被害関数計算結果!$C8,④結果出力!$C$14:$C$113,0)-1,8)</f>
        <v/>
      </c>
      <c r="G8" s="86" t="str">
        <f ca="1">OFFSET(④結果出力!$D$14,MATCH(③各部被害関数計算結果!$C8,④結果出力!$C$14:$C$113,0)-1,1)</f>
        <v/>
      </c>
      <c r="H8" s="92"/>
      <c r="I8" s="86" t="str">
        <f ca="1">OFFSET(④結果出力!$D$14,MATCH(③各部被害関数計算結果!$C8,④結果出力!$C$14:$C$113,0)-1,2)</f>
        <v/>
      </c>
      <c r="J8" s="92"/>
    </row>
    <row r="9" spans="1:11" x14ac:dyDescent="0.15">
      <c r="A9" s="58">
        <f>ROW()</f>
        <v>9</v>
      </c>
      <c r="B9" s="85" t="str">
        <f t="shared" ca="1" si="0"/>
        <v/>
      </c>
      <c r="C9" s="85" t="s">
        <v>120</v>
      </c>
      <c r="D9" s="85" t="str">
        <f ca="1">OFFSET(④結果出力!$D$14,MATCH(③各部被害関数計算結果!$C9,④結果出力!$C$14:$C$113,0)-1,0)</f>
        <v/>
      </c>
      <c r="E9" s="85" t="s">
        <v>118</v>
      </c>
      <c r="F9" s="86" t="str">
        <f ca="1">OFFSET(④結果出力!$D$14,MATCH(③各部被害関数計算結果!$C9,④結果出力!$C$14:$C$1133,0)-1,13)</f>
        <v/>
      </c>
      <c r="G9" s="86" t="str">
        <f ca="1">OFFSET(④結果出力!$D$14,MATCH(③各部被害関数計算結果!$C9,④結果出力!$C$14:$C$113,0)-1,1)</f>
        <v/>
      </c>
      <c r="H9" s="92"/>
      <c r="I9" s="86" t="str">
        <f ca="1">OFFSET(④結果出力!$D$14,MATCH(③各部被害関数計算結果!$C9,④結果出力!$C$14:$C$113,0)-1,2)</f>
        <v/>
      </c>
      <c r="J9" s="92"/>
    </row>
    <row r="10" spans="1:11" x14ac:dyDescent="0.15">
      <c r="A10" s="58">
        <f>ROW()</f>
        <v>10</v>
      </c>
      <c r="B10" s="85" t="str">
        <f t="shared" ca="1" si="0"/>
        <v/>
      </c>
      <c r="C10" s="85" t="s">
        <v>120</v>
      </c>
      <c r="D10" s="85" t="str">
        <f ca="1">OFFSET(④結果出力!$D$14,MATCH(③各部被害関数計算結果!$C10,④結果出力!$C$14:$C$113,0)-1,0)</f>
        <v/>
      </c>
      <c r="E10" s="85" t="s">
        <v>53</v>
      </c>
      <c r="F10" s="86" t="str">
        <f ca="1">OFFSET(④結果出力!$D$14,MATCH(③各部被害関数計算結果!$C10,④結果出力!$C$14:$C$113,0)-1,18)</f>
        <v/>
      </c>
      <c r="G10" s="86" t="str">
        <f ca="1">OFFSET(④結果出力!$D$14,MATCH(③各部被害関数計算結果!$C10,④結果出力!$C$14:$C$113,0)-1,1)</f>
        <v/>
      </c>
      <c r="H10" s="92"/>
      <c r="I10" s="86" t="str">
        <f ca="1">OFFSET(④結果出力!$D$14,MATCH(③各部被害関数計算結果!$C10,④結果出力!$C$14:$C$113,0)-1,2)</f>
        <v/>
      </c>
      <c r="J10" s="92"/>
    </row>
    <row r="11" spans="1:11" x14ac:dyDescent="0.15">
      <c r="A11" s="58">
        <f>ROW()</f>
        <v>11</v>
      </c>
      <c r="B11" s="85" t="str">
        <f t="shared" ca="1" si="0"/>
        <v/>
      </c>
      <c r="C11" s="85" t="s">
        <v>122</v>
      </c>
      <c r="D11" s="85" t="str">
        <f ca="1">OFFSET(④結果出力!$D$14,MATCH(③各部被害関数計算結果!$C11,④結果出力!$C$14:$C$113,0)-1,0)</f>
        <v/>
      </c>
      <c r="E11" s="85" t="s">
        <v>30</v>
      </c>
      <c r="F11" s="86" t="str">
        <f ca="1">OFFSET(④結果出力!$D$14,MATCH(③各部被害関数計算結果!$C11,④結果出力!$C$14:$C$113,0)-1,3)</f>
        <v/>
      </c>
      <c r="G11" s="86" t="str">
        <f ca="1">OFFSET(④結果出力!$D$14,MATCH(③各部被害関数計算結果!$C11,④結果出力!$C$14:$C$113,0)-1,1)</f>
        <v/>
      </c>
      <c r="H11" s="92"/>
      <c r="I11" s="86" t="str">
        <f ca="1">OFFSET(④結果出力!$D$14,MATCH(③各部被害関数計算結果!$C11,④結果出力!$C$14:$C$113,0)-1,2)</f>
        <v/>
      </c>
      <c r="J11" s="92"/>
    </row>
    <row r="12" spans="1:11" x14ac:dyDescent="0.15">
      <c r="A12" s="58">
        <f>ROW()</f>
        <v>12</v>
      </c>
      <c r="B12" s="85" t="str">
        <f t="shared" ca="1" si="0"/>
        <v/>
      </c>
      <c r="C12" s="85" t="s">
        <v>122</v>
      </c>
      <c r="D12" s="85" t="str">
        <f ca="1">OFFSET(④結果出力!$D$14,MATCH(③各部被害関数計算結果!$C12,④結果出力!$C$14:$C$113,0)-1,0)</f>
        <v/>
      </c>
      <c r="E12" s="85" t="s">
        <v>33</v>
      </c>
      <c r="F12" s="86" t="str">
        <f ca="1">OFFSET(④結果出力!$D$14,MATCH(③各部被害関数計算結果!$C12,④結果出力!$C$14:$C$113,0)-1,8)</f>
        <v/>
      </c>
      <c r="G12" s="86" t="str">
        <f ca="1">OFFSET(④結果出力!$D$14,MATCH(③各部被害関数計算結果!$C12,④結果出力!$C$14:$C$113,0)-1,1)</f>
        <v/>
      </c>
      <c r="H12" s="92"/>
      <c r="I12" s="86" t="str">
        <f ca="1">OFFSET(④結果出力!$D$14,MATCH(③各部被害関数計算結果!$C12,④結果出力!$C$14:$C$113,0)-1,2)</f>
        <v/>
      </c>
      <c r="J12" s="92"/>
    </row>
    <row r="13" spans="1:11" x14ac:dyDescent="0.15">
      <c r="A13" s="58">
        <f>ROW()</f>
        <v>13</v>
      </c>
      <c r="B13" s="85" t="str">
        <f t="shared" ca="1" si="0"/>
        <v/>
      </c>
      <c r="C13" s="85" t="s">
        <v>122</v>
      </c>
      <c r="D13" s="85" t="str">
        <f ca="1">OFFSET(④結果出力!$D$14,MATCH(③各部被害関数計算結果!$C13,④結果出力!$C$14:$C$113,0)-1,0)</f>
        <v/>
      </c>
      <c r="E13" s="85" t="s">
        <v>118</v>
      </c>
      <c r="F13" s="86" t="str">
        <f ca="1">OFFSET(④結果出力!$D$14,MATCH(③各部被害関数計算結果!$C13,④結果出力!$C$14:$C$1133,0)-1,13)</f>
        <v/>
      </c>
      <c r="G13" s="86" t="str">
        <f ca="1">OFFSET(④結果出力!$D$14,MATCH(③各部被害関数計算結果!$C13,④結果出力!$C$14:$C$113,0)-1,1)</f>
        <v/>
      </c>
      <c r="H13" s="92"/>
      <c r="I13" s="86" t="str">
        <f ca="1">OFFSET(④結果出力!$D$14,MATCH(③各部被害関数計算結果!$C13,④結果出力!$C$14:$C$113,0)-1,2)</f>
        <v/>
      </c>
      <c r="J13" s="92"/>
    </row>
    <row r="14" spans="1:11" x14ac:dyDescent="0.15">
      <c r="A14" s="58">
        <f>ROW()</f>
        <v>14</v>
      </c>
      <c r="B14" s="85" t="str">
        <f t="shared" ca="1" si="0"/>
        <v/>
      </c>
      <c r="C14" s="85" t="s">
        <v>122</v>
      </c>
      <c r="D14" s="85" t="str">
        <f ca="1">OFFSET(④結果出力!$D$14,MATCH(③各部被害関数計算結果!$C14,④結果出力!$C$14:$C$113,0)-1,0)</f>
        <v/>
      </c>
      <c r="E14" s="85" t="s">
        <v>53</v>
      </c>
      <c r="F14" s="86" t="str">
        <f ca="1">OFFSET(④結果出力!$D$14,MATCH(③各部被害関数計算結果!$C14,④結果出力!$C$14:$C$113,0)-1,18)</f>
        <v/>
      </c>
      <c r="G14" s="86" t="str">
        <f ca="1">OFFSET(④結果出力!$D$14,MATCH(③各部被害関数計算結果!$C14,④結果出力!$C$14:$C$113,0)-1,1)</f>
        <v/>
      </c>
      <c r="H14" s="92"/>
      <c r="I14" s="86" t="str">
        <f ca="1">OFFSET(④結果出力!$D$14,MATCH(③各部被害関数計算結果!$C14,④結果出力!$C$14:$C$113,0)-1,2)</f>
        <v/>
      </c>
      <c r="J14" s="92"/>
    </row>
    <row r="15" spans="1:11" x14ac:dyDescent="0.15">
      <c r="A15" s="58">
        <f>ROW()</f>
        <v>15</v>
      </c>
      <c r="B15" s="85" t="str">
        <f t="shared" ca="1" si="0"/>
        <v/>
      </c>
      <c r="C15" s="85" t="s">
        <v>113</v>
      </c>
      <c r="D15" s="85" t="str">
        <f ca="1">OFFSET(④結果出力!$D$14,MATCH(③各部被害関数計算結果!$C15,④結果出力!$C$14:$C$113,0)-1,0)</f>
        <v/>
      </c>
      <c r="E15" s="85" t="s">
        <v>30</v>
      </c>
      <c r="F15" s="86" t="str">
        <f ca="1">OFFSET(④結果出力!$D$14,MATCH(③各部被害関数計算結果!$C15,④結果出力!$C$14:$C$113,0)-1,3)</f>
        <v/>
      </c>
      <c r="G15" s="86" t="str">
        <f ca="1">OFFSET(④結果出力!$D$14,MATCH(③各部被害関数計算結果!$C15,④結果出力!$C$14:$C$113,0)-1,1)</f>
        <v/>
      </c>
      <c r="H15" s="92"/>
      <c r="I15" s="86" t="str">
        <f ca="1">OFFSET(④結果出力!$D$14,MATCH(③各部被害関数計算結果!$C15,④結果出力!$C$14:$C$113,0)-1,2)</f>
        <v/>
      </c>
      <c r="J15" s="92"/>
    </row>
    <row r="16" spans="1:11" x14ac:dyDescent="0.15">
      <c r="A16" s="58">
        <f>ROW()</f>
        <v>16</v>
      </c>
      <c r="B16" s="85" t="str">
        <f t="shared" ca="1" si="0"/>
        <v/>
      </c>
      <c r="C16" s="85" t="s">
        <v>113</v>
      </c>
      <c r="D16" s="85" t="str">
        <f ca="1">OFFSET(④結果出力!$D$14,MATCH(③各部被害関数計算結果!$C16,④結果出力!$C$14:$C$113,0)-1,0)</f>
        <v/>
      </c>
      <c r="E16" s="85" t="s">
        <v>33</v>
      </c>
      <c r="F16" s="86" t="str">
        <f ca="1">OFFSET(④結果出力!$D$14,MATCH(③各部被害関数計算結果!$C16,④結果出力!$C$14:$C$113,0)-1,8)</f>
        <v/>
      </c>
      <c r="G16" s="86" t="str">
        <f ca="1">OFFSET(④結果出力!$D$14,MATCH(③各部被害関数計算結果!$C16,④結果出力!$C$14:$C$113,0)-1,1)</f>
        <v/>
      </c>
      <c r="H16" s="92"/>
      <c r="I16" s="86" t="str">
        <f ca="1">OFFSET(④結果出力!$D$14,MATCH(③各部被害関数計算結果!$C16,④結果出力!$C$14:$C$113,0)-1,2)</f>
        <v/>
      </c>
      <c r="J16" s="92"/>
    </row>
    <row r="17" spans="1:10" x14ac:dyDescent="0.15">
      <c r="A17" s="58">
        <f>ROW()</f>
        <v>17</v>
      </c>
      <c r="B17" s="85" t="str">
        <f t="shared" ca="1" si="0"/>
        <v/>
      </c>
      <c r="C17" s="85" t="s">
        <v>113</v>
      </c>
      <c r="D17" s="85" t="str">
        <f ca="1">OFFSET(④結果出力!$D$14,MATCH(③各部被害関数計算結果!$C17,④結果出力!$C$14:$C$113,0)-1,0)</f>
        <v/>
      </c>
      <c r="E17" s="85" t="s">
        <v>118</v>
      </c>
      <c r="F17" s="86" t="str">
        <f ca="1">OFFSET(④結果出力!$D$14,MATCH(③各部被害関数計算結果!$C17,④結果出力!$C$14:$C$1133,0)-1,13)</f>
        <v/>
      </c>
      <c r="G17" s="86" t="str">
        <f ca="1">OFFSET(④結果出力!$D$14,MATCH(③各部被害関数計算結果!$C17,④結果出力!$C$14:$C$113,0)-1,1)</f>
        <v/>
      </c>
      <c r="H17" s="92"/>
      <c r="I17" s="86" t="str">
        <f ca="1">OFFSET(④結果出力!$D$14,MATCH(③各部被害関数計算結果!$C17,④結果出力!$C$14:$C$113,0)-1,2)</f>
        <v/>
      </c>
      <c r="J17" s="92"/>
    </row>
    <row r="18" spans="1:10" x14ac:dyDescent="0.15">
      <c r="A18" s="58">
        <f>ROW()</f>
        <v>18</v>
      </c>
      <c r="B18" s="85" t="str">
        <f t="shared" ca="1" si="0"/>
        <v/>
      </c>
      <c r="C18" s="85" t="s">
        <v>113</v>
      </c>
      <c r="D18" s="85" t="str">
        <f ca="1">OFFSET(④結果出力!$D$14,MATCH(③各部被害関数計算結果!$C18,④結果出力!$C$14:$C$113,0)-1,0)</f>
        <v/>
      </c>
      <c r="E18" s="85" t="s">
        <v>53</v>
      </c>
      <c r="F18" s="86" t="str">
        <f ca="1">OFFSET(④結果出力!$D$14,MATCH(③各部被害関数計算結果!$C18,④結果出力!$C$14:$C$113,0)-1,18)</f>
        <v/>
      </c>
      <c r="G18" s="86" t="str">
        <f ca="1">OFFSET(④結果出力!$D$14,MATCH(③各部被害関数計算結果!$C18,④結果出力!$C$14:$C$113,0)-1,1)</f>
        <v/>
      </c>
      <c r="H18" s="92"/>
      <c r="I18" s="86" t="str">
        <f ca="1">OFFSET(④結果出力!$D$14,MATCH(③各部被害関数計算結果!$C18,④結果出力!$C$14:$C$113,0)-1,2)</f>
        <v/>
      </c>
      <c r="J18" s="92"/>
    </row>
    <row r="19" spans="1:10" x14ac:dyDescent="0.15">
      <c r="A19" s="58">
        <f>ROW()</f>
        <v>19</v>
      </c>
      <c r="B19" s="85" t="str">
        <f t="shared" ca="1" si="0"/>
        <v/>
      </c>
      <c r="C19" s="85" t="s">
        <v>71</v>
      </c>
      <c r="D19" s="85" t="str">
        <f ca="1">OFFSET(④結果出力!$D$14,MATCH(③各部被害関数計算結果!$C19,④結果出力!$C$14:$C$113,0)-1,0)</f>
        <v/>
      </c>
      <c r="E19" s="85" t="s">
        <v>30</v>
      </c>
      <c r="F19" s="86" t="str">
        <f ca="1">OFFSET(④結果出力!$D$14,MATCH(③各部被害関数計算結果!$C19,④結果出力!$C$14:$C$113,0)-1,3)</f>
        <v/>
      </c>
      <c r="G19" s="86" t="str">
        <f ca="1">OFFSET(④結果出力!$D$14,MATCH(③各部被害関数計算結果!$C19,④結果出力!$C$14:$C$113,0)-1,1)</f>
        <v/>
      </c>
      <c r="H19" s="92"/>
      <c r="I19" s="86" t="str">
        <f ca="1">OFFSET(④結果出力!$D$14,MATCH(③各部被害関数計算結果!$C19,④結果出力!$C$14:$C$113,0)-1,2)</f>
        <v/>
      </c>
      <c r="J19" s="92"/>
    </row>
    <row r="20" spans="1:10" x14ac:dyDescent="0.15">
      <c r="A20" s="58">
        <f>ROW()</f>
        <v>20</v>
      </c>
      <c r="B20" s="85" t="str">
        <f t="shared" ca="1" si="0"/>
        <v/>
      </c>
      <c r="C20" s="85" t="s">
        <v>71</v>
      </c>
      <c r="D20" s="85" t="str">
        <f ca="1">OFFSET(④結果出力!$D$14,MATCH(③各部被害関数計算結果!$C20,④結果出力!$C$14:$C$113,0)-1,0)</f>
        <v/>
      </c>
      <c r="E20" s="85" t="s">
        <v>33</v>
      </c>
      <c r="F20" s="86" t="str">
        <f ca="1">OFFSET(④結果出力!$D$14,MATCH(③各部被害関数計算結果!$C20,④結果出力!$C$14:$C$113,0)-1,8)</f>
        <v/>
      </c>
      <c r="G20" s="86" t="str">
        <f ca="1">OFFSET(④結果出力!$D$14,MATCH(③各部被害関数計算結果!$C20,④結果出力!$C$14:$C$113,0)-1,1)</f>
        <v/>
      </c>
      <c r="H20" s="92"/>
      <c r="I20" s="86" t="str">
        <f ca="1">OFFSET(④結果出力!$D$14,MATCH(③各部被害関数計算結果!$C20,④結果出力!$C$14:$C$113,0)-1,2)</f>
        <v/>
      </c>
      <c r="J20" s="92"/>
    </row>
    <row r="21" spans="1:10" x14ac:dyDescent="0.15">
      <c r="A21" s="58">
        <f>ROW()</f>
        <v>21</v>
      </c>
      <c r="B21" s="85" t="str">
        <f t="shared" ca="1" si="0"/>
        <v/>
      </c>
      <c r="C21" s="85" t="s">
        <v>71</v>
      </c>
      <c r="D21" s="85" t="str">
        <f ca="1">OFFSET(④結果出力!$D$14,MATCH(③各部被害関数計算結果!$C21,④結果出力!$C$14:$C$113,0)-1,0)</f>
        <v/>
      </c>
      <c r="E21" s="85" t="s">
        <v>118</v>
      </c>
      <c r="F21" s="86" t="str">
        <f ca="1">OFFSET(④結果出力!$D$14,MATCH(③各部被害関数計算結果!$C21,④結果出力!$C$14:$C$1133,0)-1,13)</f>
        <v/>
      </c>
      <c r="G21" s="86" t="str">
        <f ca="1">OFFSET(④結果出力!$D$14,MATCH(③各部被害関数計算結果!$C21,④結果出力!$C$14:$C$113,0)-1,1)</f>
        <v/>
      </c>
      <c r="H21" s="92"/>
      <c r="I21" s="86" t="str">
        <f ca="1">OFFSET(④結果出力!$D$14,MATCH(③各部被害関数計算結果!$C21,④結果出力!$C$14:$C$113,0)-1,2)</f>
        <v/>
      </c>
      <c r="J21" s="92"/>
    </row>
    <row r="22" spans="1:10" x14ac:dyDescent="0.15">
      <c r="A22" s="58">
        <f>ROW()</f>
        <v>22</v>
      </c>
      <c r="B22" s="85" t="str">
        <f t="shared" ca="1" si="0"/>
        <v/>
      </c>
      <c r="C22" s="85" t="s">
        <v>71</v>
      </c>
      <c r="D22" s="85" t="str">
        <f ca="1">OFFSET(④結果出力!$D$14,MATCH(③各部被害関数計算結果!$C22,④結果出力!$C$14:$C$113,0)-1,0)</f>
        <v/>
      </c>
      <c r="E22" s="85" t="s">
        <v>53</v>
      </c>
      <c r="F22" s="86" t="str">
        <f ca="1">OFFSET(④結果出力!$D$14,MATCH(③各部被害関数計算結果!$C22,④結果出力!$C$14:$C$113,0)-1,18)</f>
        <v/>
      </c>
      <c r="G22" s="86" t="str">
        <f ca="1">OFFSET(④結果出力!$D$14,MATCH(③各部被害関数計算結果!$C22,④結果出力!$C$14:$C$113,0)-1,1)</f>
        <v/>
      </c>
      <c r="H22" s="92"/>
      <c r="I22" s="86" t="str">
        <f ca="1">OFFSET(④結果出力!$D$14,MATCH(③各部被害関数計算結果!$C22,④結果出力!$C$14:$C$113,0)-1,2)</f>
        <v/>
      </c>
      <c r="J22" s="92"/>
    </row>
    <row r="23" spans="1:10" x14ac:dyDescent="0.15">
      <c r="A23" s="58">
        <f>ROW()</f>
        <v>23</v>
      </c>
      <c r="B23" s="85" t="str">
        <f t="shared" ca="1" si="0"/>
        <v/>
      </c>
      <c r="C23" s="85" t="s">
        <v>72</v>
      </c>
      <c r="D23" s="85" t="str">
        <f ca="1">OFFSET(④結果出力!$D$14,MATCH(③各部被害関数計算結果!$C23,④結果出力!$C$14:$C$113,0)-1,0)</f>
        <v/>
      </c>
      <c r="E23" s="85" t="s">
        <v>30</v>
      </c>
      <c r="F23" s="86" t="str">
        <f ca="1">OFFSET(④結果出力!$D$14,MATCH(③各部被害関数計算結果!$C23,④結果出力!$C$14:$C$113,0)-1,3)</f>
        <v/>
      </c>
      <c r="G23" s="86" t="str">
        <f ca="1">OFFSET(④結果出力!$D$14,MATCH(③各部被害関数計算結果!$C23,④結果出力!$C$14:$C$113,0)-1,1)</f>
        <v/>
      </c>
      <c r="H23" s="92"/>
      <c r="I23" s="86" t="str">
        <f ca="1">OFFSET(④結果出力!$D$14,MATCH(③各部被害関数計算結果!$C23,④結果出力!$C$14:$C$113,0)-1,2)</f>
        <v/>
      </c>
      <c r="J23" s="92"/>
    </row>
    <row r="24" spans="1:10" x14ac:dyDescent="0.15">
      <c r="A24" s="58">
        <f>ROW()</f>
        <v>24</v>
      </c>
      <c r="B24" s="85" t="str">
        <f t="shared" ca="1" si="0"/>
        <v/>
      </c>
      <c r="C24" s="85" t="s">
        <v>72</v>
      </c>
      <c r="D24" s="85" t="str">
        <f ca="1">OFFSET(④結果出力!$D$14,MATCH(③各部被害関数計算結果!$C24,④結果出力!$C$14:$C$113,0)-1,0)</f>
        <v/>
      </c>
      <c r="E24" s="85" t="s">
        <v>33</v>
      </c>
      <c r="F24" s="86" t="str">
        <f ca="1">OFFSET(④結果出力!$D$14,MATCH(③各部被害関数計算結果!$C24,④結果出力!$C$14:$C$113,0)-1,8)</f>
        <v/>
      </c>
      <c r="G24" s="86" t="str">
        <f ca="1">OFFSET(④結果出力!$D$14,MATCH(③各部被害関数計算結果!$C24,④結果出力!$C$14:$C$113,0)-1,1)</f>
        <v/>
      </c>
      <c r="H24" s="92"/>
      <c r="I24" s="86" t="str">
        <f ca="1">OFFSET(④結果出力!$D$14,MATCH(③各部被害関数計算結果!$C24,④結果出力!$C$14:$C$113,0)-1,2)</f>
        <v/>
      </c>
      <c r="J24" s="92"/>
    </row>
    <row r="25" spans="1:10" x14ac:dyDescent="0.15">
      <c r="A25" s="58">
        <f>ROW()</f>
        <v>25</v>
      </c>
      <c r="B25" s="85" t="str">
        <f t="shared" ca="1" si="0"/>
        <v/>
      </c>
      <c r="C25" s="85" t="s">
        <v>72</v>
      </c>
      <c r="D25" s="85" t="str">
        <f ca="1">OFFSET(④結果出力!$D$14,MATCH(③各部被害関数計算結果!$C25,④結果出力!$C$14:$C$113,0)-1,0)</f>
        <v/>
      </c>
      <c r="E25" s="85" t="s">
        <v>118</v>
      </c>
      <c r="F25" s="86" t="str">
        <f ca="1">OFFSET(④結果出力!$D$14,MATCH(③各部被害関数計算結果!$C25,④結果出力!$C$14:$C$1133,0)-1,13)</f>
        <v/>
      </c>
      <c r="G25" s="86" t="str">
        <f ca="1">OFFSET(④結果出力!$D$14,MATCH(③各部被害関数計算結果!$C25,④結果出力!$C$14:$C$113,0)-1,1)</f>
        <v/>
      </c>
      <c r="H25" s="92"/>
      <c r="I25" s="86" t="str">
        <f ca="1">OFFSET(④結果出力!$D$14,MATCH(③各部被害関数計算結果!$C25,④結果出力!$C$14:$C$113,0)-1,2)</f>
        <v/>
      </c>
      <c r="J25" s="92"/>
    </row>
    <row r="26" spans="1:10" x14ac:dyDescent="0.15">
      <c r="A26" s="58">
        <f>ROW()</f>
        <v>26</v>
      </c>
      <c r="B26" s="85" t="str">
        <f t="shared" ca="1" si="0"/>
        <v/>
      </c>
      <c r="C26" s="85" t="s">
        <v>72</v>
      </c>
      <c r="D26" s="85" t="str">
        <f ca="1">OFFSET(④結果出力!$D$14,MATCH(③各部被害関数計算結果!$C26,④結果出力!$C$14:$C$113,0)-1,0)</f>
        <v/>
      </c>
      <c r="E26" s="85" t="s">
        <v>53</v>
      </c>
      <c r="F26" s="86" t="str">
        <f ca="1">OFFSET(④結果出力!$D$14,MATCH(③各部被害関数計算結果!$C26,④結果出力!$C$14:$C$113,0)-1,18)</f>
        <v/>
      </c>
      <c r="G26" s="86" t="str">
        <f ca="1">OFFSET(④結果出力!$D$14,MATCH(③各部被害関数計算結果!$C26,④結果出力!$C$14:$C$113,0)-1,1)</f>
        <v/>
      </c>
      <c r="H26" s="92"/>
      <c r="I26" s="86" t="str">
        <f ca="1">OFFSET(④結果出力!$D$14,MATCH(③各部被害関数計算結果!$C26,④結果出力!$C$14:$C$113,0)-1,2)</f>
        <v/>
      </c>
      <c r="J26" s="92"/>
    </row>
    <row r="27" spans="1:10" x14ac:dyDescent="0.15">
      <c r="A27" s="58">
        <f>ROW()</f>
        <v>27</v>
      </c>
      <c r="B27" s="85" t="str">
        <f t="shared" ca="1" si="0"/>
        <v/>
      </c>
      <c r="C27" s="85" t="s">
        <v>73</v>
      </c>
      <c r="D27" s="85" t="str">
        <f ca="1">OFFSET(④結果出力!$D$14,MATCH(③各部被害関数計算結果!$C27,④結果出力!$C$14:$C$113,0)-1,0)</f>
        <v/>
      </c>
      <c r="E27" s="85" t="s">
        <v>30</v>
      </c>
      <c r="F27" s="86" t="str">
        <f ca="1">OFFSET(④結果出力!$D$14,MATCH(③各部被害関数計算結果!$C27,④結果出力!$C$14:$C$113,0)-1,3)</f>
        <v/>
      </c>
      <c r="G27" s="86" t="str">
        <f ca="1">OFFSET(④結果出力!$D$14,MATCH(③各部被害関数計算結果!$C27,④結果出力!$C$14:$C$113,0)-1,1)</f>
        <v/>
      </c>
      <c r="H27" s="92"/>
      <c r="I27" s="86" t="str">
        <f ca="1">OFFSET(④結果出力!$D$14,MATCH(③各部被害関数計算結果!$C27,④結果出力!$C$14:$C$113,0)-1,2)</f>
        <v/>
      </c>
      <c r="J27" s="92"/>
    </row>
    <row r="28" spans="1:10" x14ac:dyDescent="0.15">
      <c r="A28" s="58">
        <f>ROW()</f>
        <v>28</v>
      </c>
      <c r="B28" s="85" t="str">
        <f t="shared" ca="1" si="0"/>
        <v/>
      </c>
      <c r="C28" s="85" t="s">
        <v>73</v>
      </c>
      <c r="D28" s="85" t="str">
        <f ca="1">OFFSET(④結果出力!$D$14,MATCH(③各部被害関数計算結果!$C28,④結果出力!$C$14:$C$113,0)-1,0)</f>
        <v/>
      </c>
      <c r="E28" s="85" t="s">
        <v>33</v>
      </c>
      <c r="F28" s="86" t="str">
        <f ca="1">OFFSET(④結果出力!$D$14,MATCH(③各部被害関数計算結果!$C28,④結果出力!$C$14:$C$113,0)-1,8)</f>
        <v/>
      </c>
      <c r="G28" s="86" t="str">
        <f ca="1">OFFSET(④結果出力!$D$14,MATCH(③各部被害関数計算結果!$C28,④結果出力!$C$14:$C$113,0)-1,1)</f>
        <v/>
      </c>
      <c r="H28" s="92"/>
      <c r="I28" s="86" t="str">
        <f ca="1">OFFSET(④結果出力!$D$14,MATCH(③各部被害関数計算結果!$C28,④結果出力!$C$14:$C$113,0)-1,2)</f>
        <v/>
      </c>
      <c r="J28" s="92"/>
    </row>
    <row r="29" spans="1:10" x14ac:dyDescent="0.15">
      <c r="A29" s="58">
        <f>ROW()</f>
        <v>29</v>
      </c>
      <c r="B29" s="85" t="str">
        <f t="shared" ca="1" si="0"/>
        <v/>
      </c>
      <c r="C29" s="85" t="s">
        <v>73</v>
      </c>
      <c r="D29" s="85" t="str">
        <f ca="1">OFFSET(④結果出力!$D$14,MATCH(③各部被害関数計算結果!$C29,④結果出力!$C$14:$C$113,0)-1,0)</f>
        <v/>
      </c>
      <c r="E29" s="85" t="s">
        <v>118</v>
      </c>
      <c r="F29" s="86" t="str">
        <f ca="1">OFFSET(④結果出力!$D$14,MATCH(③各部被害関数計算結果!$C29,④結果出力!$C$14:$C$1133,0)-1,13)</f>
        <v/>
      </c>
      <c r="G29" s="86" t="str">
        <f ca="1">OFFSET(④結果出力!$D$14,MATCH(③各部被害関数計算結果!$C29,④結果出力!$C$14:$C$113,0)-1,1)</f>
        <v/>
      </c>
      <c r="H29" s="92"/>
      <c r="I29" s="86" t="str">
        <f ca="1">OFFSET(④結果出力!$D$14,MATCH(③各部被害関数計算結果!$C29,④結果出力!$C$14:$C$113,0)-1,2)</f>
        <v/>
      </c>
      <c r="J29" s="92"/>
    </row>
    <row r="30" spans="1:10" x14ac:dyDescent="0.15">
      <c r="A30" s="58">
        <f>ROW()</f>
        <v>30</v>
      </c>
      <c r="B30" s="85" t="str">
        <f t="shared" ca="1" si="0"/>
        <v/>
      </c>
      <c r="C30" s="85" t="s">
        <v>73</v>
      </c>
      <c r="D30" s="85" t="str">
        <f ca="1">OFFSET(④結果出力!$D$14,MATCH(③各部被害関数計算結果!$C30,④結果出力!$C$14:$C$113,0)-1,0)</f>
        <v/>
      </c>
      <c r="E30" s="85" t="s">
        <v>53</v>
      </c>
      <c r="F30" s="86" t="str">
        <f ca="1">OFFSET(④結果出力!$D$14,MATCH(③各部被害関数計算結果!$C30,④結果出力!$C$14:$C$113,0)-1,18)</f>
        <v/>
      </c>
      <c r="G30" s="86" t="str">
        <f ca="1">OFFSET(④結果出力!$D$14,MATCH(③各部被害関数計算結果!$C30,④結果出力!$C$14:$C$113,0)-1,1)</f>
        <v/>
      </c>
      <c r="H30" s="92"/>
      <c r="I30" s="86" t="str">
        <f ca="1">OFFSET(④結果出力!$D$14,MATCH(③各部被害関数計算結果!$C30,④結果出力!$C$14:$C$113,0)-1,2)</f>
        <v/>
      </c>
      <c r="J30" s="92"/>
    </row>
    <row r="31" spans="1:10" x14ac:dyDescent="0.15">
      <c r="A31" s="58">
        <f>ROW()</f>
        <v>31</v>
      </c>
      <c r="B31" s="85" t="str">
        <f t="shared" ca="1" si="0"/>
        <v/>
      </c>
      <c r="C31" s="85" t="s">
        <v>74</v>
      </c>
      <c r="D31" s="85" t="str">
        <f ca="1">OFFSET(④結果出力!$D$14,MATCH(③各部被害関数計算結果!$C31,④結果出力!$C$14:$C$113,0)-1,0)</f>
        <v/>
      </c>
      <c r="E31" s="85" t="s">
        <v>30</v>
      </c>
      <c r="F31" s="86" t="str">
        <f ca="1">OFFSET(④結果出力!$D$14,MATCH(③各部被害関数計算結果!$C31,④結果出力!$C$14:$C$113,0)-1,3)</f>
        <v/>
      </c>
      <c r="G31" s="86" t="str">
        <f ca="1">OFFSET(④結果出力!$D$14,MATCH(③各部被害関数計算結果!$C31,④結果出力!$C$14:$C$113,0)-1,1)</f>
        <v/>
      </c>
      <c r="H31" s="92"/>
      <c r="I31" s="86" t="str">
        <f ca="1">OFFSET(④結果出力!$D$14,MATCH(③各部被害関数計算結果!$C31,④結果出力!$C$14:$C$113,0)-1,2)</f>
        <v/>
      </c>
      <c r="J31" s="92"/>
    </row>
    <row r="32" spans="1:10" x14ac:dyDescent="0.15">
      <c r="A32" s="58">
        <f>ROW()</f>
        <v>32</v>
      </c>
      <c r="B32" s="85" t="str">
        <f t="shared" ca="1" si="0"/>
        <v/>
      </c>
      <c r="C32" s="85" t="s">
        <v>74</v>
      </c>
      <c r="D32" s="85" t="str">
        <f ca="1">OFFSET(④結果出力!$D$14,MATCH(③各部被害関数計算結果!$C32,④結果出力!$C$14:$C$113,0)-1,0)</f>
        <v/>
      </c>
      <c r="E32" s="85" t="s">
        <v>33</v>
      </c>
      <c r="F32" s="86" t="str">
        <f ca="1">OFFSET(④結果出力!$D$14,MATCH(③各部被害関数計算結果!$C32,④結果出力!$C$14:$C$113,0)-1,8)</f>
        <v/>
      </c>
      <c r="G32" s="86" t="str">
        <f ca="1">OFFSET(④結果出力!$D$14,MATCH(③各部被害関数計算結果!$C32,④結果出力!$C$14:$C$113,0)-1,1)</f>
        <v/>
      </c>
      <c r="H32" s="92"/>
      <c r="I32" s="86" t="str">
        <f ca="1">OFFSET(④結果出力!$D$14,MATCH(③各部被害関数計算結果!$C32,④結果出力!$C$14:$C$113,0)-1,2)</f>
        <v/>
      </c>
      <c r="J32" s="92"/>
    </row>
    <row r="33" spans="1:10" x14ac:dyDescent="0.15">
      <c r="A33" s="58">
        <f>ROW()</f>
        <v>33</v>
      </c>
      <c r="B33" s="85" t="str">
        <f t="shared" ca="1" si="0"/>
        <v/>
      </c>
      <c r="C33" s="85" t="s">
        <v>74</v>
      </c>
      <c r="D33" s="85" t="str">
        <f ca="1">OFFSET(④結果出力!$D$14,MATCH(③各部被害関数計算結果!$C33,④結果出力!$C$14:$C$113,0)-1,0)</f>
        <v/>
      </c>
      <c r="E33" s="85" t="s">
        <v>118</v>
      </c>
      <c r="F33" s="86" t="str">
        <f ca="1">OFFSET(④結果出力!$D$14,MATCH(③各部被害関数計算結果!$C33,④結果出力!$C$14:$C$1133,0)-1,13)</f>
        <v/>
      </c>
      <c r="G33" s="86" t="str">
        <f ca="1">OFFSET(④結果出力!$D$14,MATCH(③各部被害関数計算結果!$C33,④結果出力!$C$14:$C$113,0)-1,1)</f>
        <v/>
      </c>
      <c r="H33" s="92"/>
      <c r="I33" s="86" t="str">
        <f ca="1">OFFSET(④結果出力!$D$14,MATCH(③各部被害関数計算結果!$C33,④結果出力!$C$14:$C$113,0)-1,2)</f>
        <v/>
      </c>
      <c r="J33" s="92"/>
    </row>
    <row r="34" spans="1:10" x14ac:dyDescent="0.15">
      <c r="A34" s="58">
        <f>ROW()</f>
        <v>34</v>
      </c>
      <c r="B34" s="85" t="str">
        <f t="shared" ca="1" si="0"/>
        <v/>
      </c>
      <c r="C34" s="85" t="s">
        <v>74</v>
      </c>
      <c r="D34" s="85" t="str">
        <f ca="1">OFFSET(④結果出力!$D$14,MATCH(③各部被害関数計算結果!$C34,④結果出力!$C$14:$C$113,0)-1,0)</f>
        <v/>
      </c>
      <c r="E34" s="85" t="s">
        <v>53</v>
      </c>
      <c r="F34" s="86" t="str">
        <f ca="1">OFFSET(④結果出力!$D$14,MATCH(③各部被害関数計算結果!$C34,④結果出力!$C$14:$C$113,0)-1,18)</f>
        <v/>
      </c>
      <c r="G34" s="86" t="str">
        <f ca="1">OFFSET(④結果出力!$D$14,MATCH(③各部被害関数計算結果!$C34,④結果出力!$C$14:$C$113,0)-1,1)</f>
        <v/>
      </c>
      <c r="H34" s="92"/>
      <c r="I34" s="86" t="str">
        <f ca="1">OFFSET(④結果出力!$D$14,MATCH(③各部被害関数計算結果!$C34,④結果出力!$C$14:$C$113,0)-1,2)</f>
        <v/>
      </c>
      <c r="J34" s="92"/>
    </row>
    <row r="35" spans="1:10" x14ac:dyDescent="0.15">
      <c r="A35" s="58">
        <f>ROW()</f>
        <v>35</v>
      </c>
      <c r="B35" s="85" t="str">
        <f t="shared" ca="1" si="0"/>
        <v/>
      </c>
      <c r="C35" s="85" t="s">
        <v>75</v>
      </c>
      <c r="D35" s="85" t="str">
        <f ca="1">OFFSET(④結果出力!$D$14,MATCH(③各部被害関数計算結果!$C35,④結果出力!$C$14:$C$113,0)-1,0)</f>
        <v/>
      </c>
      <c r="E35" s="85" t="s">
        <v>30</v>
      </c>
      <c r="F35" s="86" t="str">
        <f ca="1">OFFSET(④結果出力!$D$14,MATCH(③各部被害関数計算結果!$C35,④結果出力!$C$14:$C$113,0)-1,3)</f>
        <v/>
      </c>
      <c r="G35" s="86" t="str">
        <f ca="1">OFFSET(④結果出力!$D$14,MATCH(③各部被害関数計算結果!$C35,④結果出力!$C$14:$C$113,0)-1,1)</f>
        <v/>
      </c>
      <c r="H35" s="92"/>
      <c r="I35" s="86" t="str">
        <f ca="1">OFFSET(④結果出力!$D$14,MATCH(③各部被害関数計算結果!$C35,④結果出力!$C$14:$C$113,0)-1,2)</f>
        <v/>
      </c>
      <c r="J35" s="92"/>
    </row>
    <row r="36" spans="1:10" x14ac:dyDescent="0.15">
      <c r="A36" s="58">
        <f>ROW()</f>
        <v>36</v>
      </c>
      <c r="B36" s="85" t="str">
        <f t="shared" ca="1" si="0"/>
        <v/>
      </c>
      <c r="C36" s="85" t="s">
        <v>75</v>
      </c>
      <c r="D36" s="85" t="str">
        <f ca="1">OFFSET(④結果出力!$D$14,MATCH(③各部被害関数計算結果!$C36,④結果出力!$C$14:$C$113,0)-1,0)</f>
        <v/>
      </c>
      <c r="E36" s="85" t="s">
        <v>33</v>
      </c>
      <c r="F36" s="86" t="str">
        <f ca="1">OFFSET(④結果出力!$D$14,MATCH(③各部被害関数計算結果!$C36,④結果出力!$C$14:$C$113,0)-1,8)</f>
        <v/>
      </c>
      <c r="G36" s="86" t="str">
        <f ca="1">OFFSET(④結果出力!$D$14,MATCH(③各部被害関数計算結果!$C36,④結果出力!$C$14:$C$113,0)-1,1)</f>
        <v/>
      </c>
      <c r="H36" s="92"/>
      <c r="I36" s="86" t="str">
        <f ca="1">OFFSET(④結果出力!$D$14,MATCH(③各部被害関数計算結果!$C36,④結果出力!$C$14:$C$113,0)-1,2)</f>
        <v/>
      </c>
      <c r="J36" s="92"/>
    </row>
    <row r="37" spans="1:10" x14ac:dyDescent="0.15">
      <c r="A37" s="58">
        <f>ROW()</f>
        <v>37</v>
      </c>
      <c r="B37" s="85" t="str">
        <f t="shared" ca="1" si="0"/>
        <v/>
      </c>
      <c r="C37" s="85" t="s">
        <v>75</v>
      </c>
      <c r="D37" s="85" t="str">
        <f ca="1">OFFSET(④結果出力!$D$14,MATCH(③各部被害関数計算結果!$C37,④結果出力!$C$14:$C$113,0)-1,0)</f>
        <v/>
      </c>
      <c r="E37" s="85" t="s">
        <v>118</v>
      </c>
      <c r="F37" s="86" t="str">
        <f ca="1">OFFSET(④結果出力!$D$14,MATCH(③各部被害関数計算結果!$C37,④結果出力!$C$14:$C$1133,0)-1,13)</f>
        <v/>
      </c>
      <c r="G37" s="86" t="str">
        <f ca="1">OFFSET(④結果出力!$D$14,MATCH(③各部被害関数計算結果!$C37,④結果出力!$C$14:$C$113,0)-1,1)</f>
        <v/>
      </c>
      <c r="H37" s="92"/>
      <c r="I37" s="86" t="str">
        <f ca="1">OFFSET(④結果出力!$D$14,MATCH(③各部被害関数計算結果!$C37,④結果出力!$C$14:$C$113,0)-1,2)</f>
        <v/>
      </c>
      <c r="J37" s="92"/>
    </row>
    <row r="38" spans="1:10" x14ac:dyDescent="0.15">
      <c r="A38" s="58">
        <f>ROW()</f>
        <v>38</v>
      </c>
      <c r="B38" s="85" t="str">
        <f t="shared" ca="1" si="0"/>
        <v/>
      </c>
      <c r="C38" s="85" t="s">
        <v>75</v>
      </c>
      <c r="D38" s="85" t="str">
        <f ca="1">OFFSET(④結果出力!$D$14,MATCH(③各部被害関数計算結果!$C38,④結果出力!$C$14:$C$113,0)-1,0)</f>
        <v/>
      </c>
      <c r="E38" s="85" t="s">
        <v>53</v>
      </c>
      <c r="F38" s="86" t="str">
        <f ca="1">OFFSET(④結果出力!$D$14,MATCH(③各部被害関数計算結果!$C38,④結果出力!$C$14:$C$113,0)-1,18)</f>
        <v/>
      </c>
      <c r="G38" s="86" t="str">
        <f ca="1">OFFSET(④結果出力!$D$14,MATCH(③各部被害関数計算結果!$C38,④結果出力!$C$14:$C$113,0)-1,1)</f>
        <v/>
      </c>
      <c r="H38" s="92"/>
      <c r="I38" s="86" t="str">
        <f ca="1">OFFSET(④結果出力!$D$14,MATCH(③各部被害関数計算結果!$C38,④結果出力!$C$14:$C$113,0)-1,2)</f>
        <v/>
      </c>
      <c r="J38" s="92"/>
    </row>
    <row r="39" spans="1:10" x14ac:dyDescent="0.15">
      <c r="A39" s="58">
        <f>ROW()</f>
        <v>39</v>
      </c>
      <c r="B39" s="85" t="str">
        <f t="shared" ca="1" si="0"/>
        <v/>
      </c>
      <c r="C39" s="85" t="s">
        <v>76</v>
      </c>
      <c r="D39" s="85" t="str">
        <f ca="1">OFFSET(④結果出力!$D$14,MATCH(③各部被害関数計算結果!$C39,④結果出力!$C$14:$C$113,0)-1,0)</f>
        <v/>
      </c>
      <c r="E39" s="85" t="s">
        <v>30</v>
      </c>
      <c r="F39" s="86" t="str">
        <f ca="1">OFFSET(④結果出力!$D$14,MATCH(③各部被害関数計算結果!$C39,④結果出力!$C$14:$C$113,0)-1,3)</f>
        <v/>
      </c>
      <c r="G39" s="86" t="str">
        <f ca="1">OFFSET(④結果出力!$D$14,MATCH(③各部被害関数計算結果!$C39,④結果出力!$C$14:$C$113,0)-1,1)</f>
        <v/>
      </c>
      <c r="H39" s="92"/>
      <c r="I39" s="86" t="str">
        <f ca="1">OFFSET(④結果出力!$D$14,MATCH(③各部被害関数計算結果!$C39,④結果出力!$C$14:$C$113,0)-1,2)</f>
        <v/>
      </c>
      <c r="J39" s="92"/>
    </row>
    <row r="40" spans="1:10" x14ac:dyDescent="0.15">
      <c r="A40" s="58">
        <f>ROW()</f>
        <v>40</v>
      </c>
      <c r="B40" s="85" t="str">
        <f t="shared" ca="1" si="0"/>
        <v/>
      </c>
      <c r="C40" s="85" t="s">
        <v>76</v>
      </c>
      <c r="D40" s="85" t="str">
        <f ca="1">OFFSET(④結果出力!$D$14,MATCH(③各部被害関数計算結果!$C40,④結果出力!$C$14:$C$113,0)-1,0)</f>
        <v/>
      </c>
      <c r="E40" s="85" t="s">
        <v>33</v>
      </c>
      <c r="F40" s="86" t="str">
        <f ca="1">OFFSET(④結果出力!$D$14,MATCH(③各部被害関数計算結果!$C40,④結果出力!$C$14:$C$113,0)-1,8)</f>
        <v/>
      </c>
      <c r="G40" s="86" t="str">
        <f ca="1">OFFSET(④結果出力!$D$14,MATCH(③各部被害関数計算結果!$C40,④結果出力!$C$14:$C$113,0)-1,1)</f>
        <v/>
      </c>
      <c r="H40" s="92"/>
      <c r="I40" s="86" t="str">
        <f ca="1">OFFSET(④結果出力!$D$14,MATCH(③各部被害関数計算結果!$C40,④結果出力!$C$14:$C$113,0)-1,2)</f>
        <v/>
      </c>
      <c r="J40" s="92"/>
    </row>
    <row r="41" spans="1:10" x14ac:dyDescent="0.15">
      <c r="A41" s="58">
        <f>ROW()</f>
        <v>41</v>
      </c>
      <c r="B41" s="85" t="str">
        <f t="shared" ca="1" si="0"/>
        <v/>
      </c>
      <c r="C41" s="85" t="s">
        <v>76</v>
      </c>
      <c r="D41" s="85" t="str">
        <f ca="1">OFFSET(④結果出力!$D$14,MATCH(③各部被害関数計算結果!$C41,④結果出力!$C$14:$C$113,0)-1,0)</f>
        <v/>
      </c>
      <c r="E41" s="85" t="s">
        <v>118</v>
      </c>
      <c r="F41" s="86" t="str">
        <f ca="1">OFFSET(④結果出力!$D$14,MATCH(③各部被害関数計算結果!$C41,④結果出力!$C$14:$C$1133,0)-1,13)</f>
        <v/>
      </c>
      <c r="G41" s="86" t="str">
        <f ca="1">OFFSET(④結果出力!$D$14,MATCH(③各部被害関数計算結果!$C41,④結果出力!$C$14:$C$113,0)-1,1)</f>
        <v/>
      </c>
      <c r="H41" s="92"/>
      <c r="I41" s="86" t="str">
        <f ca="1">OFFSET(④結果出力!$D$14,MATCH(③各部被害関数計算結果!$C41,④結果出力!$C$14:$C$113,0)-1,2)</f>
        <v/>
      </c>
      <c r="J41" s="92"/>
    </row>
    <row r="42" spans="1:10" x14ac:dyDescent="0.15">
      <c r="A42" s="58">
        <f>ROW()</f>
        <v>42</v>
      </c>
      <c r="B42" s="85" t="str">
        <f t="shared" ca="1" si="0"/>
        <v/>
      </c>
      <c r="C42" s="85" t="s">
        <v>76</v>
      </c>
      <c r="D42" s="85" t="str">
        <f ca="1">OFFSET(④結果出力!$D$14,MATCH(③各部被害関数計算結果!$C42,④結果出力!$C$14:$C$113,0)-1,0)</f>
        <v/>
      </c>
      <c r="E42" s="85" t="s">
        <v>53</v>
      </c>
      <c r="F42" s="86" t="str">
        <f ca="1">OFFSET(④結果出力!$D$14,MATCH(③各部被害関数計算結果!$C42,④結果出力!$C$14:$C$113,0)-1,18)</f>
        <v/>
      </c>
      <c r="G42" s="86" t="str">
        <f ca="1">OFFSET(④結果出力!$D$14,MATCH(③各部被害関数計算結果!$C42,④結果出力!$C$14:$C$113,0)-1,1)</f>
        <v/>
      </c>
      <c r="H42" s="92"/>
      <c r="I42" s="86" t="str">
        <f ca="1">OFFSET(④結果出力!$D$14,MATCH(③各部被害関数計算結果!$C42,④結果出力!$C$14:$C$113,0)-1,2)</f>
        <v/>
      </c>
      <c r="J42" s="92"/>
    </row>
    <row r="43" spans="1:10" x14ac:dyDescent="0.15">
      <c r="A43" s="58">
        <f>ROW()</f>
        <v>43</v>
      </c>
      <c r="B43" s="85" t="str">
        <f t="shared" ca="1" si="0"/>
        <v/>
      </c>
      <c r="C43" s="85" t="s">
        <v>77</v>
      </c>
      <c r="D43" s="85" t="str">
        <f ca="1">OFFSET(④結果出力!$D$14,MATCH(③各部被害関数計算結果!$C43,④結果出力!$C$14:$C$113,0)-1,0)</f>
        <v/>
      </c>
      <c r="E43" s="85" t="s">
        <v>30</v>
      </c>
      <c r="F43" s="86" t="str">
        <f ca="1">OFFSET(④結果出力!$D$14,MATCH(③各部被害関数計算結果!$C43,④結果出力!$C$14:$C$113,0)-1,3)</f>
        <v/>
      </c>
      <c r="G43" s="86" t="str">
        <f ca="1">OFFSET(④結果出力!$D$14,MATCH(③各部被害関数計算結果!$C43,④結果出力!$C$14:$C$113,0)-1,1)</f>
        <v/>
      </c>
      <c r="H43" s="92"/>
      <c r="I43" s="86" t="str">
        <f ca="1">OFFSET(④結果出力!$D$14,MATCH(③各部被害関数計算結果!$C43,④結果出力!$C$14:$C$113,0)-1,2)</f>
        <v/>
      </c>
      <c r="J43" s="92"/>
    </row>
    <row r="44" spans="1:10" x14ac:dyDescent="0.15">
      <c r="A44" s="58">
        <f>ROW()</f>
        <v>44</v>
      </c>
      <c r="B44" s="85" t="str">
        <f t="shared" ca="1" si="0"/>
        <v/>
      </c>
      <c r="C44" s="85" t="s">
        <v>77</v>
      </c>
      <c r="D44" s="85" t="str">
        <f ca="1">OFFSET(④結果出力!$D$14,MATCH(③各部被害関数計算結果!$C44,④結果出力!$C$14:$C$113,0)-1,0)</f>
        <v/>
      </c>
      <c r="E44" s="85" t="s">
        <v>33</v>
      </c>
      <c r="F44" s="86" t="str">
        <f ca="1">OFFSET(④結果出力!$D$14,MATCH(③各部被害関数計算結果!$C44,④結果出力!$C$14:$C$113,0)-1,8)</f>
        <v/>
      </c>
      <c r="G44" s="86" t="str">
        <f ca="1">OFFSET(④結果出力!$D$14,MATCH(③各部被害関数計算結果!$C44,④結果出力!$C$14:$C$113,0)-1,1)</f>
        <v/>
      </c>
      <c r="H44" s="92"/>
      <c r="I44" s="86" t="str">
        <f ca="1">OFFSET(④結果出力!$D$14,MATCH(③各部被害関数計算結果!$C44,④結果出力!$C$14:$C$113,0)-1,2)</f>
        <v/>
      </c>
      <c r="J44" s="92"/>
    </row>
    <row r="45" spans="1:10" x14ac:dyDescent="0.15">
      <c r="A45" s="58">
        <f>ROW()</f>
        <v>45</v>
      </c>
      <c r="B45" s="85" t="str">
        <f t="shared" ca="1" si="0"/>
        <v/>
      </c>
      <c r="C45" s="85" t="s">
        <v>77</v>
      </c>
      <c r="D45" s="85" t="str">
        <f ca="1">OFFSET(④結果出力!$D$14,MATCH(③各部被害関数計算結果!$C45,④結果出力!$C$14:$C$113,0)-1,0)</f>
        <v/>
      </c>
      <c r="E45" s="85" t="s">
        <v>118</v>
      </c>
      <c r="F45" s="86" t="str">
        <f ca="1">OFFSET(④結果出力!$D$14,MATCH(③各部被害関数計算結果!$C45,④結果出力!$C$14:$C$1133,0)-1,13)</f>
        <v/>
      </c>
      <c r="G45" s="86" t="str">
        <f ca="1">OFFSET(④結果出力!$D$14,MATCH(③各部被害関数計算結果!$C45,④結果出力!$C$14:$C$113,0)-1,1)</f>
        <v/>
      </c>
      <c r="H45" s="92"/>
      <c r="I45" s="86" t="str">
        <f ca="1">OFFSET(④結果出力!$D$14,MATCH(③各部被害関数計算結果!$C45,④結果出力!$C$14:$C$113,0)-1,2)</f>
        <v/>
      </c>
      <c r="J45" s="92"/>
    </row>
    <row r="46" spans="1:10" x14ac:dyDescent="0.15">
      <c r="A46" s="58">
        <f>ROW()</f>
        <v>46</v>
      </c>
      <c r="B46" s="85" t="str">
        <f t="shared" ca="1" si="0"/>
        <v/>
      </c>
      <c r="C46" s="85" t="s">
        <v>77</v>
      </c>
      <c r="D46" s="85" t="str">
        <f ca="1">OFFSET(④結果出力!$D$14,MATCH(③各部被害関数計算結果!$C46,④結果出力!$C$14:$C$113,0)-1,0)</f>
        <v/>
      </c>
      <c r="E46" s="85" t="s">
        <v>53</v>
      </c>
      <c r="F46" s="86" t="str">
        <f ca="1">OFFSET(④結果出力!$D$14,MATCH(③各部被害関数計算結果!$C46,④結果出力!$C$14:$C$113,0)-1,18)</f>
        <v/>
      </c>
      <c r="G46" s="86" t="str">
        <f ca="1">OFFSET(④結果出力!$D$14,MATCH(③各部被害関数計算結果!$C46,④結果出力!$C$14:$C$113,0)-1,1)</f>
        <v/>
      </c>
      <c r="H46" s="92"/>
      <c r="I46" s="86" t="str">
        <f ca="1">OFFSET(④結果出力!$D$14,MATCH(③各部被害関数計算結果!$C46,④結果出力!$C$14:$C$113,0)-1,2)</f>
        <v/>
      </c>
      <c r="J46" s="92"/>
    </row>
    <row r="47" spans="1:10" x14ac:dyDescent="0.15">
      <c r="A47" s="58">
        <f>ROW()</f>
        <v>47</v>
      </c>
      <c r="B47" s="85" t="str">
        <f t="shared" ca="1" si="0"/>
        <v/>
      </c>
      <c r="C47" s="85" t="s">
        <v>78</v>
      </c>
      <c r="D47" s="85" t="str">
        <f ca="1">OFFSET(④結果出力!$D$14,MATCH(③各部被害関数計算結果!$C47,④結果出力!$C$14:$C$113,0)-1,0)</f>
        <v/>
      </c>
      <c r="E47" s="85" t="s">
        <v>30</v>
      </c>
      <c r="F47" s="86" t="str">
        <f ca="1">OFFSET(④結果出力!$D$14,MATCH(③各部被害関数計算結果!$C47,④結果出力!$C$14:$C$113,0)-1,3)</f>
        <v/>
      </c>
      <c r="G47" s="86" t="str">
        <f ca="1">OFFSET(④結果出力!$D$14,MATCH(③各部被害関数計算結果!$C47,④結果出力!$C$14:$C$113,0)-1,1)</f>
        <v/>
      </c>
      <c r="H47" s="92"/>
      <c r="I47" s="86" t="str">
        <f ca="1">OFFSET(④結果出力!$D$14,MATCH(③各部被害関数計算結果!$C47,④結果出力!$C$14:$C$113,0)-1,2)</f>
        <v/>
      </c>
      <c r="J47" s="92"/>
    </row>
    <row r="48" spans="1:10" x14ac:dyDescent="0.15">
      <c r="A48" s="58">
        <f>ROW()</f>
        <v>48</v>
      </c>
      <c r="B48" s="85" t="str">
        <f t="shared" ca="1" si="0"/>
        <v/>
      </c>
      <c r="C48" s="85" t="s">
        <v>78</v>
      </c>
      <c r="D48" s="85" t="str">
        <f ca="1">OFFSET(④結果出力!$D$14,MATCH(③各部被害関数計算結果!$C48,④結果出力!$C$14:$C$113,0)-1,0)</f>
        <v/>
      </c>
      <c r="E48" s="85" t="s">
        <v>33</v>
      </c>
      <c r="F48" s="86" t="str">
        <f ca="1">OFFSET(④結果出力!$D$14,MATCH(③各部被害関数計算結果!$C48,④結果出力!$C$14:$C$113,0)-1,8)</f>
        <v/>
      </c>
      <c r="G48" s="86" t="str">
        <f ca="1">OFFSET(④結果出力!$D$14,MATCH(③各部被害関数計算結果!$C48,④結果出力!$C$14:$C$113,0)-1,1)</f>
        <v/>
      </c>
      <c r="H48" s="92"/>
      <c r="I48" s="86" t="str">
        <f ca="1">OFFSET(④結果出力!$D$14,MATCH(③各部被害関数計算結果!$C48,④結果出力!$C$14:$C$113,0)-1,2)</f>
        <v/>
      </c>
      <c r="J48" s="92"/>
    </row>
    <row r="49" spans="1:10" x14ac:dyDescent="0.15">
      <c r="A49" s="58">
        <f>ROW()</f>
        <v>49</v>
      </c>
      <c r="B49" s="85" t="str">
        <f t="shared" ca="1" si="0"/>
        <v/>
      </c>
      <c r="C49" s="85" t="s">
        <v>78</v>
      </c>
      <c r="D49" s="85" t="str">
        <f ca="1">OFFSET(④結果出力!$D$14,MATCH(③各部被害関数計算結果!$C49,④結果出力!$C$14:$C$113,0)-1,0)</f>
        <v/>
      </c>
      <c r="E49" s="85" t="s">
        <v>118</v>
      </c>
      <c r="F49" s="86" t="str">
        <f ca="1">OFFSET(④結果出力!$D$14,MATCH(③各部被害関数計算結果!$C49,④結果出力!$C$14:$C$1133,0)-1,13)</f>
        <v/>
      </c>
      <c r="G49" s="86" t="str">
        <f ca="1">OFFSET(④結果出力!$D$14,MATCH(③各部被害関数計算結果!$C49,④結果出力!$C$14:$C$113,0)-1,1)</f>
        <v/>
      </c>
      <c r="H49" s="92"/>
      <c r="I49" s="86" t="str">
        <f ca="1">OFFSET(④結果出力!$D$14,MATCH(③各部被害関数計算結果!$C49,④結果出力!$C$14:$C$113,0)-1,2)</f>
        <v/>
      </c>
      <c r="J49" s="92"/>
    </row>
    <row r="50" spans="1:10" x14ac:dyDescent="0.15">
      <c r="A50" s="58">
        <f>ROW()</f>
        <v>50</v>
      </c>
      <c r="B50" s="85" t="str">
        <f t="shared" ca="1" si="0"/>
        <v/>
      </c>
      <c r="C50" s="85" t="s">
        <v>78</v>
      </c>
      <c r="D50" s="85" t="str">
        <f ca="1">OFFSET(④結果出力!$D$14,MATCH(③各部被害関数計算結果!$C50,④結果出力!$C$14:$C$113,0)-1,0)</f>
        <v/>
      </c>
      <c r="E50" s="85" t="s">
        <v>53</v>
      </c>
      <c r="F50" s="86" t="str">
        <f ca="1">OFFSET(④結果出力!$D$14,MATCH(③各部被害関数計算結果!$C50,④結果出力!$C$14:$C$113,0)-1,18)</f>
        <v/>
      </c>
      <c r="G50" s="86" t="str">
        <f ca="1">OFFSET(④結果出力!$D$14,MATCH(③各部被害関数計算結果!$C50,④結果出力!$C$14:$C$113,0)-1,1)</f>
        <v/>
      </c>
      <c r="H50" s="92"/>
      <c r="I50" s="86" t="str">
        <f ca="1">OFFSET(④結果出力!$D$14,MATCH(③各部被害関数計算結果!$C50,④結果出力!$C$14:$C$113,0)-1,2)</f>
        <v/>
      </c>
      <c r="J50" s="92"/>
    </row>
    <row r="51" spans="1:10" x14ac:dyDescent="0.15">
      <c r="A51" s="58">
        <f>ROW()</f>
        <v>51</v>
      </c>
      <c r="B51" s="85" t="str">
        <f t="shared" ca="1" si="0"/>
        <v/>
      </c>
      <c r="C51" s="85" t="s">
        <v>79</v>
      </c>
      <c r="D51" s="85" t="str">
        <f ca="1">OFFSET(④結果出力!$D$14,MATCH(③各部被害関数計算結果!$C51,④結果出力!$C$14:$C$113,0)-1,0)</f>
        <v/>
      </c>
      <c r="E51" s="85" t="s">
        <v>30</v>
      </c>
      <c r="F51" s="86" t="str">
        <f ca="1">OFFSET(④結果出力!$D$14,MATCH(③各部被害関数計算結果!$C51,④結果出力!$C$14:$C$113,0)-1,3)</f>
        <v/>
      </c>
      <c r="G51" s="86" t="str">
        <f ca="1">OFFSET(④結果出力!$D$14,MATCH(③各部被害関数計算結果!$C51,④結果出力!$C$14:$C$113,0)-1,1)</f>
        <v/>
      </c>
      <c r="H51" s="92"/>
      <c r="I51" s="86" t="str">
        <f ca="1">OFFSET(④結果出力!$D$14,MATCH(③各部被害関数計算結果!$C51,④結果出力!$C$14:$C$113,0)-1,2)</f>
        <v/>
      </c>
      <c r="J51" s="92"/>
    </row>
    <row r="52" spans="1:10" x14ac:dyDescent="0.15">
      <c r="A52" s="58">
        <f>ROW()</f>
        <v>52</v>
      </c>
      <c r="B52" s="85" t="str">
        <f t="shared" ca="1" si="0"/>
        <v/>
      </c>
      <c r="C52" s="85" t="s">
        <v>79</v>
      </c>
      <c r="D52" s="85" t="str">
        <f ca="1">OFFSET(④結果出力!$D$14,MATCH(③各部被害関数計算結果!$C52,④結果出力!$C$14:$C$113,0)-1,0)</f>
        <v/>
      </c>
      <c r="E52" s="85" t="s">
        <v>33</v>
      </c>
      <c r="F52" s="86" t="str">
        <f ca="1">OFFSET(④結果出力!$D$14,MATCH(③各部被害関数計算結果!$C52,④結果出力!$C$14:$C$113,0)-1,8)</f>
        <v/>
      </c>
      <c r="G52" s="86" t="str">
        <f ca="1">OFFSET(④結果出力!$D$14,MATCH(③各部被害関数計算結果!$C52,④結果出力!$C$14:$C$113,0)-1,1)</f>
        <v/>
      </c>
      <c r="H52" s="92"/>
      <c r="I52" s="86" t="str">
        <f ca="1">OFFSET(④結果出力!$D$14,MATCH(③各部被害関数計算結果!$C52,④結果出力!$C$14:$C$113,0)-1,2)</f>
        <v/>
      </c>
      <c r="J52" s="92"/>
    </row>
    <row r="53" spans="1:10" x14ac:dyDescent="0.15">
      <c r="A53" s="58">
        <f>ROW()</f>
        <v>53</v>
      </c>
      <c r="B53" s="85" t="str">
        <f t="shared" ca="1" si="0"/>
        <v/>
      </c>
      <c r="C53" s="85" t="s">
        <v>79</v>
      </c>
      <c r="D53" s="85" t="str">
        <f ca="1">OFFSET(④結果出力!$D$14,MATCH(③各部被害関数計算結果!$C53,④結果出力!$C$14:$C$113,0)-1,0)</f>
        <v/>
      </c>
      <c r="E53" s="85" t="s">
        <v>118</v>
      </c>
      <c r="F53" s="86" t="str">
        <f ca="1">OFFSET(④結果出力!$D$14,MATCH(③各部被害関数計算結果!$C53,④結果出力!$C$14:$C$1133,0)-1,13)</f>
        <v/>
      </c>
      <c r="G53" s="86" t="str">
        <f ca="1">OFFSET(④結果出力!$D$14,MATCH(③各部被害関数計算結果!$C53,④結果出力!$C$14:$C$113,0)-1,1)</f>
        <v/>
      </c>
      <c r="H53" s="92"/>
      <c r="I53" s="86" t="str">
        <f ca="1">OFFSET(④結果出力!$D$14,MATCH(③各部被害関数計算結果!$C53,④結果出力!$C$14:$C$113,0)-1,2)</f>
        <v/>
      </c>
      <c r="J53" s="92"/>
    </row>
    <row r="54" spans="1:10" x14ac:dyDescent="0.15">
      <c r="A54" s="58">
        <f>ROW()</f>
        <v>54</v>
      </c>
      <c r="B54" s="85" t="str">
        <f t="shared" ca="1" si="0"/>
        <v/>
      </c>
      <c r="C54" s="85" t="s">
        <v>79</v>
      </c>
      <c r="D54" s="85" t="str">
        <f ca="1">OFFSET(④結果出力!$D$14,MATCH(③各部被害関数計算結果!$C54,④結果出力!$C$14:$C$113,0)-1,0)</f>
        <v/>
      </c>
      <c r="E54" s="85" t="s">
        <v>53</v>
      </c>
      <c r="F54" s="86" t="str">
        <f ca="1">OFFSET(④結果出力!$D$14,MATCH(③各部被害関数計算結果!$C54,④結果出力!$C$14:$C$113,0)-1,18)</f>
        <v/>
      </c>
      <c r="G54" s="86" t="str">
        <f ca="1">OFFSET(④結果出力!$D$14,MATCH(③各部被害関数計算結果!$C54,④結果出力!$C$14:$C$113,0)-1,1)</f>
        <v/>
      </c>
      <c r="H54" s="92"/>
      <c r="I54" s="86" t="str">
        <f ca="1">OFFSET(④結果出力!$D$14,MATCH(③各部被害関数計算結果!$C54,④結果出力!$C$14:$C$113,0)-1,2)</f>
        <v/>
      </c>
      <c r="J54" s="92"/>
    </row>
    <row r="55" spans="1:10" x14ac:dyDescent="0.15">
      <c r="A55" s="58">
        <f>ROW()</f>
        <v>55</v>
      </c>
      <c r="B55" s="85" t="str">
        <f t="shared" ca="1" si="0"/>
        <v/>
      </c>
      <c r="C55" s="85" t="s">
        <v>80</v>
      </c>
      <c r="D55" s="85" t="str">
        <f ca="1">OFFSET(④結果出力!$D$14,MATCH(③各部被害関数計算結果!$C55,④結果出力!$C$14:$C$113,0)-1,0)</f>
        <v/>
      </c>
      <c r="E55" s="85" t="s">
        <v>30</v>
      </c>
      <c r="F55" s="86" t="str">
        <f ca="1">OFFSET(④結果出力!$D$14,MATCH(③各部被害関数計算結果!$C55,④結果出力!$C$14:$C$113,0)-1,3)</f>
        <v/>
      </c>
      <c r="G55" s="86" t="str">
        <f ca="1">OFFSET(④結果出力!$D$14,MATCH(③各部被害関数計算結果!$C55,④結果出力!$C$14:$C$113,0)-1,1)</f>
        <v/>
      </c>
      <c r="H55" s="92"/>
      <c r="I55" s="86" t="str">
        <f ca="1">OFFSET(④結果出力!$D$14,MATCH(③各部被害関数計算結果!$C55,④結果出力!$C$14:$C$113,0)-1,2)</f>
        <v/>
      </c>
      <c r="J55" s="92"/>
    </row>
    <row r="56" spans="1:10" x14ac:dyDescent="0.15">
      <c r="A56" s="58">
        <f>ROW()</f>
        <v>56</v>
      </c>
      <c r="B56" s="85" t="str">
        <f t="shared" ca="1" si="0"/>
        <v/>
      </c>
      <c r="C56" s="85" t="s">
        <v>80</v>
      </c>
      <c r="D56" s="85" t="str">
        <f ca="1">OFFSET(④結果出力!$D$14,MATCH(③各部被害関数計算結果!$C56,④結果出力!$C$14:$C$113,0)-1,0)</f>
        <v/>
      </c>
      <c r="E56" s="85" t="s">
        <v>33</v>
      </c>
      <c r="F56" s="86" t="str">
        <f ca="1">OFFSET(④結果出力!$D$14,MATCH(③各部被害関数計算結果!$C56,④結果出力!$C$14:$C$113,0)-1,8)</f>
        <v/>
      </c>
      <c r="G56" s="86" t="str">
        <f ca="1">OFFSET(④結果出力!$D$14,MATCH(③各部被害関数計算結果!$C56,④結果出力!$C$14:$C$113,0)-1,1)</f>
        <v/>
      </c>
      <c r="H56" s="92"/>
      <c r="I56" s="86" t="str">
        <f ca="1">OFFSET(④結果出力!$D$14,MATCH(③各部被害関数計算結果!$C56,④結果出力!$C$14:$C$113,0)-1,2)</f>
        <v/>
      </c>
      <c r="J56" s="92"/>
    </row>
    <row r="57" spans="1:10" x14ac:dyDescent="0.15">
      <c r="A57" s="58">
        <f>ROW()</f>
        <v>57</v>
      </c>
      <c r="B57" s="85" t="str">
        <f t="shared" ca="1" si="0"/>
        <v/>
      </c>
      <c r="C57" s="85" t="s">
        <v>80</v>
      </c>
      <c r="D57" s="85" t="str">
        <f ca="1">OFFSET(④結果出力!$D$14,MATCH(③各部被害関数計算結果!$C57,④結果出力!$C$14:$C$113,0)-1,0)</f>
        <v/>
      </c>
      <c r="E57" s="85" t="s">
        <v>118</v>
      </c>
      <c r="F57" s="86" t="str">
        <f ca="1">OFFSET(④結果出力!$D$14,MATCH(③各部被害関数計算結果!$C57,④結果出力!$C$14:$C$1133,0)-1,13)</f>
        <v/>
      </c>
      <c r="G57" s="86" t="str">
        <f ca="1">OFFSET(④結果出力!$D$14,MATCH(③各部被害関数計算結果!$C57,④結果出力!$C$14:$C$113,0)-1,1)</f>
        <v/>
      </c>
      <c r="H57" s="92"/>
      <c r="I57" s="86" t="str">
        <f ca="1">OFFSET(④結果出力!$D$14,MATCH(③各部被害関数計算結果!$C57,④結果出力!$C$14:$C$113,0)-1,2)</f>
        <v/>
      </c>
      <c r="J57" s="92"/>
    </row>
    <row r="58" spans="1:10" x14ac:dyDescent="0.15">
      <c r="A58" s="58">
        <f>ROW()</f>
        <v>58</v>
      </c>
      <c r="B58" s="85" t="str">
        <f t="shared" ca="1" si="0"/>
        <v/>
      </c>
      <c r="C58" s="85" t="s">
        <v>80</v>
      </c>
      <c r="D58" s="85" t="str">
        <f ca="1">OFFSET(④結果出力!$D$14,MATCH(③各部被害関数計算結果!$C58,④結果出力!$C$14:$C$113,0)-1,0)</f>
        <v/>
      </c>
      <c r="E58" s="85" t="s">
        <v>53</v>
      </c>
      <c r="F58" s="86" t="str">
        <f ca="1">OFFSET(④結果出力!$D$14,MATCH(③各部被害関数計算結果!$C58,④結果出力!$C$14:$C$113,0)-1,18)</f>
        <v/>
      </c>
      <c r="G58" s="86" t="str">
        <f ca="1">OFFSET(④結果出力!$D$14,MATCH(③各部被害関数計算結果!$C58,④結果出力!$C$14:$C$113,0)-1,1)</f>
        <v/>
      </c>
      <c r="H58" s="92"/>
      <c r="I58" s="86" t="str">
        <f ca="1">OFFSET(④結果出力!$D$14,MATCH(③各部被害関数計算結果!$C58,④結果出力!$C$14:$C$113,0)-1,2)</f>
        <v/>
      </c>
      <c r="J58" s="92"/>
    </row>
    <row r="59" spans="1:10" x14ac:dyDescent="0.15">
      <c r="A59" s="58">
        <f>ROW()</f>
        <v>59</v>
      </c>
      <c r="B59" s="85" t="str">
        <f t="shared" ca="1" si="0"/>
        <v/>
      </c>
      <c r="C59" s="85" t="s">
        <v>121</v>
      </c>
      <c r="D59" s="85" t="str">
        <f ca="1">OFFSET(④結果出力!$D$14,MATCH(③各部被害関数計算結果!$C59,④結果出力!$C$14:$C$113,0)-1,0)</f>
        <v/>
      </c>
      <c r="E59" s="85" t="s">
        <v>30</v>
      </c>
      <c r="F59" s="86" t="str">
        <f ca="1">OFFSET(④結果出力!$D$14,MATCH(③各部被害関数計算結果!$C59,④結果出力!$C$14:$C$113,0)-1,3)</f>
        <v/>
      </c>
      <c r="G59" s="86" t="str">
        <f ca="1">OFFSET(④結果出力!$D$14,MATCH(③各部被害関数計算結果!$C59,④結果出力!$C$14:$C$113,0)-1,1)</f>
        <v/>
      </c>
      <c r="H59" s="92"/>
      <c r="I59" s="86" t="str">
        <f ca="1">OFFSET(④結果出力!$D$14,MATCH(③各部被害関数計算結果!$C59,④結果出力!$C$14:$C$113,0)-1,2)</f>
        <v/>
      </c>
      <c r="J59" s="92"/>
    </row>
    <row r="60" spans="1:10" x14ac:dyDescent="0.15">
      <c r="A60" s="58">
        <f>ROW()</f>
        <v>60</v>
      </c>
      <c r="B60" s="85" t="str">
        <f t="shared" ca="1" si="0"/>
        <v/>
      </c>
      <c r="C60" s="85" t="s">
        <v>121</v>
      </c>
      <c r="D60" s="85" t="str">
        <f ca="1">OFFSET(④結果出力!$D$14,MATCH(③各部被害関数計算結果!$C60,④結果出力!$C$14:$C$113,0)-1,0)</f>
        <v/>
      </c>
      <c r="E60" s="85" t="s">
        <v>33</v>
      </c>
      <c r="F60" s="86" t="str">
        <f ca="1">OFFSET(④結果出力!$D$14,MATCH(③各部被害関数計算結果!$C60,④結果出力!$C$14:$C$113,0)-1,8)</f>
        <v/>
      </c>
      <c r="G60" s="86" t="str">
        <f ca="1">OFFSET(④結果出力!$D$14,MATCH(③各部被害関数計算結果!$C60,④結果出力!$C$14:$C$113,0)-1,1)</f>
        <v/>
      </c>
      <c r="H60" s="92"/>
      <c r="I60" s="86" t="str">
        <f ca="1">OFFSET(④結果出力!$D$14,MATCH(③各部被害関数計算結果!$C60,④結果出力!$C$14:$C$113,0)-1,2)</f>
        <v/>
      </c>
      <c r="J60" s="92"/>
    </row>
    <row r="61" spans="1:10" x14ac:dyDescent="0.15">
      <c r="A61" s="58">
        <f>ROW()</f>
        <v>61</v>
      </c>
      <c r="B61" s="85" t="str">
        <f t="shared" ca="1" si="0"/>
        <v/>
      </c>
      <c r="C61" s="85" t="s">
        <v>121</v>
      </c>
      <c r="D61" s="85" t="str">
        <f ca="1">OFFSET(④結果出力!$D$14,MATCH(③各部被害関数計算結果!$C61,④結果出力!$C$14:$C$113,0)-1,0)</f>
        <v/>
      </c>
      <c r="E61" s="85" t="s">
        <v>118</v>
      </c>
      <c r="F61" s="86" t="str">
        <f ca="1">OFFSET(④結果出力!$D$14,MATCH(③各部被害関数計算結果!$C61,④結果出力!$C$14:$C$1133,0)-1,13)</f>
        <v/>
      </c>
      <c r="G61" s="86" t="str">
        <f ca="1">OFFSET(④結果出力!$D$14,MATCH(③各部被害関数計算結果!$C61,④結果出力!$C$14:$C$113,0)-1,1)</f>
        <v/>
      </c>
      <c r="H61" s="92"/>
      <c r="I61" s="86" t="str">
        <f ca="1">OFFSET(④結果出力!$D$14,MATCH(③各部被害関数計算結果!$C61,④結果出力!$C$14:$C$113,0)-1,2)</f>
        <v/>
      </c>
      <c r="J61" s="92"/>
    </row>
    <row r="62" spans="1:10" x14ac:dyDescent="0.15">
      <c r="A62" s="58">
        <f>ROW()</f>
        <v>62</v>
      </c>
      <c r="B62" s="85" t="str">
        <f t="shared" ca="1" si="0"/>
        <v/>
      </c>
      <c r="C62" s="85" t="s">
        <v>121</v>
      </c>
      <c r="D62" s="85" t="str">
        <f ca="1">OFFSET(④結果出力!$D$14,MATCH(③各部被害関数計算結果!$C62,④結果出力!$C$14:$C$113,0)-1,0)</f>
        <v/>
      </c>
      <c r="E62" s="85" t="s">
        <v>53</v>
      </c>
      <c r="F62" s="86" t="str">
        <f ca="1">OFFSET(④結果出力!$D$14,MATCH(③各部被害関数計算結果!$C62,④結果出力!$C$14:$C$113,0)-1,18)</f>
        <v/>
      </c>
      <c r="G62" s="86" t="str">
        <f ca="1">OFFSET(④結果出力!$D$14,MATCH(③各部被害関数計算結果!$C62,④結果出力!$C$14:$C$113,0)-1,1)</f>
        <v/>
      </c>
      <c r="H62" s="92"/>
      <c r="I62" s="86" t="str">
        <f ca="1">OFFSET(④結果出力!$D$14,MATCH(③各部被害関数計算結果!$C62,④結果出力!$C$14:$C$113,0)-1,2)</f>
        <v/>
      </c>
      <c r="J62" s="92"/>
    </row>
    <row r="63" spans="1:10" x14ac:dyDescent="0.15">
      <c r="A63" s="58">
        <f>ROW()</f>
        <v>63</v>
      </c>
      <c r="B63" s="85" t="str">
        <f t="shared" ca="1" si="0"/>
        <v/>
      </c>
      <c r="C63" s="85" t="s">
        <v>123</v>
      </c>
      <c r="D63" s="85" t="str">
        <f ca="1">OFFSET(④結果出力!$D$14,MATCH(③各部被害関数計算結果!$C63,④結果出力!$C$14:$C$113,0)-1,0)</f>
        <v/>
      </c>
      <c r="E63" s="85" t="s">
        <v>30</v>
      </c>
      <c r="F63" s="86" t="str">
        <f ca="1">OFFSET(④結果出力!$D$14,MATCH(③各部被害関数計算結果!$C63,④結果出力!$C$14:$C$113,0)-1,3)</f>
        <v/>
      </c>
      <c r="G63" s="86" t="str">
        <f ca="1">OFFSET(④結果出力!$D$14,MATCH(③各部被害関数計算結果!$C63,④結果出力!$C$14:$C$113,0)-1,1)</f>
        <v/>
      </c>
      <c r="H63" s="92"/>
      <c r="I63" s="86" t="str">
        <f ca="1">OFFSET(④結果出力!$D$14,MATCH(③各部被害関数計算結果!$C63,④結果出力!$C$14:$C$113,0)-1,2)</f>
        <v/>
      </c>
      <c r="J63" s="92"/>
    </row>
    <row r="64" spans="1:10" x14ac:dyDescent="0.15">
      <c r="A64" s="58">
        <f>ROW()</f>
        <v>64</v>
      </c>
      <c r="B64" s="85" t="str">
        <f t="shared" ca="1" si="0"/>
        <v/>
      </c>
      <c r="C64" s="85" t="s">
        <v>123</v>
      </c>
      <c r="D64" s="85" t="str">
        <f ca="1">OFFSET(④結果出力!$D$14,MATCH(③各部被害関数計算結果!$C64,④結果出力!$C$14:$C$113,0)-1,0)</f>
        <v/>
      </c>
      <c r="E64" s="85" t="s">
        <v>33</v>
      </c>
      <c r="F64" s="86" t="str">
        <f ca="1">OFFSET(④結果出力!$D$14,MATCH(③各部被害関数計算結果!$C64,④結果出力!$C$14:$C$113,0)-1,8)</f>
        <v/>
      </c>
      <c r="G64" s="86" t="str">
        <f ca="1">OFFSET(④結果出力!$D$14,MATCH(③各部被害関数計算結果!$C64,④結果出力!$C$14:$C$113,0)-1,1)</f>
        <v/>
      </c>
      <c r="H64" s="92"/>
      <c r="I64" s="86" t="str">
        <f ca="1">OFFSET(④結果出力!$D$14,MATCH(③各部被害関数計算結果!$C64,④結果出力!$C$14:$C$113,0)-1,2)</f>
        <v/>
      </c>
      <c r="J64" s="92"/>
    </row>
    <row r="65" spans="1:10" x14ac:dyDescent="0.15">
      <c r="A65" s="58">
        <f>ROW()</f>
        <v>65</v>
      </c>
      <c r="B65" s="85" t="str">
        <f t="shared" ca="1" si="0"/>
        <v/>
      </c>
      <c r="C65" s="85" t="s">
        <v>123</v>
      </c>
      <c r="D65" s="85" t="str">
        <f ca="1">OFFSET(④結果出力!$D$14,MATCH(③各部被害関数計算結果!$C65,④結果出力!$C$14:$C$113,0)-1,0)</f>
        <v/>
      </c>
      <c r="E65" s="85" t="s">
        <v>118</v>
      </c>
      <c r="F65" s="86" t="str">
        <f ca="1">OFFSET(④結果出力!$D$14,MATCH(③各部被害関数計算結果!$C65,④結果出力!$C$14:$C$1133,0)-1,13)</f>
        <v/>
      </c>
      <c r="G65" s="86" t="str">
        <f ca="1">OFFSET(④結果出力!$D$14,MATCH(③各部被害関数計算結果!$C65,④結果出力!$C$14:$C$113,0)-1,1)</f>
        <v/>
      </c>
      <c r="H65" s="92"/>
      <c r="I65" s="86" t="str">
        <f ca="1">OFFSET(④結果出力!$D$14,MATCH(③各部被害関数計算結果!$C65,④結果出力!$C$14:$C$113,0)-1,2)</f>
        <v/>
      </c>
      <c r="J65" s="92"/>
    </row>
    <row r="66" spans="1:10" x14ac:dyDescent="0.15">
      <c r="A66" s="58">
        <f>ROW()</f>
        <v>66</v>
      </c>
      <c r="B66" s="85" t="str">
        <f t="shared" ca="1" si="0"/>
        <v/>
      </c>
      <c r="C66" s="85" t="s">
        <v>123</v>
      </c>
      <c r="D66" s="85" t="str">
        <f ca="1">OFFSET(④結果出力!$D$14,MATCH(③各部被害関数計算結果!$C66,④結果出力!$C$14:$C$113,0)-1,0)</f>
        <v/>
      </c>
      <c r="E66" s="85" t="s">
        <v>53</v>
      </c>
      <c r="F66" s="86" t="str">
        <f ca="1">OFFSET(④結果出力!$D$14,MATCH(③各部被害関数計算結果!$C66,④結果出力!$C$14:$C$113,0)-1,18)</f>
        <v/>
      </c>
      <c r="G66" s="86" t="str">
        <f ca="1">OFFSET(④結果出力!$D$14,MATCH(③各部被害関数計算結果!$C66,④結果出力!$C$14:$C$113,0)-1,1)</f>
        <v/>
      </c>
      <c r="H66" s="92"/>
      <c r="I66" s="86" t="str">
        <f ca="1">OFFSET(④結果出力!$D$14,MATCH(③各部被害関数計算結果!$C66,④結果出力!$C$14:$C$113,0)-1,2)</f>
        <v/>
      </c>
      <c r="J66" s="92"/>
    </row>
    <row r="67" spans="1:10" x14ac:dyDescent="0.15">
      <c r="A67" s="58">
        <f>ROW()</f>
        <v>67</v>
      </c>
      <c r="B67" s="85" t="str">
        <f t="shared" ref="B67:B130" ca="1" si="1">IF(D67&lt;&gt;"","●","")</f>
        <v/>
      </c>
      <c r="C67" s="85" t="s">
        <v>124</v>
      </c>
      <c r="D67" s="85" t="str">
        <f ca="1">OFFSET(④結果出力!$D$14,MATCH(③各部被害関数計算結果!$C67,④結果出力!$C$14:$C$113,0)-1,0)</f>
        <v/>
      </c>
      <c r="E67" s="85" t="s">
        <v>30</v>
      </c>
      <c r="F67" s="86" t="str">
        <f ca="1">OFFSET(④結果出力!$D$14,MATCH(③各部被害関数計算結果!$C67,④結果出力!$C$14:$C$113,0)-1,3)</f>
        <v/>
      </c>
      <c r="G67" s="86" t="str">
        <f ca="1">OFFSET(④結果出力!$D$14,MATCH(③各部被害関数計算結果!$C67,④結果出力!$C$14:$C$113,0)-1,1)</f>
        <v/>
      </c>
      <c r="H67" s="92"/>
      <c r="I67" s="86" t="str">
        <f ca="1">OFFSET(④結果出力!$D$14,MATCH(③各部被害関数計算結果!$C67,④結果出力!$C$14:$C$113,0)-1,2)</f>
        <v/>
      </c>
      <c r="J67" s="92"/>
    </row>
    <row r="68" spans="1:10" x14ac:dyDescent="0.15">
      <c r="A68" s="58">
        <f>ROW()</f>
        <v>68</v>
      </c>
      <c r="B68" s="85" t="str">
        <f t="shared" ca="1" si="1"/>
        <v/>
      </c>
      <c r="C68" s="85" t="s">
        <v>124</v>
      </c>
      <c r="D68" s="85" t="str">
        <f ca="1">OFFSET(④結果出力!$D$14,MATCH(③各部被害関数計算結果!$C68,④結果出力!$C$14:$C$113,0)-1,0)</f>
        <v/>
      </c>
      <c r="E68" s="85" t="s">
        <v>33</v>
      </c>
      <c r="F68" s="86" t="str">
        <f ca="1">OFFSET(④結果出力!$D$14,MATCH(③各部被害関数計算結果!$C68,④結果出力!$C$14:$C$113,0)-1,8)</f>
        <v/>
      </c>
      <c r="G68" s="86" t="str">
        <f ca="1">OFFSET(④結果出力!$D$14,MATCH(③各部被害関数計算結果!$C68,④結果出力!$C$14:$C$113,0)-1,1)</f>
        <v/>
      </c>
      <c r="H68" s="92"/>
      <c r="I68" s="86" t="str">
        <f ca="1">OFFSET(④結果出力!$D$14,MATCH(③各部被害関数計算結果!$C68,④結果出力!$C$14:$C$113,0)-1,2)</f>
        <v/>
      </c>
      <c r="J68" s="92"/>
    </row>
    <row r="69" spans="1:10" x14ac:dyDescent="0.15">
      <c r="A69" s="58">
        <f>ROW()</f>
        <v>69</v>
      </c>
      <c r="B69" s="85" t="str">
        <f t="shared" ca="1" si="1"/>
        <v/>
      </c>
      <c r="C69" s="85" t="s">
        <v>124</v>
      </c>
      <c r="D69" s="85" t="str">
        <f ca="1">OFFSET(④結果出力!$D$14,MATCH(③各部被害関数計算結果!$C69,④結果出力!$C$14:$C$113,0)-1,0)</f>
        <v/>
      </c>
      <c r="E69" s="85" t="s">
        <v>118</v>
      </c>
      <c r="F69" s="86" t="str">
        <f ca="1">OFFSET(④結果出力!$D$14,MATCH(③各部被害関数計算結果!$C69,④結果出力!$C$14:$C$1133,0)-1,13)</f>
        <v/>
      </c>
      <c r="G69" s="86" t="str">
        <f ca="1">OFFSET(④結果出力!$D$14,MATCH(③各部被害関数計算結果!$C69,④結果出力!$C$14:$C$113,0)-1,1)</f>
        <v/>
      </c>
      <c r="H69" s="92"/>
      <c r="I69" s="86" t="str">
        <f ca="1">OFFSET(④結果出力!$D$14,MATCH(③各部被害関数計算結果!$C69,④結果出力!$C$14:$C$113,0)-1,2)</f>
        <v/>
      </c>
      <c r="J69" s="92"/>
    </row>
    <row r="70" spans="1:10" x14ac:dyDescent="0.15">
      <c r="A70" s="58">
        <f>ROW()</f>
        <v>70</v>
      </c>
      <c r="B70" s="85" t="str">
        <f t="shared" ca="1" si="1"/>
        <v/>
      </c>
      <c r="C70" s="85" t="s">
        <v>124</v>
      </c>
      <c r="D70" s="85" t="str">
        <f ca="1">OFFSET(④結果出力!$D$14,MATCH(③各部被害関数計算結果!$C70,④結果出力!$C$14:$C$113,0)-1,0)</f>
        <v/>
      </c>
      <c r="E70" s="85" t="s">
        <v>53</v>
      </c>
      <c r="F70" s="86" t="str">
        <f ca="1">OFFSET(④結果出力!$D$14,MATCH(③各部被害関数計算結果!$C70,④結果出力!$C$14:$C$113,0)-1,18)</f>
        <v/>
      </c>
      <c r="G70" s="86" t="str">
        <f ca="1">OFFSET(④結果出力!$D$14,MATCH(③各部被害関数計算結果!$C70,④結果出力!$C$14:$C$113,0)-1,1)</f>
        <v/>
      </c>
      <c r="H70" s="92"/>
      <c r="I70" s="86" t="str">
        <f ca="1">OFFSET(④結果出力!$D$14,MATCH(③各部被害関数計算結果!$C70,④結果出力!$C$14:$C$113,0)-1,2)</f>
        <v/>
      </c>
      <c r="J70" s="92"/>
    </row>
    <row r="71" spans="1:10" x14ac:dyDescent="0.15">
      <c r="A71" s="58">
        <f>ROW()</f>
        <v>71</v>
      </c>
      <c r="B71" s="85" t="str">
        <f t="shared" ca="1" si="1"/>
        <v/>
      </c>
      <c r="C71" s="85" t="s">
        <v>125</v>
      </c>
      <c r="D71" s="85" t="str">
        <f ca="1">OFFSET(④結果出力!$D$14,MATCH(③各部被害関数計算結果!$C71,④結果出力!$C$14:$C$113,0)-1,0)</f>
        <v/>
      </c>
      <c r="E71" s="85" t="s">
        <v>30</v>
      </c>
      <c r="F71" s="86" t="str">
        <f ca="1">OFFSET(④結果出力!$D$14,MATCH(③各部被害関数計算結果!$C71,④結果出力!$C$14:$C$113,0)-1,3)</f>
        <v/>
      </c>
      <c r="G71" s="86" t="str">
        <f ca="1">OFFSET(④結果出力!$D$14,MATCH(③各部被害関数計算結果!$C71,④結果出力!$C$14:$C$113,0)-1,1)</f>
        <v/>
      </c>
      <c r="H71" s="92"/>
      <c r="I71" s="86" t="str">
        <f ca="1">OFFSET(④結果出力!$D$14,MATCH(③各部被害関数計算結果!$C71,④結果出力!$C$14:$C$113,0)-1,2)</f>
        <v/>
      </c>
      <c r="J71" s="92"/>
    </row>
    <row r="72" spans="1:10" x14ac:dyDescent="0.15">
      <c r="A72" s="58">
        <f>ROW()</f>
        <v>72</v>
      </c>
      <c r="B72" s="85" t="str">
        <f t="shared" ca="1" si="1"/>
        <v/>
      </c>
      <c r="C72" s="85" t="s">
        <v>125</v>
      </c>
      <c r="D72" s="85" t="str">
        <f ca="1">OFFSET(④結果出力!$D$14,MATCH(③各部被害関数計算結果!$C72,④結果出力!$C$14:$C$113,0)-1,0)</f>
        <v/>
      </c>
      <c r="E72" s="85" t="s">
        <v>33</v>
      </c>
      <c r="F72" s="86" t="str">
        <f ca="1">OFFSET(④結果出力!$D$14,MATCH(③各部被害関数計算結果!$C72,④結果出力!$C$14:$C$113,0)-1,8)</f>
        <v/>
      </c>
      <c r="G72" s="86" t="str">
        <f ca="1">OFFSET(④結果出力!$D$14,MATCH(③各部被害関数計算結果!$C72,④結果出力!$C$14:$C$113,0)-1,1)</f>
        <v/>
      </c>
      <c r="H72" s="92"/>
      <c r="I72" s="86" t="str">
        <f ca="1">OFFSET(④結果出力!$D$14,MATCH(③各部被害関数計算結果!$C72,④結果出力!$C$14:$C$113,0)-1,2)</f>
        <v/>
      </c>
      <c r="J72" s="92"/>
    </row>
    <row r="73" spans="1:10" x14ac:dyDescent="0.15">
      <c r="A73" s="58">
        <f>ROW()</f>
        <v>73</v>
      </c>
      <c r="B73" s="85" t="str">
        <f t="shared" ca="1" si="1"/>
        <v/>
      </c>
      <c r="C73" s="85" t="s">
        <v>125</v>
      </c>
      <c r="D73" s="85" t="str">
        <f ca="1">OFFSET(④結果出力!$D$14,MATCH(③各部被害関数計算結果!$C73,④結果出力!$C$14:$C$113,0)-1,0)</f>
        <v/>
      </c>
      <c r="E73" s="85" t="s">
        <v>118</v>
      </c>
      <c r="F73" s="86" t="str">
        <f ca="1">OFFSET(④結果出力!$D$14,MATCH(③各部被害関数計算結果!$C73,④結果出力!$C$14:$C$1133,0)-1,13)</f>
        <v/>
      </c>
      <c r="G73" s="86" t="str">
        <f ca="1">OFFSET(④結果出力!$D$14,MATCH(③各部被害関数計算結果!$C73,④結果出力!$C$14:$C$113,0)-1,1)</f>
        <v/>
      </c>
      <c r="H73" s="92"/>
      <c r="I73" s="86" t="str">
        <f ca="1">OFFSET(④結果出力!$D$14,MATCH(③各部被害関数計算結果!$C73,④結果出力!$C$14:$C$113,0)-1,2)</f>
        <v/>
      </c>
      <c r="J73" s="92"/>
    </row>
    <row r="74" spans="1:10" x14ac:dyDescent="0.15">
      <c r="A74" s="58">
        <f>ROW()</f>
        <v>74</v>
      </c>
      <c r="B74" s="85" t="str">
        <f t="shared" ca="1" si="1"/>
        <v/>
      </c>
      <c r="C74" s="85" t="s">
        <v>125</v>
      </c>
      <c r="D74" s="85" t="str">
        <f ca="1">OFFSET(④結果出力!$D$14,MATCH(③各部被害関数計算結果!$C74,④結果出力!$C$14:$C$113,0)-1,0)</f>
        <v/>
      </c>
      <c r="E74" s="85" t="s">
        <v>53</v>
      </c>
      <c r="F74" s="86" t="str">
        <f ca="1">OFFSET(④結果出力!$D$14,MATCH(③各部被害関数計算結果!$C74,④結果出力!$C$14:$C$113,0)-1,18)</f>
        <v/>
      </c>
      <c r="G74" s="86" t="str">
        <f ca="1">OFFSET(④結果出力!$D$14,MATCH(③各部被害関数計算結果!$C74,④結果出力!$C$14:$C$113,0)-1,1)</f>
        <v/>
      </c>
      <c r="H74" s="92"/>
      <c r="I74" s="86" t="str">
        <f ca="1">OFFSET(④結果出力!$D$14,MATCH(③各部被害関数計算結果!$C74,④結果出力!$C$14:$C$113,0)-1,2)</f>
        <v/>
      </c>
      <c r="J74" s="92"/>
    </row>
    <row r="75" spans="1:10" x14ac:dyDescent="0.15">
      <c r="A75" s="58">
        <f>ROW()</f>
        <v>75</v>
      </c>
      <c r="B75" s="85" t="str">
        <f t="shared" ca="1" si="1"/>
        <v/>
      </c>
      <c r="C75" s="85" t="s">
        <v>126</v>
      </c>
      <c r="D75" s="85" t="str">
        <f ca="1">OFFSET(④結果出力!$D$14,MATCH(③各部被害関数計算結果!$C75,④結果出力!$C$14:$C$113,0)-1,0)</f>
        <v/>
      </c>
      <c r="E75" s="85" t="s">
        <v>30</v>
      </c>
      <c r="F75" s="86" t="str">
        <f ca="1">OFFSET(④結果出力!$D$14,MATCH(③各部被害関数計算結果!$C75,④結果出力!$C$14:$C$113,0)-1,3)</f>
        <v/>
      </c>
      <c r="G75" s="86" t="str">
        <f ca="1">OFFSET(④結果出力!$D$14,MATCH(③各部被害関数計算結果!$C75,④結果出力!$C$14:$C$113,0)-1,1)</f>
        <v/>
      </c>
      <c r="H75" s="92"/>
      <c r="I75" s="86" t="str">
        <f ca="1">OFFSET(④結果出力!$D$14,MATCH(③各部被害関数計算結果!$C75,④結果出力!$C$14:$C$113,0)-1,2)</f>
        <v/>
      </c>
      <c r="J75" s="92"/>
    </row>
    <row r="76" spans="1:10" x14ac:dyDescent="0.15">
      <c r="A76" s="58">
        <f>ROW()</f>
        <v>76</v>
      </c>
      <c r="B76" s="85" t="str">
        <f t="shared" ca="1" si="1"/>
        <v/>
      </c>
      <c r="C76" s="85" t="s">
        <v>126</v>
      </c>
      <c r="D76" s="85" t="str">
        <f ca="1">OFFSET(④結果出力!$D$14,MATCH(③各部被害関数計算結果!$C76,④結果出力!$C$14:$C$113,0)-1,0)</f>
        <v/>
      </c>
      <c r="E76" s="85" t="s">
        <v>33</v>
      </c>
      <c r="F76" s="86" t="str">
        <f ca="1">OFFSET(④結果出力!$D$14,MATCH(③各部被害関数計算結果!$C76,④結果出力!$C$14:$C$113,0)-1,8)</f>
        <v/>
      </c>
      <c r="G76" s="86" t="str">
        <f ca="1">OFFSET(④結果出力!$D$14,MATCH(③各部被害関数計算結果!$C76,④結果出力!$C$14:$C$113,0)-1,1)</f>
        <v/>
      </c>
      <c r="H76" s="92"/>
      <c r="I76" s="86" t="str">
        <f ca="1">OFFSET(④結果出力!$D$14,MATCH(③各部被害関数計算結果!$C76,④結果出力!$C$14:$C$113,0)-1,2)</f>
        <v/>
      </c>
      <c r="J76" s="92"/>
    </row>
    <row r="77" spans="1:10" x14ac:dyDescent="0.15">
      <c r="A77" s="58">
        <f>ROW()</f>
        <v>77</v>
      </c>
      <c r="B77" s="85" t="str">
        <f t="shared" ca="1" si="1"/>
        <v/>
      </c>
      <c r="C77" s="85" t="s">
        <v>126</v>
      </c>
      <c r="D77" s="85" t="str">
        <f ca="1">OFFSET(④結果出力!$D$14,MATCH(③各部被害関数計算結果!$C77,④結果出力!$C$14:$C$113,0)-1,0)</f>
        <v/>
      </c>
      <c r="E77" s="85" t="s">
        <v>118</v>
      </c>
      <c r="F77" s="86" t="str">
        <f ca="1">OFFSET(④結果出力!$D$14,MATCH(③各部被害関数計算結果!$C77,④結果出力!$C$14:$C$1133,0)-1,13)</f>
        <v/>
      </c>
      <c r="G77" s="86" t="str">
        <f ca="1">OFFSET(④結果出力!$D$14,MATCH(③各部被害関数計算結果!$C77,④結果出力!$C$14:$C$113,0)-1,1)</f>
        <v/>
      </c>
      <c r="H77" s="92"/>
      <c r="I77" s="86" t="str">
        <f ca="1">OFFSET(④結果出力!$D$14,MATCH(③各部被害関数計算結果!$C77,④結果出力!$C$14:$C$113,0)-1,2)</f>
        <v/>
      </c>
      <c r="J77" s="92"/>
    </row>
    <row r="78" spans="1:10" x14ac:dyDescent="0.15">
      <c r="A78" s="58">
        <f>ROW()</f>
        <v>78</v>
      </c>
      <c r="B78" s="85" t="str">
        <f t="shared" ca="1" si="1"/>
        <v/>
      </c>
      <c r="C78" s="85" t="s">
        <v>126</v>
      </c>
      <c r="D78" s="85" t="str">
        <f ca="1">OFFSET(④結果出力!$D$14,MATCH(③各部被害関数計算結果!$C78,④結果出力!$C$14:$C$113,0)-1,0)</f>
        <v/>
      </c>
      <c r="E78" s="85" t="s">
        <v>53</v>
      </c>
      <c r="F78" s="86" t="str">
        <f ca="1">OFFSET(④結果出力!$D$14,MATCH(③各部被害関数計算結果!$C78,④結果出力!$C$14:$C$113,0)-1,18)</f>
        <v/>
      </c>
      <c r="G78" s="86" t="str">
        <f ca="1">OFFSET(④結果出力!$D$14,MATCH(③各部被害関数計算結果!$C78,④結果出力!$C$14:$C$113,0)-1,1)</f>
        <v/>
      </c>
      <c r="H78" s="92"/>
      <c r="I78" s="86" t="str">
        <f ca="1">OFFSET(④結果出力!$D$14,MATCH(③各部被害関数計算結果!$C78,④結果出力!$C$14:$C$113,0)-1,2)</f>
        <v/>
      </c>
      <c r="J78" s="92"/>
    </row>
    <row r="79" spans="1:10" x14ac:dyDescent="0.15">
      <c r="A79" s="58">
        <f>ROW()</f>
        <v>79</v>
      </c>
      <c r="B79" s="85" t="str">
        <f t="shared" ca="1" si="1"/>
        <v/>
      </c>
      <c r="C79" s="85" t="s">
        <v>127</v>
      </c>
      <c r="D79" s="85" t="str">
        <f ca="1">OFFSET(④結果出力!$D$14,MATCH(③各部被害関数計算結果!$C79,④結果出力!$C$14:$C$113,0)-1,0)</f>
        <v/>
      </c>
      <c r="E79" s="85" t="s">
        <v>30</v>
      </c>
      <c r="F79" s="86" t="str">
        <f ca="1">OFFSET(④結果出力!$D$14,MATCH(③各部被害関数計算結果!$C79,④結果出力!$C$14:$C$113,0)-1,3)</f>
        <v/>
      </c>
      <c r="G79" s="86" t="str">
        <f ca="1">OFFSET(④結果出力!$D$14,MATCH(③各部被害関数計算結果!$C79,④結果出力!$C$14:$C$113,0)-1,1)</f>
        <v/>
      </c>
      <c r="H79" s="92"/>
      <c r="I79" s="86" t="str">
        <f ca="1">OFFSET(④結果出力!$D$14,MATCH(③各部被害関数計算結果!$C79,④結果出力!$C$14:$C$113,0)-1,2)</f>
        <v/>
      </c>
      <c r="J79" s="92"/>
    </row>
    <row r="80" spans="1:10" x14ac:dyDescent="0.15">
      <c r="A80" s="58">
        <f>ROW()</f>
        <v>80</v>
      </c>
      <c r="B80" s="85" t="str">
        <f t="shared" ca="1" si="1"/>
        <v/>
      </c>
      <c r="C80" s="85" t="s">
        <v>127</v>
      </c>
      <c r="D80" s="85" t="str">
        <f ca="1">OFFSET(④結果出力!$D$14,MATCH(③各部被害関数計算結果!$C80,④結果出力!$C$14:$C$113,0)-1,0)</f>
        <v/>
      </c>
      <c r="E80" s="85" t="s">
        <v>33</v>
      </c>
      <c r="F80" s="86" t="str">
        <f ca="1">OFFSET(④結果出力!$D$14,MATCH(③各部被害関数計算結果!$C80,④結果出力!$C$14:$C$113,0)-1,8)</f>
        <v/>
      </c>
      <c r="G80" s="86" t="str">
        <f ca="1">OFFSET(④結果出力!$D$14,MATCH(③各部被害関数計算結果!$C80,④結果出力!$C$14:$C$113,0)-1,1)</f>
        <v/>
      </c>
      <c r="H80" s="92"/>
      <c r="I80" s="86" t="str">
        <f ca="1">OFFSET(④結果出力!$D$14,MATCH(③各部被害関数計算結果!$C80,④結果出力!$C$14:$C$113,0)-1,2)</f>
        <v/>
      </c>
      <c r="J80" s="92"/>
    </row>
    <row r="81" spans="1:10" x14ac:dyDescent="0.15">
      <c r="A81" s="58">
        <f>ROW()</f>
        <v>81</v>
      </c>
      <c r="B81" s="85" t="str">
        <f t="shared" ca="1" si="1"/>
        <v/>
      </c>
      <c r="C81" s="85" t="s">
        <v>127</v>
      </c>
      <c r="D81" s="85" t="str">
        <f ca="1">OFFSET(④結果出力!$D$14,MATCH(③各部被害関数計算結果!$C81,④結果出力!$C$14:$C$113,0)-1,0)</f>
        <v/>
      </c>
      <c r="E81" s="85" t="s">
        <v>118</v>
      </c>
      <c r="F81" s="86" t="str">
        <f ca="1">OFFSET(④結果出力!$D$14,MATCH(③各部被害関数計算結果!$C81,④結果出力!$C$14:$C$1133,0)-1,13)</f>
        <v/>
      </c>
      <c r="G81" s="86" t="str">
        <f ca="1">OFFSET(④結果出力!$D$14,MATCH(③各部被害関数計算結果!$C81,④結果出力!$C$14:$C$113,0)-1,1)</f>
        <v/>
      </c>
      <c r="H81" s="92"/>
      <c r="I81" s="86" t="str">
        <f ca="1">OFFSET(④結果出力!$D$14,MATCH(③各部被害関数計算結果!$C81,④結果出力!$C$14:$C$113,0)-1,2)</f>
        <v/>
      </c>
      <c r="J81" s="92"/>
    </row>
    <row r="82" spans="1:10" x14ac:dyDescent="0.15">
      <c r="A82" s="58">
        <f>ROW()</f>
        <v>82</v>
      </c>
      <c r="B82" s="85" t="str">
        <f t="shared" ca="1" si="1"/>
        <v/>
      </c>
      <c r="C82" s="85" t="s">
        <v>127</v>
      </c>
      <c r="D82" s="85" t="str">
        <f ca="1">OFFSET(④結果出力!$D$14,MATCH(③各部被害関数計算結果!$C82,④結果出力!$C$14:$C$113,0)-1,0)</f>
        <v/>
      </c>
      <c r="E82" s="85" t="s">
        <v>53</v>
      </c>
      <c r="F82" s="86" t="str">
        <f ca="1">OFFSET(④結果出力!$D$14,MATCH(③各部被害関数計算結果!$C82,④結果出力!$C$14:$C$113,0)-1,18)</f>
        <v/>
      </c>
      <c r="G82" s="86" t="str">
        <f ca="1">OFFSET(④結果出力!$D$14,MATCH(③各部被害関数計算結果!$C82,④結果出力!$C$14:$C$113,0)-1,1)</f>
        <v/>
      </c>
      <c r="H82" s="92"/>
      <c r="I82" s="86" t="str">
        <f ca="1">OFFSET(④結果出力!$D$14,MATCH(③各部被害関数計算結果!$C82,④結果出力!$C$14:$C$113,0)-1,2)</f>
        <v/>
      </c>
      <c r="J82" s="92"/>
    </row>
    <row r="83" spans="1:10" x14ac:dyDescent="0.15">
      <c r="A83" s="58">
        <f>ROW()</f>
        <v>83</v>
      </c>
      <c r="B83" s="85" t="str">
        <f t="shared" ca="1" si="1"/>
        <v/>
      </c>
      <c r="C83" s="85" t="s">
        <v>256</v>
      </c>
      <c r="D83" s="85" t="str">
        <f ca="1">OFFSET(④結果出力!$D$14,MATCH(③各部被害関数計算結果!$C83,④結果出力!$C$14:$C$113,0)-1,0)</f>
        <v/>
      </c>
      <c r="E83" s="85" t="s">
        <v>30</v>
      </c>
      <c r="F83" s="86" t="str">
        <f ca="1">OFFSET(④結果出力!$D$14,MATCH(③各部被害関数計算結果!$C83,④結果出力!$C$14:$C$113,0)-1,3)</f>
        <v/>
      </c>
      <c r="G83" s="86" t="str">
        <f ca="1">OFFSET(④結果出力!$D$14,MATCH(③各部被害関数計算結果!$C83,④結果出力!$C$14:$C$113,0)-1,1)</f>
        <v/>
      </c>
      <c r="H83" s="92"/>
      <c r="I83" s="86" t="str">
        <f ca="1">OFFSET(④結果出力!$D$14,MATCH(③各部被害関数計算結果!$C83,④結果出力!$C$14:$C$113,0)-1,2)</f>
        <v/>
      </c>
      <c r="J83" s="92"/>
    </row>
    <row r="84" spans="1:10" x14ac:dyDescent="0.15">
      <c r="A84" s="58">
        <f>ROW()</f>
        <v>84</v>
      </c>
      <c r="B84" s="85" t="str">
        <f t="shared" ca="1" si="1"/>
        <v/>
      </c>
      <c r="C84" s="85" t="s">
        <v>256</v>
      </c>
      <c r="D84" s="85" t="str">
        <f ca="1">OFFSET(④結果出力!$D$14,MATCH(③各部被害関数計算結果!$C84,④結果出力!$C$14:$C$113,0)-1,0)</f>
        <v/>
      </c>
      <c r="E84" s="85" t="s">
        <v>33</v>
      </c>
      <c r="F84" s="86" t="str">
        <f ca="1">OFFSET(④結果出力!$D$14,MATCH(③各部被害関数計算結果!$C84,④結果出力!$C$14:$C$113,0)-1,8)</f>
        <v/>
      </c>
      <c r="G84" s="86" t="str">
        <f ca="1">OFFSET(④結果出力!$D$14,MATCH(③各部被害関数計算結果!$C84,④結果出力!$C$14:$C$113,0)-1,1)</f>
        <v/>
      </c>
      <c r="H84" s="92"/>
      <c r="I84" s="86" t="str">
        <f ca="1">OFFSET(④結果出力!$D$14,MATCH(③各部被害関数計算結果!$C84,④結果出力!$C$14:$C$113,0)-1,2)</f>
        <v/>
      </c>
      <c r="J84" s="92"/>
    </row>
    <row r="85" spans="1:10" x14ac:dyDescent="0.15">
      <c r="A85" s="58">
        <f>ROW()</f>
        <v>85</v>
      </c>
      <c r="B85" s="85" t="str">
        <f t="shared" ca="1" si="1"/>
        <v/>
      </c>
      <c r="C85" s="85" t="s">
        <v>256</v>
      </c>
      <c r="D85" s="85" t="str">
        <f ca="1">OFFSET(④結果出力!$D$14,MATCH(③各部被害関数計算結果!$C85,④結果出力!$C$14:$C$113,0)-1,0)</f>
        <v/>
      </c>
      <c r="E85" s="85" t="s">
        <v>118</v>
      </c>
      <c r="F85" s="86" t="str">
        <f ca="1">OFFSET(④結果出力!$D$14,MATCH(③各部被害関数計算結果!$C85,④結果出力!$C$14:$C$1133,0)-1,13)</f>
        <v/>
      </c>
      <c r="G85" s="86" t="str">
        <f ca="1">OFFSET(④結果出力!$D$14,MATCH(③各部被害関数計算結果!$C85,④結果出力!$C$14:$C$113,0)-1,1)</f>
        <v/>
      </c>
      <c r="H85" s="92"/>
      <c r="I85" s="86" t="str">
        <f ca="1">OFFSET(④結果出力!$D$14,MATCH(③各部被害関数計算結果!$C85,④結果出力!$C$14:$C$113,0)-1,2)</f>
        <v/>
      </c>
      <c r="J85" s="92"/>
    </row>
    <row r="86" spans="1:10" x14ac:dyDescent="0.15">
      <c r="A86" s="58">
        <f>ROW()</f>
        <v>86</v>
      </c>
      <c r="B86" s="85" t="str">
        <f t="shared" ca="1" si="1"/>
        <v/>
      </c>
      <c r="C86" s="85" t="s">
        <v>256</v>
      </c>
      <c r="D86" s="85" t="str">
        <f ca="1">OFFSET(④結果出力!$D$14,MATCH(③各部被害関数計算結果!$C86,④結果出力!$C$14:$C$113,0)-1,0)</f>
        <v/>
      </c>
      <c r="E86" s="85" t="s">
        <v>53</v>
      </c>
      <c r="F86" s="86" t="str">
        <f ca="1">OFFSET(④結果出力!$D$14,MATCH(③各部被害関数計算結果!$C86,④結果出力!$C$14:$C$113,0)-1,18)</f>
        <v/>
      </c>
      <c r="G86" s="86" t="str">
        <f ca="1">OFFSET(④結果出力!$D$14,MATCH(③各部被害関数計算結果!$C86,④結果出力!$C$14:$C$113,0)-1,1)</f>
        <v/>
      </c>
      <c r="H86" s="92"/>
      <c r="I86" s="86" t="str">
        <f ca="1">OFFSET(④結果出力!$D$14,MATCH(③各部被害関数計算結果!$C86,④結果出力!$C$14:$C$113,0)-1,2)</f>
        <v/>
      </c>
      <c r="J86" s="92"/>
    </row>
    <row r="87" spans="1:10" x14ac:dyDescent="0.15">
      <c r="A87" s="58">
        <f>ROW()</f>
        <v>87</v>
      </c>
      <c r="B87" s="85" t="str">
        <f t="shared" ca="1" si="1"/>
        <v/>
      </c>
      <c r="C87" s="85" t="s">
        <v>257</v>
      </c>
      <c r="D87" s="85" t="str">
        <f ca="1">OFFSET(④結果出力!$D$14,MATCH(③各部被害関数計算結果!$C87,④結果出力!$C$14:$C$113,0)-1,0)</f>
        <v/>
      </c>
      <c r="E87" s="85" t="s">
        <v>30</v>
      </c>
      <c r="F87" s="86" t="str">
        <f ca="1">OFFSET(④結果出力!$D$14,MATCH(③各部被害関数計算結果!$C87,④結果出力!$C$14:$C$113,0)-1,3)</f>
        <v/>
      </c>
      <c r="G87" s="86" t="str">
        <f ca="1">OFFSET(④結果出力!$D$14,MATCH(③各部被害関数計算結果!$C87,④結果出力!$C$14:$C$113,0)-1,1)</f>
        <v/>
      </c>
      <c r="H87" s="92"/>
      <c r="I87" s="86" t="str">
        <f ca="1">OFFSET(④結果出力!$D$14,MATCH(③各部被害関数計算結果!$C87,④結果出力!$C$14:$C$113,0)-1,2)</f>
        <v/>
      </c>
      <c r="J87" s="92"/>
    </row>
    <row r="88" spans="1:10" x14ac:dyDescent="0.15">
      <c r="A88" s="58">
        <f>ROW()</f>
        <v>88</v>
      </c>
      <c r="B88" s="85" t="str">
        <f t="shared" ca="1" si="1"/>
        <v/>
      </c>
      <c r="C88" s="85" t="s">
        <v>257</v>
      </c>
      <c r="D88" s="85" t="str">
        <f ca="1">OFFSET(④結果出力!$D$14,MATCH(③各部被害関数計算結果!$C88,④結果出力!$C$14:$C$113,0)-1,0)</f>
        <v/>
      </c>
      <c r="E88" s="85" t="s">
        <v>33</v>
      </c>
      <c r="F88" s="86" t="str">
        <f ca="1">OFFSET(④結果出力!$D$14,MATCH(③各部被害関数計算結果!$C88,④結果出力!$C$14:$C$113,0)-1,8)</f>
        <v/>
      </c>
      <c r="G88" s="86" t="str">
        <f ca="1">OFFSET(④結果出力!$D$14,MATCH(③各部被害関数計算結果!$C88,④結果出力!$C$14:$C$113,0)-1,1)</f>
        <v/>
      </c>
      <c r="H88" s="92"/>
      <c r="I88" s="86" t="str">
        <f ca="1">OFFSET(④結果出力!$D$14,MATCH(③各部被害関数計算結果!$C88,④結果出力!$C$14:$C$113,0)-1,2)</f>
        <v/>
      </c>
      <c r="J88" s="92"/>
    </row>
    <row r="89" spans="1:10" x14ac:dyDescent="0.15">
      <c r="A89" s="58">
        <f>ROW()</f>
        <v>89</v>
      </c>
      <c r="B89" s="85" t="str">
        <f t="shared" ca="1" si="1"/>
        <v/>
      </c>
      <c r="C89" s="85" t="s">
        <v>257</v>
      </c>
      <c r="D89" s="85" t="str">
        <f ca="1">OFFSET(④結果出力!$D$14,MATCH(③各部被害関数計算結果!$C89,④結果出力!$C$14:$C$113,0)-1,0)</f>
        <v/>
      </c>
      <c r="E89" s="85" t="s">
        <v>118</v>
      </c>
      <c r="F89" s="86" t="str">
        <f ca="1">OFFSET(④結果出力!$D$14,MATCH(③各部被害関数計算結果!$C89,④結果出力!$C$14:$C$1133,0)-1,13)</f>
        <v/>
      </c>
      <c r="G89" s="86" t="str">
        <f ca="1">OFFSET(④結果出力!$D$14,MATCH(③各部被害関数計算結果!$C89,④結果出力!$C$14:$C$113,0)-1,1)</f>
        <v/>
      </c>
      <c r="H89" s="92"/>
      <c r="I89" s="86" t="str">
        <f ca="1">OFFSET(④結果出力!$D$14,MATCH(③各部被害関数計算結果!$C89,④結果出力!$C$14:$C$113,0)-1,2)</f>
        <v/>
      </c>
      <c r="J89" s="92"/>
    </row>
    <row r="90" spans="1:10" x14ac:dyDescent="0.15">
      <c r="A90" s="58">
        <f>ROW()</f>
        <v>90</v>
      </c>
      <c r="B90" s="85" t="str">
        <f t="shared" ca="1" si="1"/>
        <v/>
      </c>
      <c r="C90" s="85" t="s">
        <v>257</v>
      </c>
      <c r="D90" s="85" t="str">
        <f ca="1">OFFSET(④結果出力!$D$14,MATCH(③各部被害関数計算結果!$C90,④結果出力!$C$14:$C$113,0)-1,0)</f>
        <v/>
      </c>
      <c r="E90" s="85" t="s">
        <v>53</v>
      </c>
      <c r="F90" s="86" t="str">
        <f ca="1">OFFSET(④結果出力!$D$14,MATCH(③各部被害関数計算結果!$C90,④結果出力!$C$14:$C$113,0)-1,18)</f>
        <v/>
      </c>
      <c r="G90" s="86" t="str">
        <f ca="1">OFFSET(④結果出力!$D$14,MATCH(③各部被害関数計算結果!$C90,④結果出力!$C$14:$C$113,0)-1,1)</f>
        <v/>
      </c>
      <c r="H90" s="92"/>
      <c r="I90" s="86" t="str">
        <f ca="1">OFFSET(④結果出力!$D$14,MATCH(③各部被害関数計算結果!$C90,④結果出力!$C$14:$C$113,0)-1,2)</f>
        <v/>
      </c>
      <c r="J90" s="92"/>
    </row>
    <row r="91" spans="1:10" x14ac:dyDescent="0.15">
      <c r="A91" s="58">
        <f>ROW()</f>
        <v>91</v>
      </c>
      <c r="B91" s="85" t="str">
        <f t="shared" ca="1" si="1"/>
        <v/>
      </c>
      <c r="C91" s="85" t="s">
        <v>258</v>
      </c>
      <c r="D91" s="85" t="str">
        <f ca="1">OFFSET(④結果出力!$D$14,MATCH(③各部被害関数計算結果!$C91,④結果出力!$C$14:$C$113,0)-1,0)</f>
        <v/>
      </c>
      <c r="E91" s="85" t="s">
        <v>30</v>
      </c>
      <c r="F91" s="86" t="str">
        <f ca="1">OFFSET(④結果出力!$D$14,MATCH(③各部被害関数計算結果!$C91,④結果出力!$C$14:$C$113,0)-1,3)</f>
        <v/>
      </c>
      <c r="G91" s="86" t="str">
        <f ca="1">OFFSET(④結果出力!$D$14,MATCH(③各部被害関数計算結果!$C91,④結果出力!$C$14:$C$113,0)-1,1)</f>
        <v/>
      </c>
      <c r="H91" s="92"/>
      <c r="I91" s="86" t="str">
        <f ca="1">OFFSET(④結果出力!$D$14,MATCH(③各部被害関数計算結果!$C91,④結果出力!$C$14:$C$113,0)-1,2)</f>
        <v/>
      </c>
      <c r="J91" s="92"/>
    </row>
    <row r="92" spans="1:10" x14ac:dyDescent="0.15">
      <c r="A92" s="58">
        <f>ROW()</f>
        <v>92</v>
      </c>
      <c r="B92" s="85" t="str">
        <f t="shared" ca="1" si="1"/>
        <v/>
      </c>
      <c r="C92" s="85" t="s">
        <v>258</v>
      </c>
      <c r="D92" s="85" t="str">
        <f ca="1">OFFSET(④結果出力!$D$14,MATCH(③各部被害関数計算結果!$C92,④結果出力!$C$14:$C$113,0)-1,0)</f>
        <v/>
      </c>
      <c r="E92" s="85" t="s">
        <v>33</v>
      </c>
      <c r="F92" s="86" t="str">
        <f ca="1">OFFSET(④結果出力!$D$14,MATCH(③各部被害関数計算結果!$C92,④結果出力!$C$14:$C$113,0)-1,8)</f>
        <v/>
      </c>
      <c r="G92" s="86" t="str">
        <f ca="1">OFFSET(④結果出力!$D$14,MATCH(③各部被害関数計算結果!$C92,④結果出力!$C$14:$C$113,0)-1,1)</f>
        <v/>
      </c>
      <c r="H92" s="92"/>
      <c r="I92" s="86" t="str">
        <f ca="1">OFFSET(④結果出力!$D$14,MATCH(③各部被害関数計算結果!$C92,④結果出力!$C$14:$C$113,0)-1,2)</f>
        <v/>
      </c>
      <c r="J92" s="92"/>
    </row>
    <row r="93" spans="1:10" x14ac:dyDescent="0.15">
      <c r="A93" s="58">
        <f>ROW()</f>
        <v>93</v>
      </c>
      <c r="B93" s="85" t="str">
        <f t="shared" ca="1" si="1"/>
        <v/>
      </c>
      <c r="C93" s="85" t="s">
        <v>258</v>
      </c>
      <c r="D93" s="85" t="str">
        <f ca="1">OFFSET(④結果出力!$D$14,MATCH(③各部被害関数計算結果!$C93,④結果出力!$C$14:$C$113,0)-1,0)</f>
        <v/>
      </c>
      <c r="E93" s="85" t="s">
        <v>118</v>
      </c>
      <c r="F93" s="86" t="str">
        <f ca="1">OFFSET(④結果出力!$D$14,MATCH(③各部被害関数計算結果!$C93,④結果出力!$C$14:$C$1133,0)-1,13)</f>
        <v/>
      </c>
      <c r="G93" s="86" t="str">
        <f ca="1">OFFSET(④結果出力!$D$14,MATCH(③各部被害関数計算結果!$C93,④結果出力!$C$14:$C$113,0)-1,1)</f>
        <v/>
      </c>
      <c r="H93" s="92"/>
      <c r="I93" s="86" t="str">
        <f ca="1">OFFSET(④結果出力!$D$14,MATCH(③各部被害関数計算結果!$C93,④結果出力!$C$14:$C$113,0)-1,2)</f>
        <v/>
      </c>
      <c r="J93" s="92"/>
    </row>
    <row r="94" spans="1:10" x14ac:dyDescent="0.15">
      <c r="A94" s="58">
        <f>ROW()</f>
        <v>94</v>
      </c>
      <c r="B94" s="85" t="str">
        <f t="shared" ca="1" si="1"/>
        <v/>
      </c>
      <c r="C94" s="85" t="s">
        <v>258</v>
      </c>
      <c r="D94" s="85" t="str">
        <f ca="1">OFFSET(④結果出力!$D$14,MATCH(③各部被害関数計算結果!$C94,④結果出力!$C$14:$C$113,0)-1,0)</f>
        <v/>
      </c>
      <c r="E94" s="85" t="s">
        <v>53</v>
      </c>
      <c r="F94" s="86" t="str">
        <f ca="1">OFFSET(④結果出力!$D$14,MATCH(③各部被害関数計算結果!$C94,④結果出力!$C$14:$C$113,0)-1,18)</f>
        <v/>
      </c>
      <c r="G94" s="86" t="str">
        <f ca="1">OFFSET(④結果出力!$D$14,MATCH(③各部被害関数計算結果!$C94,④結果出力!$C$14:$C$113,0)-1,1)</f>
        <v/>
      </c>
      <c r="H94" s="92"/>
      <c r="I94" s="86" t="str">
        <f ca="1">OFFSET(④結果出力!$D$14,MATCH(③各部被害関数計算結果!$C94,④結果出力!$C$14:$C$113,0)-1,2)</f>
        <v/>
      </c>
      <c r="J94" s="92"/>
    </row>
    <row r="95" spans="1:10" x14ac:dyDescent="0.15">
      <c r="A95" s="58">
        <f>ROW()</f>
        <v>95</v>
      </c>
      <c r="B95" s="85" t="str">
        <f t="shared" ca="1" si="1"/>
        <v/>
      </c>
      <c r="C95" s="85" t="s">
        <v>259</v>
      </c>
      <c r="D95" s="85" t="str">
        <f ca="1">OFFSET(④結果出力!$D$14,MATCH(③各部被害関数計算結果!$C95,④結果出力!$C$14:$C$113,0)-1,0)</f>
        <v/>
      </c>
      <c r="E95" s="85" t="s">
        <v>30</v>
      </c>
      <c r="F95" s="86" t="str">
        <f ca="1">OFFSET(④結果出力!$D$14,MATCH(③各部被害関数計算結果!$C95,④結果出力!$C$14:$C$113,0)-1,3)</f>
        <v/>
      </c>
      <c r="G95" s="86" t="str">
        <f ca="1">OFFSET(④結果出力!$D$14,MATCH(③各部被害関数計算結果!$C95,④結果出力!$C$14:$C$113,0)-1,1)</f>
        <v/>
      </c>
      <c r="H95" s="92"/>
      <c r="I95" s="86" t="str">
        <f ca="1">OFFSET(④結果出力!$D$14,MATCH(③各部被害関数計算結果!$C95,④結果出力!$C$14:$C$113,0)-1,2)</f>
        <v/>
      </c>
      <c r="J95" s="92"/>
    </row>
    <row r="96" spans="1:10" x14ac:dyDescent="0.15">
      <c r="A96" s="58">
        <f>ROW()</f>
        <v>96</v>
      </c>
      <c r="B96" s="85" t="str">
        <f t="shared" ca="1" si="1"/>
        <v/>
      </c>
      <c r="C96" s="85" t="s">
        <v>259</v>
      </c>
      <c r="D96" s="85" t="str">
        <f ca="1">OFFSET(④結果出力!$D$14,MATCH(③各部被害関数計算結果!$C96,④結果出力!$C$14:$C$113,0)-1,0)</f>
        <v/>
      </c>
      <c r="E96" s="85" t="s">
        <v>33</v>
      </c>
      <c r="F96" s="86" t="str">
        <f ca="1">OFFSET(④結果出力!$D$14,MATCH(③各部被害関数計算結果!$C96,④結果出力!$C$14:$C$113,0)-1,8)</f>
        <v/>
      </c>
      <c r="G96" s="86" t="str">
        <f ca="1">OFFSET(④結果出力!$D$14,MATCH(③各部被害関数計算結果!$C96,④結果出力!$C$14:$C$113,0)-1,1)</f>
        <v/>
      </c>
      <c r="H96" s="92"/>
      <c r="I96" s="86" t="str">
        <f ca="1">OFFSET(④結果出力!$D$14,MATCH(③各部被害関数計算結果!$C96,④結果出力!$C$14:$C$113,0)-1,2)</f>
        <v/>
      </c>
      <c r="J96" s="92"/>
    </row>
    <row r="97" spans="1:10" x14ac:dyDescent="0.15">
      <c r="A97" s="58">
        <f>ROW()</f>
        <v>97</v>
      </c>
      <c r="B97" s="85" t="str">
        <f t="shared" ca="1" si="1"/>
        <v/>
      </c>
      <c r="C97" s="85" t="s">
        <v>259</v>
      </c>
      <c r="D97" s="85" t="str">
        <f ca="1">OFFSET(④結果出力!$D$14,MATCH(③各部被害関数計算結果!$C97,④結果出力!$C$14:$C$113,0)-1,0)</f>
        <v/>
      </c>
      <c r="E97" s="85" t="s">
        <v>118</v>
      </c>
      <c r="F97" s="86" t="str">
        <f ca="1">OFFSET(④結果出力!$D$14,MATCH(③各部被害関数計算結果!$C97,④結果出力!$C$14:$C$1133,0)-1,13)</f>
        <v/>
      </c>
      <c r="G97" s="86" t="str">
        <f ca="1">OFFSET(④結果出力!$D$14,MATCH(③各部被害関数計算結果!$C97,④結果出力!$C$14:$C$113,0)-1,1)</f>
        <v/>
      </c>
      <c r="H97" s="92"/>
      <c r="I97" s="86" t="str">
        <f ca="1">OFFSET(④結果出力!$D$14,MATCH(③各部被害関数計算結果!$C97,④結果出力!$C$14:$C$113,0)-1,2)</f>
        <v/>
      </c>
      <c r="J97" s="92"/>
    </row>
    <row r="98" spans="1:10" x14ac:dyDescent="0.15">
      <c r="A98" s="58">
        <f>ROW()</f>
        <v>98</v>
      </c>
      <c r="B98" s="85" t="str">
        <f t="shared" ca="1" si="1"/>
        <v/>
      </c>
      <c r="C98" s="85" t="s">
        <v>259</v>
      </c>
      <c r="D98" s="85" t="str">
        <f ca="1">OFFSET(④結果出力!$D$14,MATCH(③各部被害関数計算結果!$C98,④結果出力!$C$14:$C$113,0)-1,0)</f>
        <v/>
      </c>
      <c r="E98" s="85" t="s">
        <v>53</v>
      </c>
      <c r="F98" s="86" t="str">
        <f ca="1">OFFSET(④結果出力!$D$14,MATCH(③各部被害関数計算結果!$C98,④結果出力!$C$14:$C$113,0)-1,18)</f>
        <v/>
      </c>
      <c r="G98" s="86" t="str">
        <f ca="1">OFFSET(④結果出力!$D$14,MATCH(③各部被害関数計算結果!$C98,④結果出力!$C$14:$C$113,0)-1,1)</f>
        <v/>
      </c>
      <c r="H98" s="92"/>
      <c r="I98" s="86" t="str">
        <f ca="1">OFFSET(④結果出力!$D$14,MATCH(③各部被害関数計算結果!$C98,④結果出力!$C$14:$C$113,0)-1,2)</f>
        <v/>
      </c>
      <c r="J98" s="92"/>
    </row>
    <row r="99" spans="1:10" x14ac:dyDescent="0.15">
      <c r="A99" s="58">
        <f>ROW()</f>
        <v>99</v>
      </c>
      <c r="B99" s="85" t="str">
        <f t="shared" ca="1" si="1"/>
        <v/>
      </c>
      <c r="C99" s="85" t="s">
        <v>260</v>
      </c>
      <c r="D99" s="85" t="str">
        <f ca="1">OFFSET(④結果出力!$D$14,MATCH(③各部被害関数計算結果!$C99,④結果出力!$C$14:$C$113,0)-1,0)</f>
        <v/>
      </c>
      <c r="E99" s="85" t="s">
        <v>30</v>
      </c>
      <c r="F99" s="86" t="str">
        <f ca="1">OFFSET(④結果出力!$D$14,MATCH(③各部被害関数計算結果!$C99,④結果出力!$C$14:$C$113,0)-1,3)</f>
        <v/>
      </c>
      <c r="G99" s="86" t="str">
        <f ca="1">OFFSET(④結果出力!$D$14,MATCH(③各部被害関数計算結果!$C99,④結果出力!$C$14:$C$113,0)-1,1)</f>
        <v/>
      </c>
      <c r="H99" s="92"/>
      <c r="I99" s="86" t="str">
        <f ca="1">OFFSET(④結果出力!$D$14,MATCH(③各部被害関数計算結果!$C99,④結果出力!$C$14:$C$113,0)-1,2)</f>
        <v/>
      </c>
      <c r="J99" s="92"/>
    </row>
    <row r="100" spans="1:10" x14ac:dyDescent="0.15">
      <c r="A100" s="58">
        <f>ROW()</f>
        <v>100</v>
      </c>
      <c r="B100" s="85" t="str">
        <f t="shared" ca="1" si="1"/>
        <v/>
      </c>
      <c r="C100" s="85" t="s">
        <v>260</v>
      </c>
      <c r="D100" s="85" t="str">
        <f ca="1">OFFSET(④結果出力!$D$14,MATCH(③各部被害関数計算結果!$C100,④結果出力!$C$14:$C$113,0)-1,0)</f>
        <v/>
      </c>
      <c r="E100" s="85" t="s">
        <v>33</v>
      </c>
      <c r="F100" s="86" t="str">
        <f ca="1">OFFSET(④結果出力!$D$14,MATCH(③各部被害関数計算結果!$C100,④結果出力!$C$14:$C$113,0)-1,8)</f>
        <v/>
      </c>
      <c r="G100" s="86" t="str">
        <f ca="1">OFFSET(④結果出力!$D$14,MATCH(③各部被害関数計算結果!$C100,④結果出力!$C$14:$C$113,0)-1,1)</f>
        <v/>
      </c>
      <c r="H100" s="92"/>
      <c r="I100" s="86" t="str">
        <f ca="1">OFFSET(④結果出力!$D$14,MATCH(③各部被害関数計算結果!$C100,④結果出力!$C$14:$C$113,0)-1,2)</f>
        <v/>
      </c>
      <c r="J100" s="92"/>
    </row>
    <row r="101" spans="1:10" x14ac:dyDescent="0.15">
      <c r="A101" s="58">
        <f>ROW()</f>
        <v>101</v>
      </c>
      <c r="B101" s="85" t="str">
        <f t="shared" ca="1" si="1"/>
        <v/>
      </c>
      <c r="C101" s="85" t="s">
        <v>260</v>
      </c>
      <c r="D101" s="85" t="str">
        <f ca="1">OFFSET(④結果出力!$D$14,MATCH(③各部被害関数計算結果!$C101,④結果出力!$C$14:$C$113,0)-1,0)</f>
        <v/>
      </c>
      <c r="E101" s="85" t="s">
        <v>118</v>
      </c>
      <c r="F101" s="86" t="str">
        <f ca="1">OFFSET(④結果出力!$D$14,MATCH(③各部被害関数計算結果!$C101,④結果出力!$C$14:$C$1133,0)-1,13)</f>
        <v/>
      </c>
      <c r="G101" s="86" t="str">
        <f ca="1">OFFSET(④結果出力!$D$14,MATCH(③各部被害関数計算結果!$C101,④結果出力!$C$14:$C$113,0)-1,1)</f>
        <v/>
      </c>
      <c r="H101" s="92"/>
      <c r="I101" s="86" t="str">
        <f ca="1">OFFSET(④結果出力!$D$14,MATCH(③各部被害関数計算結果!$C101,④結果出力!$C$14:$C$113,0)-1,2)</f>
        <v/>
      </c>
      <c r="J101" s="92"/>
    </row>
    <row r="102" spans="1:10" x14ac:dyDescent="0.15">
      <c r="A102" s="58">
        <f>ROW()</f>
        <v>102</v>
      </c>
      <c r="B102" s="85" t="str">
        <f t="shared" ca="1" si="1"/>
        <v/>
      </c>
      <c r="C102" s="85" t="s">
        <v>260</v>
      </c>
      <c r="D102" s="85" t="str">
        <f ca="1">OFFSET(④結果出力!$D$14,MATCH(③各部被害関数計算結果!$C102,④結果出力!$C$14:$C$113,0)-1,0)</f>
        <v/>
      </c>
      <c r="E102" s="85" t="s">
        <v>53</v>
      </c>
      <c r="F102" s="86" t="str">
        <f ca="1">OFFSET(④結果出力!$D$14,MATCH(③各部被害関数計算結果!$C102,④結果出力!$C$14:$C$113,0)-1,18)</f>
        <v/>
      </c>
      <c r="G102" s="86" t="str">
        <f ca="1">OFFSET(④結果出力!$D$14,MATCH(③各部被害関数計算結果!$C102,④結果出力!$C$14:$C$113,0)-1,1)</f>
        <v/>
      </c>
      <c r="H102" s="92"/>
      <c r="I102" s="86" t="str">
        <f ca="1">OFFSET(④結果出力!$D$14,MATCH(③各部被害関数計算結果!$C102,④結果出力!$C$14:$C$113,0)-1,2)</f>
        <v/>
      </c>
      <c r="J102" s="92"/>
    </row>
    <row r="103" spans="1:10" x14ac:dyDescent="0.15">
      <c r="A103" s="58">
        <f>ROW()</f>
        <v>103</v>
      </c>
      <c r="B103" s="85" t="str">
        <f t="shared" ca="1" si="1"/>
        <v/>
      </c>
      <c r="C103" s="85" t="s">
        <v>261</v>
      </c>
      <c r="D103" s="85" t="str">
        <f ca="1">OFFSET(④結果出力!$D$14,MATCH(③各部被害関数計算結果!$C103,④結果出力!$C$14:$C$113,0)-1,0)</f>
        <v/>
      </c>
      <c r="E103" s="85" t="s">
        <v>30</v>
      </c>
      <c r="F103" s="86" t="str">
        <f ca="1">OFFSET(④結果出力!$D$14,MATCH(③各部被害関数計算結果!$C103,④結果出力!$C$14:$C$113,0)-1,3)</f>
        <v/>
      </c>
      <c r="G103" s="86" t="str">
        <f ca="1">OFFSET(④結果出力!$D$14,MATCH(③各部被害関数計算結果!$C103,④結果出力!$C$14:$C$113,0)-1,1)</f>
        <v/>
      </c>
      <c r="H103" s="92"/>
      <c r="I103" s="86" t="str">
        <f ca="1">OFFSET(④結果出力!$D$14,MATCH(③各部被害関数計算結果!$C103,④結果出力!$C$14:$C$113,0)-1,2)</f>
        <v/>
      </c>
      <c r="J103" s="92"/>
    </row>
    <row r="104" spans="1:10" x14ac:dyDescent="0.15">
      <c r="A104" s="58">
        <f>ROW()</f>
        <v>104</v>
      </c>
      <c r="B104" s="85" t="str">
        <f t="shared" ca="1" si="1"/>
        <v/>
      </c>
      <c r="C104" s="85" t="s">
        <v>261</v>
      </c>
      <c r="D104" s="85" t="str">
        <f ca="1">OFFSET(④結果出力!$D$14,MATCH(③各部被害関数計算結果!$C104,④結果出力!$C$14:$C$113,0)-1,0)</f>
        <v/>
      </c>
      <c r="E104" s="85" t="s">
        <v>33</v>
      </c>
      <c r="F104" s="86" t="str">
        <f ca="1">OFFSET(④結果出力!$D$14,MATCH(③各部被害関数計算結果!$C104,④結果出力!$C$14:$C$113,0)-1,8)</f>
        <v/>
      </c>
      <c r="G104" s="86" t="str">
        <f ca="1">OFFSET(④結果出力!$D$14,MATCH(③各部被害関数計算結果!$C104,④結果出力!$C$14:$C$113,0)-1,1)</f>
        <v/>
      </c>
      <c r="H104" s="92"/>
      <c r="I104" s="86" t="str">
        <f ca="1">OFFSET(④結果出力!$D$14,MATCH(③各部被害関数計算結果!$C104,④結果出力!$C$14:$C$113,0)-1,2)</f>
        <v/>
      </c>
      <c r="J104" s="92"/>
    </row>
    <row r="105" spans="1:10" x14ac:dyDescent="0.15">
      <c r="A105" s="58">
        <f>ROW()</f>
        <v>105</v>
      </c>
      <c r="B105" s="85" t="str">
        <f t="shared" ca="1" si="1"/>
        <v/>
      </c>
      <c r="C105" s="85" t="s">
        <v>261</v>
      </c>
      <c r="D105" s="85" t="str">
        <f ca="1">OFFSET(④結果出力!$D$14,MATCH(③各部被害関数計算結果!$C105,④結果出力!$C$14:$C$113,0)-1,0)</f>
        <v/>
      </c>
      <c r="E105" s="85" t="s">
        <v>118</v>
      </c>
      <c r="F105" s="86" t="str">
        <f ca="1">OFFSET(④結果出力!$D$14,MATCH(③各部被害関数計算結果!$C105,④結果出力!$C$14:$C$1133,0)-1,13)</f>
        <v/>
      </c>
      <c r="G105" s="86" t="str">
        <f ca="1">OFFSET(④結果出力!$D$14,MATCH(③各部被害関数計算結果!$C105,④結果出力!$C$14:$C$113,0)-1,1)</f>
        <v/>
      </c>
      <c r="H105" s="92"/>
      <c r="I105" s="86" t="str">
        <f ca="1">OFFSET(④結果出力!$D$14,MATCH(③各部被害関数計算結果!$C105,④結果出力!$C$14:$C$113,0)-1,2)</f>
        <v/>
      </c>
      <c r="J105" s="92"/>
    </row>
    <row r="106" spans="1:10" x14ac:dyDescent="0.15">
      <c r="A106" s="58">
        <f>ROW()</f>
        <v>106</v>
      </c>
      <c r="B106" s="85" t="str">
        <f t="shared" ca="1" si="1"/>
        <v/>
      </c>
      <c r="C106" s="85" t="s">
        <v>261</v>
      </c>
      <c r="D106" s="85" t="str">
        <f ca="1">OFFSET(④結果出力!$D$14,MATCH(③各部被害関数計算結果!$C106,④結果出力!$C$14:$C$113,0)-1,0)</f>
        <v/>
      </c>
      <c r="E106" s="85" t="s">
        <v>53</v>
      </c>
      <c r="F106" s="86" t="str">
        <f ca="1">OFFSET(④結果出力!$D$14,MATCH(③各部被害関数計算結果!$C106,④結果出力!$C$14:$C$113,0)-1,18)</f>
        <v/>
      </c>
      <c r="G106" s="86" t="str">
        <f ca="1">OFFSET(④結果出力!$D$14,MATCH(③各部被害関数計算結果!$C106,④結果出力!$C$14:$C$113,0)-1,1)</f>
        <v/>
      </c>
      <c r="H106" s="92"/>
      <c r="I106" s="86" t="str">
        <f ca="1">OFFSET(④結果出力!$D$14,MATCH(③各部被害関数計算結果!$C106,④結果出力!$C$14:$C$113,0)-1,2)</f>
        <v/>
      </c>
      <c r="J106" s="92"/>
    </row>
    <row r="107" spans="1:10" x14ac:dyDescent="0.15">
      <c r="A107" s="58">
        <f>ROW()</f>
        <v>107</v>
      </c>
      <c r="B107" s="85" t="str">
        <f t="shared" ca="1" si="1"/>
        <v/>
      </c>
      <c r="C107" s="85" t="s">
        <v>262</v>
      </c>
      <c r="D107" s="85" t="str">
        <f ca="1">OFFSET(④結果出力!$D$14,MATCH(③各部被害関数計算結果!$C107,④結果出力!$C$14:$C$113,0)-1,0)</f>
        <v/>
      </c>
      <c r="E107" s="85" t="s">
        <v>30</v>
      </c>
      <c r="F107" s="86" t="str">
        <f ca="1">OFFSET(④結果出力!$D$14,MATCH(③各部被害関数計算結果!$C107,④結果出力!$C$14:$C$113,0)-1,3)</f>
        <v/>
      </c>
      <c r="G107" s="86" t="str">
        <f ca="1">OFFSET(④結果出力!$D$14,MATCH(③各部被害関数計算結果!$C107,④結果出力!$C$14:$C$113,0)-1,1)</f>
        <v/>
      </c>
      <c r="H107" s="92"/>
      <c r="I107" s="86" t="str">
        <f ca="1">OFFSET(④結果出力!$D$14,MATCH(③各部被害関数計算結果!$C107,④結果出力!$C$14:$C$113,0)-1,2)</f>
        <v/>
      </c>
      <c r="J107" s="92"/>
    </row>
    <row r="108" spans="1:10" x14ac:dyDescent="0.15">
      <c r="A108" s="58">
        <f>ROW()</f>
        <v>108</v>
      </c>
      <c r="B108" s="85" t="str">
        <f t="shared" ca="1" si="1"/>
        <v/>
      </c>
      <c r="C108" s="85" t="s">
        <v>262</v>
      </c>
      <c r="D108" s="85" t="str">
        <f ca="1">OFFSET(④結果出力!$D$14,MATCH(③各部被害関数計算結果!$C108,④結果出力!$C$14:$C$113,0)-1,0)</f>
        <v/>
      </c>
      <c r="E108" s="85" t="s">
        <v>33</v>
      </c>
      <c r="F108" s="86" t="str">
        <f ca="1">OFFSET(④結果出力!$D$14,MATCH(③各部被害関数計算結果!$C108,④結果出力!$C$14:$C$113,0)-1,8)</f>
        <v/>
      </c>
      <c r="G108" s="86" t="str">
        <f ca="1">OFFSET(④結果出力!$D$14,MATCH(③各部被害関数計算結果!$C108,④結果出力!$C$14:$C$113,0)-1,1)</f>
        <v/>
      </c>
      <c r="H108" s="92"/>
      <c r="I108" s="86" t="str">
        <f ca="1">OFFSET(④結果出力!$D$14,MATCH(③各部被害関数計算結果!$C108,④結果出力!$C$14:$C$113,0)-1,2)</f>
        <v/>
      </c>
      <c r="J108" s="92"/>
    </row>
    <row r="109" spans="1:10" x14ac:dyDescent="0.15">
      <c r="A109" s="58">
        <f>ROW()</f>
        <v>109</v>
      </c>
      <c r="B109" s="85" t="str">
        <f t="shared" ca="1" si="1"/>
        <v/>
      </c>
      <c r="C109" s="85" t="s">
        <v>262</v>
      </c>
      <c r="D109" s="85" t="str">
        <f ca="1">OFFSET(④結果出力!$D$14,MATCH(③各部被害関数計算結果!$C109,④結果出力!$C$14:$C$113,0)-1,0)</f>
        <v/>
      </c>
      <c r="E109" s="85" t="s">
        <v>118</v>
      </c>
      <c r="F109" s="86" t="str">
        <f ca="1">OFFSET(④結果出力!$D$14,MATCH(③各部被害関数計算結果!$C109,④結果出力!$C$14:$C$1133,0)-1,13)</f>
        <v/>
      </c>
      <c r="G109" s="86" t="str">
        <f ca="1">OFFSET(④結果出力!$D$14,MATCH(③各部被害関数計算結果!$C109,④結果出力!$C$14:$C$113,0)-1,1)</f>
        <v/>
      </c>
      <c r="H109" s="92"/>
      <c r="I109" s="86" t="str">
        <f ca="1">OFFSET(④結果出力!$D$14,MATCH(③各部被害関数計算結果!$C109,④結果出力!$C$14:$C$113,0)-1,2)</f>
        <v/>
      </c>
      <c r="J109" s="92"/>
    </row>
    <row r="110" spans="1:10" x14ac:dyDescent="0.15">
      <c r="A110" s="58">
        <f>ROW()</f>
        <v>110</v>
      </c>
      <c r="B110" s="85" t="str">
        <f t="shared" ca="1" si="1"/>
        <v/>
      </c>
      <c r="C110" s="85" t="s">
        <v>262</v>
      </c>
      <c r="D110" s="85" t="str">
        <f ca="1">OFFSET(④結果出力!$D$14,MATCH(③各部被害関数計算結果!$C110,④結果出力!$C$14:$C$113,0)-1,0)</f>
        <v/>
      </c>
      <c r="E110" s="85" t="s">
        <v>53</v>
      </c>
      <c r="F110" s="86" t="str">
        <f ca="1">OFFSET(④結果出力!$D$14,MATCH(③各部被害関数計算結果!$C110,④結果出力!$C$14:$C$113,0)-1,18)</f>
        <v/>
      </c>
      <c r="G110" s="86" t="str">
        <f ca="1">OFFSET(④結果出力!$D$14,MATCH(③各部被害関数計算結果!$C110,④結果出力!$C$14:$C$113,0)-1,1)</f>
        <v/>
      </c>
      <c r="H110" s="92"/>
      <c r="I110" s="86" t="str">
        <f ca="1">OFFSET(④結果出力!$D$14,MATCH(③各部被害関数計算結果!$C110,④結果出力!$C$14:$C$113,0)-1,2)</f>
        <v/>
      </c>
      <c r="J110" s="92"/>
    </row>
    <row r="111" spans="1:10" x14ac:dyDescent="0.15">
      <c r="A111" s="58">
        <f>ROW()</f>
        <v>111</v>
      </c>
      <c r="B111" s="85" t="str">
        <f t="shared" ca="1" si="1"/>
        <v/>
      </c>
      <c r="C111" s="85" t="s">
        <v>263</v>
      </c>
      <c r="D111" s="85" t="str">
        <f ca="1">OFFSET(④結果出力!$D$14,MATCH(③各部被害関数計算結果!$C111,④結果出力!$C$14:$C$113,0)-1,0)</f>
        <v/>
      </c>
      <c r="E111" s="85" t="s">
        <v>30</v>
      </c>
      <c r="F111" s="86" t="str">
        <f ca="1">OFFSET(④結果出力!$D$14,MATCH(③各部被害関数計算結果!$C111,④結果出力!$C$14:$C$113,0)-1,3)</f>
        <v/>
      </c>
      <c r="G111" s="86" t="str">
        <f ca="1">OFFSET(④結果出力!$D$14,MATCH(③各部被害関数計算結果!$C111,④結果出力!$C$14:$C$113,0)-1,1)</f>
        <v/>
      </c>
      <c r="H111" s="92"/>
      <c r="I111" s="86" t="str">
        <f ca="1">OFFSET(④結果出力!$D$14,MATCH(③各部被害関数計算結果!$C111,④結果出力!$C$14:$C$113,0)-1,2)</f>
        <v/>
      </c>
      <c r="J111" s="92"/>
    </row>
    <row r="112" spans="1:10" x14ac:dyDescent="0.15">
      <c r="A112" s="58">
        <f>ROW()</f>
        <v>112</v>
      </c>
      <c r="B112" s="85" t="str">
        <f t="shared" ca="1" si="1"/>
        <v/>
      </c>
      <c r="C112" s="85" t="s">
        <v>263</v>
      </c>
      <c r="D112" s="85" t="str">
        <f ca="1">OFFSET(④結果出力!$D$14,MATCH(③各部被害関数計算結果!$C112,④結果出力!$C$14:$C$113,0)-1,0)</f>
        <v/>
      </c>
      <c r="E112" s="85" t="s">
        <v>33</v>
      </c>
      <c r="F112" s="86" t="str">
        <f ca="1">OFFSET(④結果出力!$D$14,MATCH(③各部被害関数計算結果!$C112,④結果出力!$C$14:$C$113,0)-1,8)</f>
        <v/>
      </c>
      <c r="G112" s="86" t="str">
        <f ca="1">OFFSET(④結果出力!$D$14,MATCH(③各部被害関数計算結果!$C112,④結果出力!$C$14:$C$113,0)-1,1)</f>
        <v/>
      </c>
      <c r="H112" s="92"/>
      <c r="I112" s="86" t="str">
        <f ca="1">OFFSET(④結果出力!$D$14,MATCH(③各部被害関数計算結果!$C112,④結果出力!$C$14:$C$113,0)-1,2)</f>
        <v/>
      </c>
      <c r="J112" s="92"/>
    </row>
    <row r="113" spans="1:10" x14ac:dyDescent="0.15">
      <c r="A113" s="58">
        <f>ROW()</f>
        <v>113</v>
      </c>
      <c r="B113" s="85" t="str">
        <f t="shared" ca="1" si="1"/>
        <v/>
      </c>
      <c r="C113" s="85" t="s">
        <v>263</v>
      </c>
      <c r="D113" s="85" t="str">
        <f ca="1">OFFSET(④結果出力!$D$14,MATCH(③各部被害関数計算結果!$C113,④結果出力!$C$14:$C$113,0)-1,0)</f>
        <v/>
      </c>
      <c r="E113" s="85" t="s">
        <v>118</v>
      </c>
      <c r="F113" s="86" t="str">
        <f ca="1">OFFSET(④結果出力!$D$14,MATCH(③各部被害関数計算結果!$C113,④結果出力!$C$14:$C$1133,0)-1,13)</f>
        <v/>
      </c>
      <c r="G113" s="86" t="str">
        <f ca="1">OFFSET(④結果出力!$D$14,MATCH(③各部被害関数計算結果!$C113,④結果出力!$C$14:$C$113,0)-1,1)</f>
        <v/>
      </c>
      <c r="H113" s="92"/>
      <c r="I113" s="86" t="str">
        <f ca="1">OFFSET(④結果出力!$D$14,MATCH(③各部被害関数計算結果!$C113,④結果出力!$C$14:$C$113,0)-1,2)</f>
        <v/>
      </c>
      <c r="J113" s="92"/>
    </row>
    <row r="114" spans="1:10" x14ac:dyDescent="0.15">
      <c r="A114" s="58">
        <f>ROW()</f>
        <v>114</v>
      </c>
      <c r="B114" s="85" t="str">
        <f t="shared" ca="1" si="1"/>
        <v/>
      </c>
      <c r="C114" s="85" t="s">
        <v>263</v>
      </c>
      <c r="D114" s="85" t="str">
        <f ca="1">OFFSET(④結果出力!$D$14,MATCH(③各部被害関数計算結果!$C114,④結果出力!$C$14:$C$113,0)-1,0)</f>
        <v/>
      </c>
      <c r="E114" s="85" t="s">
        <v>53</v>
      </c>
      <c r="F114" s="86" t="str">
        <f ca="1">OFFSET(④結果出力!$D$14,MATCH(③各部被害関数計算結果!$C114,④結果出力!$C$14:$C$113,0)-1,18)</f>
        <v/>
      </c>
      <c r="G114" s="86" t="str">
        <f ca="1">OFFSET(④結果出力!$D$14,MATCH(③各部被害関数計算結果!$C114,④結果出力!$C$14:$C$113,0)-1,1)</f>
        <v/>
      </c>
      <c r="H114" s="92"/>
      <c r="I114" s="86" t="str">
        <f ca="1">OFFSET(④結果出力!$D$14,MATCH(③各部被害関数計算結果!$C114,④結果出力!$C$14:$C$113,0)-1,2)</f>
        <v/>
      </c>
      <c r="J114" s="92"/>
    </row>
    <row r="115" spans="1:10" x14ac:dyDescent="0.15">
      <c r="A115" s="58">
        <f>ROW()</f>
        <v>115</v>
      </c>
      <c r="B115" s="85" t="str">
        <f t="shared" ca="1" si="1"/>
        <v/>
      </c>
      <c r="C115" s="85" t="s">
        <v>264</v>
      </c>
      <c r="D115" s="85" t="str">
        <f ca="1">OFFSET(④結果出力!$D$14,MATCH(③各部被害関数計算結果!$C115,④結果出力!$C$14:$C$113,0)-1,0)</f>
        <v/>
      </c>
      <c r="E115" s="85" t="s">
        <v>30</v>
      </c>
      <c r="F115" s="86" t="str">
        <f ca="1">OFFSET(④結果出力!$D$14,MATCH(③各部被害関数計算結果!$C115,④結果出力!$C$14:$C$113,0)-1,3)</f>
        <v/>
      </c>
      <c r="G115" s="86" t="str">
        <f ca="1">OFFSET(④結果出力!$D$14,MATCH(③各部被害関数計算結果!$C115,④結果出力!$C$14:$C$113,0)-1,1)</f>
        <v/>
      </c>
      <c r="H115" s="92"/>
      <c r="I115" s="86" t="str">
        <f ca="1">OFFSET(④結果出力!$D$14,MATCH(③各部被害関数計算結果!$C115,④結果出力!$C$14:$C$113,0)-1,2)</f>
        <v/>
      </c>
      <c r="J115" s="92"/>
    </row>
    <row r="116" spans="1:10" x14ac:dyDescent="0.15">
      <c r="A116" s="58">
        <f>ROW()</f>
        <v>116</v>
      </c>
      <c r="B116" s="85" t="str">
        <f t="shared" ca="1" si="1"/>
        <v/>
      </c>
      <c r="C116" s="85" t="s">
        <v>264</v>
      </c>
      <c r="D116" s="85" t="str">
        <f ca="1">OFFSET(④結果出力!$D$14,MATCH(③各部被害関数計算結果!$C116,④結果出力!$C$14:$C$113,0)-1,0)</f>
        <v/>
      </c>
      <c r="E116" s="85" t="s">
        <v>33</v>
      </c>
      <c r="F116" s="86" t="str">
        <f ca="1">OFFSET(④結果出力!$D$14,MATCH(③各部被害関数計算結果!$C116,④結果出力!$C$14:$C$113,0)-1,8)</f>
        <v/>
      </c>
      <c r="G116" s="86" t="str">
        <f ca="1">OFFSET(④結果出力!$D$14,MATCH(③各部被害関数計算結果!$C116,④結果出力!$C$14:$C$113,0)-1,1)</f>
        <v/>
      </c>
      <c r="H116" s="92"/>
      <c r="I116" s="86" t="str">
        <f ca="1">OFFSET(④結果出力!$D$14,MATCH(③各部被害関数計算結果!$C116,④結果出力!$C$14:$C$113,0)-1,2)</f>
        <v/>
      </c>
      <c r="J116" s="92"/>
    </row>
    <row r="117" spans="1:10" x14ac:dyDescent="0.15">
      <c r="A117" s="58">
        <f>ROW()</f>
        <v>117</v>
      </c>
      <c r="B117" s="85" t="str">
        <f t="shared" ca="1" si="1"/>
        <v/>
      </c>
      <c r="C117" s="85" t="s">
        <v>264</v>
      </c>
      <c r="D117" s="85" t="str">
        <f ca="1">OFFSET(④結果出力!$D$14,MATCH(③各部被害関数計算結果!$C117,④結果出力!$C$14:$C$113,0)-1,0)</f>
        <v/>
      </c>
      <c r="E117" s="85" t="s">
        <v>118</v>
      </c>
      <c r="F117" s="86" t="str">
        <f ca="1">OFFSET(④結果出力!$D$14,MATCH(③各部被害関数計算結果!$C117,④結果出力!$C$14:$C$1133,0)-1,13)</f>
        <v/>
      </c>
      <c r="G117" s="86" t="str">
        <f ca="1">OFFSET(④結果出力!$D$14,MATCH(③各部被害関数計算結果!$C117,④結果出力!$C$14:$C$113,0)-1,1)</f>
        <v/>
      </c>
      <c r="H117" s="92"/>
      <c r="I117" s="86" t="str">
        <f ca="1">OFFSET(④結果出力!$D$14,MATCH(③各部被害関数計算結果!$C117,④結果出力!$C$14:$C$113,0)-1,2)</f>
        <v/>
      </c>
      <c r="J117" s="92"/>
    </row>
    <row r="118" spans="1:10" x14ac:dyDescent="0.15">
      <c r="A118" s="58">
        <f>ROW()</f>
        <v>118</v>
      </c>
      <c r="B118" s="85" t="str">
        <f t="shared" ca="1" si="1"/>
        <v/>
      </c>
      <c r="C118" s="85" t="s">
        <v>264</v>
      </c>
      <c r="D118" s="85" t="str">
        <f ca="1">OFFSET(④結果出力!$D$14,MATCH(③各部被害関数計算結果!$C118,④結果出力!$C$14:$C$113,0)-1,0)</f>
        <v/>
      </c>
      <c r="E118" s="85" t="s">
        <v>53</v>
      </c>
      <c r="F118" s="86" t="str">
        <f ca="1">OFFSET(④結果出力!$D$14,MATCH(③各部被害関数計算結果!$C118,④結果出力!$C$14:$C$113,0)-1,18)</f>
        <v/>
      </c>
      <c r="G118" s="86" t="str">
        <f ca="1">OFFSET(④結果出力!$D$14,MATCH(③各部被害関数計算結果!$C118,④結果出力!$C$14:$C$113,0)-1,1)</f>
        <v/>
      </c>
      <c r="H118" s="92"/>
      <c r="I118" s="86" t="str">
        <f ca="1">OFFSET(④結果出力!$D$14,MATCH(③各部被害関数計算結果!$C118,④結果出力!$C$14:$C$113,0)-1,2)</f>
        <v/>
      </c>
      <c r="J118" s="92"/>
    </row>
    <row r="119" spans="1:10" x14ac:dyDescent="0.15">
      <c r="A119" s="58">
        <f>ROW()</f>
        <v>119</v>
      </c>
      <c r="B119" s="85" t="str">
        <f t="shared" ca="1" si="1"/>
        <v/>
      </c>
      <c r="C119" s="85" t="s">
        <v>265</v>
      </c>
      <c r="D119" s="85" t="str">
        <f ca="1">OFFSET(④結果出力!$D$14,MATCH(③各部被害関数計算結果!$C119,④結果出力!$C$14:$C$113,0)-1,0)</f>
        <v/>
      </c>
      <c r="E119" s="85" t="s">
        <v>30</v>
      </c>
      <c r="F119" s="86" t="str">
        <f ca="1">OFFSET(④結果出力!$D$14,MATCH(③各部被害関数計算結果!$C119,④結果出力!$C$14:$C$113,0)-1,3)</f>
        <v/>
      </c>
      <c r="G119" s="86" t="str">
        <f ca="1">OFFSET(④結果出力!$D$14,MATCH(③各部被害関数計算結果!$C119,④結果出力!$C$14:$C$113,0)-1,1)</f>
        <v/>
      </c>
      <c r="H119" s="92"/>
      <c r="I119" s="86" t="str">
        <f ca="1">OFFSET(④結果出力!$D$14,MATCH(③各部被害関数計算結果!$C119,④結果出力!$C$14:$C$113,0)-1,2)</f>
        <v/>
      </c>
      <c r="J119" s="92"/>
    </row>
    <row r="120" spans="1:10" x14ac:dyDescent="0.15">
      <c r="A120" s="58">
        <f>ROW()</f>
        <v>120</v>
      </c>
      <c r="B120" s="85" t="str">
        <f t="shared" ca="1" si="1"/>
        <v/>
      </c>
      <c r="C120" s="85" t="s">
        <v>265</v>
      </c>
      <c r="D120" s="85" t="str">
        <f ca="1">OFFSET(④結果出力!$D$14,MATCH(③各部被害関数計算結果!$C120,④結果出力!$C$14:$C$113,0)-1,0)</f>
        <v/>
      </c>
      <c r="E120" s="85" t="s">
        <v>33</v>
      </c>
      <c r="F120" s="86" t="str">
        <f ca="1">OFFSET(④結果出力!$D$14,MATCH(③各部被害関数計算結果!$C120,④結果出力!$C$14:$C$113,0)-1,8)</f>
        <v/>
      </c>
      <c r="G120" s="86" t="str">
        <f ca="1">OFFSET(④結果出力!$D$14,MATCH(③各部被害関数計算結果!$C120,④結果出力!$C$14:$C$113,0)-1,1)</f>
        <v/>
      </c>
      <c r="H120" s="92"/>
      <c r="I120" s="86" t="str">
        <f ca="1">OFFSET(④結果出力!$D$14,MATCH(③各部被害関数計算結果!$C120,④結果出力!$C$14:$C$113,0)-1,2)</f>
        <v/>
      </c>
      <c r="J120" s="92"/>
    </row>
    <row r="121" spans="1:10" x14ac:dyDescent="0.15">
      <c r="A121" s="58">
        <f>ROW()</f>
        <v>121</v>
      </c>
      <c r="B121" s="85" t="str">
        <f t="shared" ca="1" si="1"/>
        <v/>
      </c>
      <c r="C121" s="85" t="s">
        <v>265</v>
      </c>
      <c r="D121" s="85" t="str">
        <f ca="1">OFFSET(④結果出力!$D$14,MATCH(③各部被害関数計算結果!$C121,④結果出力!$C$14:$C$113,0)-1,0)</f>
        <v/>
      </c>
      <c r="E121" s="85" t="s">
        <v>118</v>
      </c>
      <c r="F121" s="86" t="str">
        <f ca="1">OFFSET(④結果出力!$D$14,MATCH(③各部被害関数計算結果!$C121,④結果出力!$C$14:$C$1133,0)-1,13)</f>
        <v/>
      </c>
      <c r="G121" s="86" t="str">
        <f ca="1">OFFSET(④結果出力!$D$14,MATCH(③各部被害関数計算結果!$C121,④結果出力!$C$14:$C$113,0)-1,1)</f>
        <v/>
      </c>
      <c r="H121" s="92"/>
      <c r="I121" s="86" t="str">
        <f ca="1">OFFSET(④結果出力!$D$14,MATCH(③各部被害関数計算結果!$C121,④結果出力!$C$14:$C$113,0)-1,2)</f>
        <v/>
      </c>
      <c r="J121" s="92"/>
    </row>
    <row r="122" spans="1:10" x14ac:dyDescent="0.15">
      <c r="A122" s="58">
        <f>ROW()</f>
        <v>122</v>
      </c>
      <c r="B122" s="85" t="str">
        <f t="shared" ca="1" si="1"/>
        <v/>
      </c>
      <c r="C122" s="85" t="s">
        <v>265</v>
      </c>
      <c r="D122" s="85" t="str">
        <f ca="1">OFFSET(④結果出力!$D$14,MATCH(③各部被害関数計算結果!$C122,④結果出力!$C$14:$C$113,0)-1,0)</f>
        <v/>
      </c>
      <c r="E122" s="85" t="s">
        <v>53</v>
      </c>
      <c r="F122" s="86" t="str">
        <f ca="1">OFFSET(④結果出力!$D$14,MATCH(③各部被害関数計算結果!$C122,④結果出力!$C$14:$C$113,0)-1,18)</f>
        <v/>
      </c>
      <c r="G122" s="86" t="str">
        <f ca="1">OFFSET(④結果出力!$D$14,MATCH(③各部被害関数計算結果!$C122,④結果出力!$C$14:$C$113,0)-1,1)</f>
        <v/>
      </c>
      <c r="H122" s="92"/>
      <c r="I122" s="86" t="str">
        <f ca="1">OFFSET(④結果出力!$D$14,MATCH(③各部被害関数計算結果!$C122,④結果出力!$C$14:$C$113,0)-1,2)</f>
        <v/>
      </c>
      <c r="J122" s="92"/>
    </row>
    <row r="123" spans="1:10" x14ac:dyDescent="0.15">
      <c r="A123" s="58">
        <f>ROW()</f>
        <v>123</v>
      </c>
      <c r="B123" s="85" t="str">
        <f t="shared" ca="1" si="1"/>
        <v/>
      </c>
      <c r="C123" s="85" t="s">
        <v>266</v>
      </c>
      <c r="D123" s="85" t="str">
        <f ca="1">OFFSET(④結果出力!$D$14,MATCH(③各部被害関数計算結果!$C123,④結果出力!$C$14:$C$113,0)-1,0)</f>
        <v/>
      </c>
      <c r="E123" s="85" t="s">
        <v>30</v>
      </c>
      <c r="F123" s="86" t="str">
        <f ca="1">OFFSET(④結果出力!$D$14,MATCH(③各部被害関数計算結果!$C123,④結果出力!$C$14:$C$113,0)-1,3)</f>
        <v/>
      </c>
      <c r="G123" s="86" t="str">
        <f ca="1">OFFSET(④結果出力!$D$14,MATCH(③各部被害関数計算結果!$C123,④結果出力!$C$14:$C$113,0)-1,1)</f>
        <v/>
      </c>
      <c r="H123" s="92"/>
      <c r="I123" s="86" t="str">
        <f ca="1">OFFSET(④結果出力!$D$14,MATCH(③各部被害関数計算結果!$C123,④結果出力!$C$14:$C$113,0)-1,2)</f>
        <v/>
      </c>
      <c r="J123" s="92"/>
    </row>
    <row r="124" spans="1:10" x14ac:dyDescent="0.15">
      <c r="A124" s="58">
        <f>ROW()</f>
        <v>124</v>
      </c>
      <c r="B124" s="85" t="str">
        <f t="shared" ca="1" si="1"/>
        <v/>
      </c>
      <c r="C124" s="85" t="s">
        <v>266</v>
      </c>
      <c r="D124" s="85" t="str">
        <f ca="1">OFFSET(④結果出力!$D$14,MATCH(③各部被害関数計算結果!$C124,④結果出力!$C$14:$C$113,0)-1,0)</f>
        <v/>
      </c>
      <c r="E124" s="85" t="s">
        <v>33</v>
      </c>
      <c r="F124" s="86" t="str">
        <f ca="1">OFFSET(④結果出力!$D$14,MATCH(③各部被害関数計算結果!$C124,④結果出力!$C$14:$C$113,0)-1,8)</f>
        <v/>
      </c>
      <c r="G124" s="86" t="str">
        <f ca="1">OFFSET(④結果出力!$D$14,MATCH(③各部被害関数計算結果!$C124,④結果出力!$C$14:$C$113,0)-1,1)</f>
        <v/>
      </c>
      <c r="H124" s="92"/>
      <c r="I124" s="86" t="str">
        <f ca="1">OFFSET(④結果出力!$D$14,MATCH(③各部被害関数計算結果!$C124,④結果出力!$C$14:$C$113,0)-1,2)</f>
        <v/>
      </c>
      <c r="J124" s="92"/>
    </row>
    <row r="125" spans="1:10" x14ac:dyDescent="0.15">
      <c r="A125" s="58">
        <f>ROW()</f>
        <v>125</v>
      </c>
      <c r="B125" s="85" t="str">
        <f t="shared" ca="1" si="1"/>
        <v/>
      </c>
      <c r="C125" s="85" t="s">
        <v>266</v>
      </c>
      <c r="D125" s="85" t="str">
        <f ca="1">OFFSET(④結果出力!$D$14,MATCH(③各部被害関数計算結果!$C125,④結果出力!$C$14:$C$113,0)-1,0)</f>
        <v/>
      </c>
      <c r="E125" s="85" t="s">
        <v>118</v>
      </c>
      <c r="F125" s="86" t="str">
        <f ca="1">OFFSET(④結果出力!$D$14,MATCH(③各部被害関数計算結果!$C125,④結果出力!$C$14:$C$1133,0)-1,13)</f>
        <v/>
      </c>
      <c r="G125" s="86" t="str">
        <f ca="1">OFFSET(④結果出力!$D$14,MATCH(③各部被害関数計算結果!$C125,④結果出力!$C$14:$C$113,0)-1,1)</f>
        <v/>
      </c>
      <c r="H125" s="92"/>
      <c r="I125" s="86" t="str">
        <f ca="1">OFFSET(④結果出力!$D$14,MATCH(③各部被害関数計算結果!$C125,④結果出力!$C$14:$C$113,0)-1,2)</f>
        <v/>
      </c>
      <c r="J125" s="92"/>
    </row>
    <row r="126" spans="1:10" x14ac:dyDescent="0.15">
      <c r="A126" s="58">
        <f>ROW()</f>
        <v>126</v>
      </c>
      <c r="B126" s="85" t="str">
        <f t="shared" ca="1" si="1"/>
        <v/>
      </c>
      <c r="C126" s="85" t="s">
        <v>266</v>
      </c>
      <c r="D126" s="85" t="str">
        <f ca="1">OFFSET(④結果出力!$D$14,MATCH(③各部被害関数計算結果!$C126,④結果出力!$C$14:$C$113,0)-1,0)</f>
        <v/>
      </c>
      <c r="E126" s="85" t="s">
        <v>53</v>
      </c>
      <c r="F126" s="86" t="str">
        <f ca="1">OFFSET(④結果出力!$D$14,MATCH(③各部被害関数計算結果!$C126,④結果出力!$C$14:$C$113,0)-1,18)</f>
        <v/>
      </c>
      <c r="G126" s="86" t="str">
        <f ca="1">OFFSET(④結果出力!$D$14,MATCH(③各部被害関数計算結果!$C126,④結果出力!$C$14:$C$113,0)-1,1)</f>
        <v/>
      </c>
      <c r="H126" s="92"/>
      <c r="I126" s="86" t="str">
        <f ca="1">OFFSET(④結果出力!$D$14,MATCH(③各部被害関数計算結果!$C126,④結果出力!$C$14:$C$113,0)-1,2)</f>
        <v/>
      </c>
      <c r="J126" s="92"/>
    </row>
    <row r="127" spans="1:10" x14ac:dyDescent="0.15">
      <c r="A127" s="58">
        <f>ROW()</f>
        <v>127</v>
      </c>
      <c r="B127" s="85" t="str">
        <f t="shared" ca="1" si="1"/>
        <v/>
      </c>
      <c r="C127" s="85" t="s">
        <v>267</v>
      </c>
      <c r="D127" s="85" t="str">
        <f ca="1">OFFSET(④結果出力!$D$14,MATCH(③各部被害関数計算結果!$C127,④結果出力!$C$14:$C$113,0)-1,0)</f>
        <v/>
      </c>
      <c r="E127" s="85" t="s">
        <v>30</v>
      </c>
      <c r="F127" s="86" t="str">
        <f ca="1">OFFSET(④結果出力!$D$14,MATCH(③各部被害関数計算結果!$C127,④結果出力!$C$14:$C$113,0)-1,3)</f>
        <v/>
      </c>
      <c r="G127" s="86" t="str">
        <f ca="1">OFFSET(④結果出力!$D$14,MATCH(③各部被害関数計算結果!$C127,④結果出力!$C$14:$C$113,0)-1,1)</f>
        <v/>
      </c>
      <c r="H127" s="92"/>
      <c r="I127" s="86" t="str">
        <f ca="1">OFFSET(④結果出力!$D$14,MATCH(③各部被害関数計算結果!$C127,④結果出力!$C$14:$C$113,0)-1,2)</f>
        <v/>
      </c>
      <c r="J127" s="92"/>
    </row>
    <row r="128" spans="1:10" x14ac:dyDescent="0.15">
      <c r="A128" s="58">
        <f>ROW()</f>
        <v>128</v>
      </c>
      <c r="B128" s="85" t="str">
        <f t="shared" ca="1" si="1"/>
        <v/>
      </c>
      <c r="C128" s="85" t="s">
        <v>267</v>
      </c>
      <c r="D128" s="85" t="str">
        <f ca="1">OFFSET(④結果出力!$D$14,MATCH(③各部被害関数計算結果!$C128,④結果出力!$C$14:$C$113,0)-1,0)</f>
        <v/>
      </c>
      <c r="E128" s="85" t="s">
        <v>33</v>
      </c>
      <c r="F128" s="86" t="str">
        <f ca="1">OFFSET(④結果出力!$D$14,MATCH(③各部被害関数計算結果!$C128,④結果出力!$C$14:$C$113,0)-1,8)</f>
        <v/>
      </c>
      <c r="G128" s="86" t="str">
        <f ca="1">OFFSET(④結果出力!$D$14,MATCH(③各部被害関数計算結果!$C128,④結果出力!$C$14:$C$113,0)-1,1)</f>
        <v/>
      </c>
      <c r="H128" s="92"/>
      <c r="I128" s="86" t="str">
        <f ca="1">OFFSET(④結果出力!$D$14,MATCH(③各部被害関数計算結果!$C128,④結果出力!$C$14:$C$113,0)-1,2)</f>
        <v/>
      </c>
      <c r="J128" s="92"/>
    </row>
    <row r="129" spans="1:10" x14ac:dyDescent="0.15">
      <c r="A129" s="58">
        <f>ROW()</f>
        <v>129</v>
      </c>
      <c r="B129" s="85" t="str">
        <f t="shared" ca="1" si="1"/>
        <v/>
      </c>
      <c r="C129" s="85" t="s">
        <v>267</v>
      </c>
      <c r="D129" s="85" t="str">
        <f ca="1">OFFSET(④結果出力!$D$14,MATCH(③各部被害関数計算結果!$C129,④結果出力!$C$14:$C$113,0)-1,0)</f>
        <v/>
      </c>
      <c r="E129" s="85" t="s">
        <v>118</v>
      </c>
      <c r="F129" s="86" t="str">
        <f ca="1">OFFSET(④結果出力!$D$14,MATCH(③各部被害関数計算結果!$C129,④結果出力!$C$14:$C$1133,0)-1,13)</f>
        <v/>
      </c>
      <c r="G129" s="86" t="str">
        <f ca="1">OFFSET(④結果出力!$D$14,MATCH(③各部被害関数計算結果!$C129,④結果出力!$C$14:$C$113,0)-1,1)</f>
        <v/>
      </c>
      <c r="H129" s="92"/>
      <c r="I129" s="86" t="str">
        <f ca="1">OFFSET(④結果出力!$D$14,MATCH(③各部被害関数計算結果!$C129,④結果出力!$C$14:$C$113,0)-1,2)</f>
        <v/>
      </c>
      <c r="J129" s="92"/>
    </row>
    <row r="130" spans="1:10" x14ac:dyDescent="0.15">
      <c r="A130" s="58">
        <f>ROW()</f>
        <v>130</v>
      </c>
      <c r="B130" s="85" t="str">
        <f t="shared" ca="1" si="1"/>
        <v/>
      </c>
      <c r="C130" s="85" t="s">
        <v>267</v>
      </c>
      <c r="D130" s="85" t="str">
        <f ca="1">OFFSET(④結果出力!$D$14,MATCH(③各部被害関数計算結果!$C130,④結果出力!$C$14:$C$113,0)-1,0)</f>
        <v/>
      </c>
      <c r="E130" s="85" t="s">
        <v>53</v>
      </c>
      <c r="F130" s="86" t="str">
        <f ca="1">OFFSET(④結果出力!$D$14,MATCH(③各部被害関数計算結果!$C130,④結果出力!$C$14:$C$113,0)-1,18)</f>
        <v/>
      </c>
      <c r="G130" s="86" t="str">
        <f ca="1">OFFSET(④結果出力!$D$14,MATCH(③各部被害関数計算結果!$C130,④結果出力!$C$14:$C$113,0)-1,1)</f>
        <v/>
      </c>
      <c r="H130" s="92"/>
      <c r="I130" s="86" t="str">
        <f ca="1">OFFSET(④結果出力!$D$14,MATCH(③各部被害関数計算結果!$C130,④結果出力!$C$14:$C$113,0)-1,2)</f>
        <v/>
      </c>
      <c r="J130" s="92"/>
    </row>
    <row r="131" spans="1:10" x14ac:dyDescent="0.15">
      <c r="A131" s="58">
        <f>ROW()</f>
        <v>131</v>
      </c>
      <c r="B131" s="85" t="str">
        <f t="shared" ref="B131:B194" ca="1" si="2">IF(D131&lt;&gt;"","●","")</f>
        <v/>
      </c>
      <c r="C131" s="85" t="s">
        <v>268</v>
      </c>
      <c r="D131" s="85" t="str">
        <f ca="1">OFFSET(④結果出力!$D$14,MATCH(③各部被害関数計算結果!$C131,④結果出力!$C$14:$C$113,0)-1,0)</f>
        <v/>
      </c>
      <c r="E131" s="85" t="s">
        <v>30</v>
      </c>
      <c r="F131" s="86" t="str">
        <f ca="1">OFFSET(④結果出力!$D$14,MATCH(③各部被害関数計算結果!$C131,④結果出力!$C$14:$C$113,0)-1,3)</f>
        <v/>
      </c>
      <c r="G131" s="86" t="str">
        <f ca="1">OFFSET(④結果出力!$D$14,MATCH(③各部被害関数計算結果!$C131,④結果出力!$C$14:$C$113,0)-1,1)</f>
        <v/>
      </c>
      <c r="H131" s="92"/>
      <c r="I131" s="86" t="str">
        <f ca="1">OFFSET(④結果出力!$D$14,MATCH(③各部被害関数計算結果!$C131,④結果出力!$C$14:$C$113,0)-1,2)</f>
        <v/>
      </c>
      <c r="J131" s="92"/>
    </row>
    <row r="132" spans="1:10" x14ac:dyDescent="0.15">
      <c r="A132" s="58">
        <f>ROW()</f>
        <v>132</v>
      </c>
      <c r="B132" s="85" t="str">
        <f t="shared" ca="1" si="2"/>
        <v/>
      </c>
      <c r="C132" s="85" t="s">
        <v>268</v>
      </c>
      <c r="D132" s="85" t="str">
        <f ca="1">OFFSET(④結果出力!$D$14,MATCH(③各部被害関数計算結果!$C132,④結果出力!$C$14:$C$113,0)-1,0)</f>
        <v/>
      </c>
      <c r="E132" s="85" t="s">
        <v>33</v>
      </c>
      <c r="F132" s="86" t="str">
        <f ca="1">OFFSET(④結果出力!$D$14,MATCH(③各部被害関数計算結果!$C132,④結果出力!$C$14:$C$113,0)-1,8)</f>
        <v/>
      </c>
      <c r="G132" s="86" t="str">
        <f ca="1">OFFSET(④結果出力!$D$14,MATCH(③各部被害関数計算結果!$C132,④結果出力!$C$14:$C$113,0)-1,1)</f>
        <v/>
      </c>
      <c r="H132" s="92"/>
      <c r="I132" s="86" t="str">
        <f ca="1">OFFSET(④結果出力!$D$14,MATCH(③各部被害関数計算結果!$C132,④結果出力!$C$14:$C$113,0)-1,2)</f>
        <v/>
      </c>
      <c r="J132" s="92"/>
    </row>
    <row r="133" spans="1:10" x14ac:dyDescent="0.15">
      <c r="A133" s="58">
        <f>ROW()</f>
        <v>133</v>
      </c>
      <c r="B133" s="85" t="str">
        <f t="shared" ca="1" si="2"/>
        <v/>
      </c>
      <c r="C133" s="85" t="s">
        <v>268</v>
      </c>
      <c r="D133" s="85" t="str">
        <f ca="1">OFFSET(④結果出力!$D$14,MATCH(③各部被害関数計算結果!$C133,④結果出力!$C$14:$C$113,0)-1,0)</f>
        <v/>
      </c>
      <c r="E133" s="85" t="s">
        <v>118</v>
      </c>
      <c r="F133" s="86" t="str">
        <f ca="1">OFFSET(④結果出力!$D$14,MATCH(③各部被害関数計算結果!$C133,④結果出力!$C$14:$C$1133,0)-1,13)</f>
        <v/>
      </c>
      <c r="G133" s="86" t="str">
        <f ca="1">OFFSET(④結果出力!$D$14,MATCH(③各部被害関数計算結果!$C133,④結果出力!$C$14:$C$113,0)-1,1)</f>
        <v/>
      </c>
      <c r="H133" s="92"/>
      <c r="I133" s="86" t="str">
        <f ca="1">OFFSET(④結果出力!$D$14,MATCH(③各部被害関数計算結果!$C133,④結果出力!$C$14:$C$113,0)-1,2)</f>
        <v/>
      </c>
      <c r="J133" s="92"/>
    </row>
    <row r="134" spans="1:10" x14ac:dyDescent="0.15">
      <c r="A134" s="58">
        <f>ROW()</f>
        <v>134</v>
      </c>
      <c r="B134" s="85" t="str">
        <f t="shared" ca="1" si="2"/>
        <v/>
      </c>
      <c r="C134" s="85" t="s">
        <v>268</v>
      </c>
      <c r="D134" s="85" t="str">
        <f ca="1">OFFSET(④結果出力!$D$14,MATCH(③各部被害関数計算結果!$C134,④結果出力!$C$14:$C$113,0)-1,0)</f>
        <v/>
      </c>
      <c r="E134" s="85" t="s">
        <v>53</v>
      </c>
      <c r="F134" s="86" t="str">
        <f ca="1">OFFSET(④結果出力!$D$14,MATCH(③各部被害関数計算結果!$C134,④結果出力!$C$14:$C$113,0)-1,18)</f>
        <v/>
      </c>
      <c r="G134" s="86" t="str">
        <f ca="1">OFFSET(④結果出力!$D$14,MATCH(③各部被害関数計算結果!$C134,④結果出力!$C$14:$C$113,0)-1,1)</f>
        <v/>
      </c>
      <c r="H134" s="92"/>
      <c r="I134" s="86" t="str">
        <f ca="1">OFFSET(④結果出力!$D$14,MATCH(③各部被害関数計算結果!$C134,④結果出力!$C$14:$C$113,0)-1,2)</f>
        <v/>
      </c>
      <c r="J134" s="92"/>
    </row>
    <row r="135" spans="1:10" x14ac:dyDescent="0.15">
      <c r="A135" s="58">
        <f>ROW()</f>
        <v>135</v>
      </c>
      <c r="B135" s="85" t="str">
        <f t="shared" ca="1" si="2"/>
        <v/>
      </c>
      <c r="C135" s="85" t="s">
        <v>269</v>
      </c>
      <c r="D135" s="85" t="str">
        <f ca="1">OFFSET(④結果出力!$D$14,MATCH(③各部被害関数計算結果!$C135,④結果出力!$C$14:$C$113,0)-1,0)</f>
        <v/>
      </c>
      <c r="E135" s="85" t="s">
        <v>30</v>
      </c>
      <c r="F135" s="86" t="str">
        <f ca="1">OFFSET(④結果出力!$D$14,MATCH(③各部被害関数計算結果!$C135,④結果出力!$C$14:$C$113,0)-1,3)</f>
        <v/>
      </c>
      <c r="G135" s="86" t="str">
        <f ca="1">OFFSET(④結果出力!$D$14,MATCH(③各部被害関数計算結果!$C135,④結果出力!$C$14:$C$113,0)-1,1)</f>
        <v/>
      </c>
      <c r="H135" s="92"/>
      <c r="I135" s="86" t="str">
        <f ca="1">OFFSET(④結果出力!$D$14,MATCH(③各部被害関数計算結果!$C135,④結果出力!$C$14:$C$113,0)-1,2)</f>
        <v/>
      </c>
      <c r="J135" s="92"/>
    </row>
    <row r="136" spans="1:10" x14ac:dyDescent="0.15">
      <c r="A136" s="58">
        <f>ROW()</f>
        <v>136</v>
      </c>
      <c r="B136" s="85" t="str">
        <f t="shared" ca="1" si="2"/>
        <v/>
      </c>
      <c r="C136" s="85" t="s">
        <v>269</v>
      </c>
      <c r="D136" s="85" t="str">
        <f ca="1">OFFSET(④結果出力!$D$14,MATCH(③各部被害関数計算結果!$C136,④結果出力!$C$14:$C$113,0)-1,0)</f>
        <v/>
      </c>
      <c r="E136" s="85" t="s">
        <v>33</v>
      </c>
      <c r="F136" s="86" t="str">
        <f ca="1">OFFSET(④結果出力!$D$14,MATCH(③各部被害関数計算結果!$C136,④結果出力!$C$14:$C$113,0)-1,8)</f>
        <v/>
      </c>
      <c r="G136" s="86" t="str">
        <f ca="1">OFFSET(④結果出力!$D$14,MATCH(③各部被害関数計算結果!$C136,④結果出力!$C$14:$C$113,0)-1,1)</f>
        <v/>
      </c>
      <c r="H136" s="92"/>
      <c r="I136" s="86" t="str">
        <f ca="1">OFFSET(④結果出力!$D$14,MATCH(③各部被害関数計算結果!$C136,④結果出力!$C$14:$C$113,0)-1,2)</f>
        <v/>
      </c>
      <c r="J136" s="92"/>
    </row>
    <row r="137" spans="1:10" x14ac:dyDescent="0.15">
      <c r="A137" s="58">
        <f>ROW()</f>
        <v>137</v>
      </c>
      <c r="B137" s="85" t="str">
        <f t="shared" ca="1" si="2"/>
        <v/>
      </c>
      <c r="C137" s="85" t="s">
        <v>269</v>
      </c>
      <c r="D137" s="85" t="str">
        <f ca="1">OFFSET(④結果出力!$D$14,MATCH(③各部被害関数計算結果!$C137,④結果出力!$C$14:$C$113,0)-1,0)</f>
        <v/>
      </c>
      <c r="E137" s="85" t="s">
        <v>118</v>
      </c>
      <c r="F137" s="86" t="str">
        <f ca="1">OFFSET(④結果出力!$D$14,MATCH(③各部被害関数計算結果!$C137,④結果出力!$C$14:$C$1133,0)-1,13)</f>
        <v/>
      </c>
      <c r="G137" s="86" t="str">
        <f ca="1">OFFSET(④結果出力!$D$14,MATCH(③各部被害関数計算結果!$C137,④結果出力!$C$14:$C$113,0)-1,1)</f>
        <v/>
      </c>
      <c r="H137" s="92"/>
      <c r="I137" s="86" t="str">
        <f ca="1">OFFSET(④結果出力!$D$14,MATCH(③各部被害関数計算結果!$C137,④結果出力!$C$14:$C$113,0)-1,2)</f>
        <v/>
      </c>
      <c r="J137" s="92"/>
    </row>
    <row r="138" spans="1:10" x14ac:dyDescent="0.15">
      <c r="A138" s="58">
        <f>ROW()</f>
        <v>138</v>
      </c>
      <c r="B138" s="85" t="str">
        <f t="shared" ca="1" si="2"/>
        <v/>
      </c>
      <c r="C138" s="85" t="s">
        <v>269</v>
      </c>
      <c r="D138" s="85" t="str">
        <f ca="1">OFFSET(④結果出力!$D$14,MATCH(③各部被害関数計算結果!$C138,④結果出力!$C$14:$C$113,0)-1,0)</f>
        <v/>
      </c>
      <c r="E138" s="85" t="s">
        <v>53</v>
      </c>
      <c r="F138" s="86" t="str">
        <f ca="1">OFFSET(④結果出力!$D$14,MATCH(③各部被害関数計算結果!$C138,④結果出力!$C$14:$C$113,0)-1,18)</f>
        <v/>
      </c>
      <c r="G138" s="86" t="str">
        <f ca="1">OFFSET(④結果出力!$D$14,MATCH(③各部被害関数計算結果!$C138,④結果出力!$C$14:$C$113,0)-1,1)</f>
        <v/>
      </c>
      <c r="H138" s="92"/>
      <c r="I138" s="86" t="str">
        <f ca="1">OFFSET(④結果出力!$D$14,MATCH(③各部被害関数計算結果!$C138,④結果出力!$C$14:$C$113,0)-1,2)</f>
        <v/>
      </c>
      <c r="J138" s="92"/>
    </row>
    <row r="139" spans="1:10" x14ac:dyDescent="0.15">
      <c r="A139" s="58">
        <f>ROW()</f>
        <v>139</v>
      </c>
      <c r="B139" s="85" t="str">
        <f t="shared" ca="1" si="2"/>
        <v/>
      </c>
      <c r="C139" s="85" t="s">
        <v>270</v>
      </c>
      <c r="D139" s="85" t="str">
        <f ca="1">OFFSET(④結果出力!$D$14,MATCH(③各部被害関数計算結果!$C139,④結果出力!$C$14:$C$113,0)-1,0)</f>
        <v/>
      </c>
      <c r="E139" s="85" t="s">
        <v>30</v>
      </c>
      <c r="F139" s="86" t="str">
        <f ca="1">OFFSET(④結果出力!$D$14,MATCH(③各部被害関数計算結果!$C139,④結果出力!$C$14:$C$113,0)-1,3)</f>
        <v/>
      </c>
      <c r="G139" s="86" t="str">
        <f ca="1">OFFSET(④結果出力!$D$14,MATCH(③各部被害関数計算結果!$C139,④結果出力!$C$14:$C$113,0)-1,1)</f>
        <v/>
      </c>
      <c r="H139" s="92"/>
      <c r="I139" s="86" t="str">
        <f ca="1">OFFSET(④結果出力!$D$14,MATCH(③各部被害関数計算結果!$C139,④結果出力!$C$14:$C$113,0)-1,2)</f>
        <v/>
      </c>
      <c r="J139" s="92"/>
    </row>
    <row r="140" spans="1:10" x14ac:dyDescent="0.15">
      <c r="A140" s="58">
        <f>ROW()</f>
        <v>140</v>
      </c>
      <c r="B140" s="85" t="str">
        <f t="shared" ca="1" si="2"/>
        <v/>
      </c>
      <c r="C140" s="85" t="s">
        <v>270</v>
      </c>
      <c r="D140" s="85" t="str">
        <f ca="1">OFFSET(④結果出力!$D$14,MATCH(③各部被害関数計算結果!$C140,④結果出力!$C$14:$C$113,0)-1,0)</f>
        <v/>
      </c>
      <c r="E140" s="85" t="s">
        <v>33</v>
      </c>
      <c r="F140" s="86" t="str">
        <f ca="1">OFFSET(④結果出力!$D$14,MATCH(③各部被害関数計算結果!$C140,④結果出力!$C$14:$C$113,0)-1,8)</f>
        <v/>
      </c>
      <c r="G140" s="86" t="str">
        <f ca="1">OFFSET(④結果出力!$D$14,MATCH(③各部被害関数計算結果!$C140,④結果出力!$C$14:$C$113,0)-1,1)</f>
        <v/>
      </c>
      <c r="H140" s="92"/>
      <c r="I140" s="86" t="str">
        <f ca="1">OFFSET(④結果出力!$D$14,MATCH(③各部被害関数計算結果!$C140,④結果出力!$C$14:$C$113,0)-1,2)</f>
        <v/>
      </c>
      <c r="J140" s="92"/>
    </row>
    <row r="141" spans="1:10" x14ac:dyDescent="0.15">
      <c r="A141" s="58">
        <f>ROW()</f>
        <v>141</v>
      </c>
      <c r="B141" s="85" t="str">
        <f t="shared" ca="1" si="2"/>
        <v/>
      </c>
      <c r="C141" s="85" t="s">
        <v>270</v>
      </c>
      <c r="D141" s="85" t="str">
        <f ca="1">OFFSET(④結果出力!$D$14,MATCH(③各部被害関数計算結果!$C141,④結果出力!$C$14:$C$113,0)-1,0)</f>
        <v/>
      </c>
      <c r="E141" s="85" t="s">
        <v>118</v>
      </c>
      <c r="F141" s="86" t="str">
        <f ca="1">OFFSET(④結果出力!$D$14,MATCH(③各部被害関数計算結果!$C141,④結果出力!$C$14:$C$1133,0)-1,13)</f>
        <v/>
      </c>
      <c r="G141" s="86" t="str">
        <f ca="1">OFFSET(④結果出力!$D$14,MATCH(③各部被害関数計算結果!$C141,④結果出力!$C$14:$C$113,0)-1,1)</f>
        <v/>
      </c>
      <c r="H141" s="92"/>
      <c r="I141" s="86" t="str">
        <f ca="1">OFFSET(④結果出力!$D$14,MATCH(③各部被害関数計算結果!$C141,④結果出力!$C$14:$C$113,0)-1,2)</f>
        <v/>
      </c>
      <c r="J141" s="92"/>
    </row>
    <row r="142" spans="1:10" x14ac:dyDescent="0.15">
      <c r="A142" s="58">
        <f>ROW()</f>
        <v>142</v>
      </c>
      <c r="B142" s="85" t="str">
        <f t="shared" ca="1" si="2"/>
        <v/>
      </c>
      <c r="C142" s="85" t="s">
        <v>270</v>
      </c>
      <c r="D142" s="85" t="str">
        <f ca="1">OFFSET(④結果出力!$D$14,MATCH(③各部被害関数計算結果!$C142,④結果出力!$C$14:$C$113,0)-1,0)</f>
        <v/>
      </c>
      <c r="E142" s="85" t="s">
        <v>53</v>
      </c>
      <c r="F142" s="86" t="str">
        <f ca="1">OFFSET(④結果出力!$D$14,MATCH(③各部被害関数計算結果!$C142,④結果出力!$C$14:$C$113,0)-1,18)</f>
        <v/>
      </c>
      <c r="G142" s="86" t="str">
        <f ca="1">OFFSET(④結果出力!$D$14,MATCH(③各部被害関数計算結果!$C142,④結果出力!$C$14:$C$113,0)-1,1)</f>
        <v/>
      </c>
      <c r="H142" s="92"/>
      <c r="I142" s="86" t="str">
        <f ca="1">OFFSET(④結果出力!$D$14,MATCH(③各部被害関数計算結果!$C142,④結果出力!$C$14:$C$113,0)-1,2)</f>
        <v/>
      </c>
      <c r="J142" s="92"/>
    </row>
    <row r="143" spans="1:10" x14ac:dyDescent="0.15">
      <c r="A143" s="58">
        <f>ROW()</f>
        <v>143</v>
      </c>
      <c r="B143" s="85" t="str">
        <f t="shared" ca="1" si="2"/>
        <v/>
      </c>
      <c r="C143" s="85" t="s">
        <v>271</v>
      </c>
      <c r="D143" s="85" t="str">
        <f ca="1">OFFSET(④結果出力!$D$14,MATCH(③各部被害関数計算結果!$C143,④結果出力!$C$14:$C$113,0)-1,0)</f>
        <v/>
      </c>
      <c r="E143" s="85" t="s">
        <v>30</v>
      </c>
      <c r="F143" s="86" t="str">
        <f ca="1">OFFSET(④結果出力!$D$14,MATCH(③各部被害関数計算結果!$C143,④結果出力!$C$14:$C$113,0)-1,3)</f>
        <v/>
      </c>
      <c r="G143" s="86" t="str">
        <f ca="1">OFFSET(④結果出力!$D$14,MATCH(③各部被害関数計算結果!$C143,④結果出力!$C$14:$C$113,0)-1,1)</f>
        <v/>
      </c>
      <c r="H143" s="92"/>
      <c r="I143" s="86" t="str">
        <f ca="1">OFFSET(④結果出力!$D$14,MATCH(③各部被害関数計算結果!$C143,④結果出力!$C$14:$C$113,0)-1,2)</f>
        <v/>
      </c>
      <c r="J143" s="92"/>
    </row>
    <row r="144" spans="1:10" x14ac:dyDescent="0.15">
      <c r="A144" s="58">
        <f>ROW()</f>
        <v>144</v>
      </c>
      <c r="B144" s="85" t="str">
        <f t="shared" ca="1" si="2"/>
        <v/>
      </c>
      <c r="C144" s="85" t="s">
        <v>271</v>
      </c>
      <c r="D144" s="85" t="str">
        <f ca="1">OFFSET(④結果出力!$D$14,MATCH(③各部被害関数計算結果!$C144,④結果出力!$C$14:$C$113,0)-1,0)</f>
        <v/>
      </c>
      <c r="E144" s="85" t="s">
        <v>33</v>
      </c>
      <c r="F144" s="86" t="str">
        <f ca="1">OFFSET(④結果出力!$D$14,MATCH(③各部被害関数計算結果!$C144,④結果出力!$C$14:$C$113,0)-1,8)</f>
        <v/>
      </c>
      <c r="G144" s="86" t="str">
        <f ca="1">OFFSET(④結果出力!$D$14,MATCH(③各部被害関数計算結果!$C144,④結果出力!$C$14:$C$113,0)-1,1)</f>
        <v/>
      </c>
      <c r="H144" s="92"/>
      <c r="I144" s="86" t="str">
        <f ca="1">OFFSET(④結果出力!$D$14,MATCH(③各部被害関数計算結果!$C144,④結果出力!$C$14:$C$113,0)-1,2)</f>
        <v/>
      </c>
      <c r="J144" s="92"/>
    </row>
    <row r="145" spans="1:10" x14ac:dyDescent="0.15">
      <c r="A145" s="58">
        <f>ROW()</f>
        <v>145</v>
      </c>
      <c r="B145" s="85" t="str">
        <f t="shared" ca="1" si="2"/>
        <v/>
      </c>
      <c r="C145" s="85" t="s">
        <v>271</v>
      </c>
      <c r="D145" s="85" t="str">
        <f ca="1">OFFSET(④結果出力!$D$14,MATCH(③各部被害関数計算結果!$C145,④結果出力!$C$14:$C$113,0)-1,0)</f>
        <v/>
      </c>
      <c r="E145" s="85" t="s">
        <v>118</v>
      </c>
      <c r="F145" s="86" t="str">
        <f ca="1">OFFSET(④結果出力!$D$14,MATCH(③各部被害関数計算結果!$C145,④結果出力!$C$14:$C$1133,0)-1,13)</f>
        <v/>
      </c>
      <c r="G145" s="86" t="str">
        <f ca="1">OFFSET(④結果出力!$D$14,MATCH(③各部被害関数計算結果!$C145,④結果出力!$C$14:$C$113,0)-1,1)</f>
        <v/>
      </c>
      <c r="H145" s="92"/>
      <c r="I145" s="86" t="str">
        <f ca="1">OFFSET(④結果出力!$D$14,MATCH(③各部被害関数計算結果!$C145,④結果出力!$C$14:$C$113,0)-1,2)</f>
        <v/>
      </c>
      <c r="J145" s="92"/>
    </row>
    <row r="146" spans="1:10" x14ac:dyDescent="0.15">
      <c r="A146" s="58">
        <f>ROW()</f>
        <v>146</v>
      </c>
      <c r="B146" s="85" t="str">
        <f t="shared" ca="1" si="2"/>
        <v/>
      </c>
      <c r="C146" s="85" t="s">
        <v>271</v>
      </c>
      <c r="D146" s="85" t="str">
        <f ca="1">OFFSET(④結果出力!$D$14,MATCH(③各部被害関数計算結果!$C146,④結果出力!$C$14:$C$113,0)-1,0)</f>
        <v/>
      </c>
      <c r="E146" s="85" t="s">
        <v>53</v>
      </c>
      <c r="F146" s="86" t="str">
        <f ca="1">OFFSET(④結果出力!$D$14,MATCH(③各部被害関数計算結果!$C146,④結果出力!$C$14:$C$113,0)-1,18)</f>
        <v/>
      </c>
      <c r="G146" s="86" t="str">
        <f ca="1">OFFSET(④結果出力!$D$14,MATCH(③各部被害関数計算結果!$C146,④結果出力!$C$14:$C$113,0)-1,1)</f>
        <v/>
      </c>
      <c r="H146" s="92"/>
      <c r="I146" s="86" t="str">
        <f ca="1">OFFSET(④結果出力!$D$14,MATCH(③各部被害関数計算結果!$C146,④結果出力!$C$14:$C$113,0)-1,2)</f>
        <v/>
      </c>
      <c r="J146" s="92"/>
    </row>
    <row r="147" spans="1:10" x14ac:dyDescent="0.15">
      <c r="A147" s="58">
        <f>ROW()</f>
        <v>147</v>
      </c>
      <c r="B147" s="85" t="str">
        <f t="shared" ca="1" si="2"/>
        <v/>
      </c>
      <c r="C147" s="85" t="s">
        <v>272</v>
      </c>
      <c r="D147" s="85" t="str">
        <f ca="1">OFFSET(④結果出力!$D$14,MATCH(③各部被害関数計算結果!$C147,④結果出力!$C$14:$C$113,0)-1,0)</f>
        <v/>
      </c>
      <c r="E147" s="85" t="s">
        <v>30</v>
      </c>
      <c r="F147" s="86" t="str">
        <f ca="1">OFFSET(④結果出力!$D$14,MATCH(③各部被害関数計算結果!$C147,④結果出力!$C$14:$C$113,0)-1,3)</f>
        <v/>
      </c>
      <c r="G147" s="86" t="str">
        <f ca="1">OFFSET(④結果出力!$D$14,MATCH(③各部被害関数計算結果!$C147,④結果出力!$C$14:$C$113,0)-1,1)</f>
        <v/>
      </c>
      <c r="H147" s="92"/>
      <c r="I147" s="86" t="str">
        <f ca="1">OFFSET(④結果出力!$D$14,MATCH(③各部被害関数計算結果!$C147,④結果出力!$C$14:$C$113,0)-1,2)</f>
        <v/>
      </c>
      <c r="J147" s="92"/>
    </row>
    <row r="148" spans="1:10" x14ac:dyDescent="0.15">
      <c r="A148" s="58">
        <f>ROW()</f>
        <v>148</v>
      </c>
      <c r="B148" s="85" t="str">
        <f t="shared" ca="1" si="2"/>
        <v/>
      </c>
      <c r="C148" s="85" t="s">
        <v>272</v>
      </c>
      <c r="D148" s="85" t="str">
        <f ca="1">OFFSET(④結果出力!$D$14,MATCH(③各部被害関数計算結果!$C148,④結果出力!$C$14:$C$113,0)-1,0)</f>
        <v/>
      </c>
      <c r="E148" s="85" t="s">
        <v>33</v>
      </c>
      <c r="F148" s="86" t="str">
        <f ca="1">OFFSET(④結果出力!$D$14,MATCH(③各部被害関数計算結果!$C148,④結果出力!$C$14:$C$113,0)-1,8)</f>
        <v/>
      </c>
      <c r="G148" s="86" t="str">
        <f ca="1">OFFSET(④結果出力!$D$14,MATCH(③各部被害関数計算結果!$C148,④結果出力!$C$14:$C$113,0)-1,1)</f>
        <v/>
      </c>
      <c r="H148" s="92"/>
      <c r="I148" s="86" t="str">
        <f ca="1">OFFSET(④結果出力!$D$14,MATCH(③各部被害関数計算結果!$C148,④結果出力!$C$14:$C$113,0)-1,2)</f>
        <v/>
      </c>
      <c r="J148" s="92"/>
    </row>
    <row r="149" spans="1:10" x14ac:dyDescent="0.15">
      <c r="A149" s="58">
        <f>ROW()</f>
        <v>149</v>
      </c>
      <c r="B149" s="85" t="str">
        <f t="shared" ca="1" si="2"/>
        <v/>
      </c>
      <c r="C149" s="85" t="s">
        <v>272</v>
      </c>
      <c r="D149" s="85" t="str">
        <f ca="1">OFFSET(④結果出力!$D$14,MATCH(③各部被害関数計算結果!$C149,④結果出力!$C$14:$C$113,0)-1,0)</f>
        <v/>
      </c>
      <c r="E149" s="85" t="s">
        <v>118</v>
      </c>
      <c r="F149" s="86" t="str">
        <f ca="1">OFFSET(④結果出力!$D$14,MATCH(③各部被害関数計算結果!$C149,④結果出力!$C$14:$C$1133,0)-1,13)</f>
        <v/>
      </c>
      <c r="G149" s="86" t="str">
        <f ca="1">OFFSET(④結果出力!$D$14,MATCH(③各部被害関数計算結果!$C149,④結果出力!$C$14:$C$113,0)-1,1)</f>
        <v/>
      </c>
      <c r="H149" s="92"/>
      <c r="I149" s="86" t="str">
        <f ca="1">OFFSET(④結果出力!$D$14,MATCH(③各部被害関数計算結果!$C149,④結果出力!$C$14:$C$113,0)-1,2)</f>
        <v/>
      </c>
      <c r="J149" s="92"/>
    </row>
    <row r="150" spans="1:10" x14ac:dyDescent="0.15">
      <c r="A150" s="58">
        <f>ROW()</f>
        <v>150</v>
      </c>
      <c r="B150" s="85" t="str">
        <f t="shared" ca="1" si="2"/>
        <v/>
      </c>
      <c r="C150" s="85" t="s">
        <v>272</v>
      </c>
      <c r="D150" s="85" t="str">
        <f ca="1">OFFSET(④結果出力!$D$14,MATCH(③各部被害関数計算結果!$C150,④結果出力!$C$14:$C$113,0)-1,0)</f>
        <v/>
      </c>
      <c r="E150" s="85" t="s">
        <v>53</v>
      </c>
      <c r="F150" s="86" t="str">
        <f ca="1">OFFSET(④結果出力!$D$14,MATCH(③各部被害関数計算結果!$C150,④結果出力!$C$14:$C$113,0)-1,18)</f>
        <v/>
      </c>
      <c r="G150" s="86" t="str">
        <f ca="1">OFFSET(④結果出力!$D$14,MATCH(③各部被害関数計算結果!$C150,④結果出力!$C$14:$C$113,0)-1,1)</f>
        <v/>
      </c>
      <c r="H150" s="92"/>
      <c r="I150" s="86" t="str">
        <f ca="1">OFFSET(④結果出力!$D$14,MATCH(③各部被害関数計算結果!$C150,④結果出力!$C$14:$C$113,0)-1,2)</f>
        <v/>
      </c>
      <c r="J150" s="92"/>
    </row>
    <row r="151" spans="1:10" x14ac:dyDescent="0.15">
      <c r="A151" s="58">
        <f>ROW()</f>
        <v>151</v>
      </c>
      <c r="B151" s="85" t="str">
        <f t="shared" ca="1" si="2"/>
        <v/>
      </c>
      <c r="C151" s="85" t="s">
        <v>273</v>
      </c>
      <c r="D151" s="85" t="str">
        <f ca="1">OFFSET(④結果出力!$D$14,MATCH(③各部被害関数計算結果!$C151,④結果出力!$C$14:$C$113,0)-1,0)</f>
        <v/>
      </c>
      <c r="E151" s="85" t="s">
        <v>30</v>
      </c>
      <c r="F151" s="86" t="str">
        <f ca="1">OFFSET(④結果出力!$D$14,MATCH(③各部被害関数計算結果!$C151,④結果出力!$C$14:$C$113,0)-1,3)</f>
        <v/>
      </c>
      <c r="G151" s="86" t="str">
        <f ca="1">OFFSET(④結果出力!$D$14,MATCH(③各部被害関数計算結果!$C151,④結果出力!$C$14:$C$113,0)-1,1)</f>
        <v/>
      </c>
      <c r="H151" s="92"/>
      <c r="I151" s="86" t="str">
        <f ca="1">OFFSET(④結果出力!$D$14,MATCH(③各部被害関数計算結果!$C151,④結果出力!$C$14:$C$113,0)-1,2)</f>
        <v/>
      </c>
      <c r="J151" s="92"/>
    </row>
    <row r="152" spans="1:10" x14ac:dyDescent="0.15">
      <c r="A152" s="58">
        <f>ROW()</f>
        <v>152</v>
      </c>
      <c r="B152" s="85" t="str">
        <f t="shared" ca="1" si="2"/>
        <v/>
      </c>
      <c r="C152" s="85" t="s">
        <v>273</v>
      </c>
      <c r="D152" s="85" t="str">
        <f ca="1">OFFSET(④結果出力!$D$14,MATCH(③各部被害関数計算結果!$C152,④結果出力!$C$14:$C$113,0)-1,0)</f>
        <v/>
      </c>
      <c r="E152" s="85" t="s">
        <v>33</v>
      </c>
      <c r="F152" s="86" t="str">
        <f ca="1">OFFSET(④結果出力!$D$14,MATCH(③各部被害関数計算結果!$C152,④結果出力!$C$14:$C$113,0)-1,8)</f>
        <v/>
      </c>
      <c r="G152" s="86" t="str">
        <f ca="1">OFFSET(④結果出力!$D$14,MATCH(③各部被害関数計算結果!$C152,④結果出力!$C$14:$C$113,0)-1,1)</f>
        <v/>
      </c>
      <c r="H152" s="92"/>
      <c r="I152" s="86" t="str">
        <f ca="1">OFFSET(④結果出力!$D$14,MATCH(③各部被害関数計算結果!$C152,④結果出力!$C$14:$C$113,0)-1,2)</f>
        <v/>
      </c>
      <c r="J152" s="92"/>
    </row>
    <row r="153" spans="1:10" x14ac:dyDescent="0.15">
      <c r="A153" s="58">
        <f>ROW()</f>
        <v>153</v>
      </c>
      <c r="B153" s="85" t="str">
        <f t="shared" ca="1" si="2"/>
        <v/>
      </c>
      <c r="C153" s="85" t="s">
        <v>273</v>
      </c>
      <c r="D153" s="85" t="str">
        <f ca="1">OFFSET(④結果出力!$D$14,MATCH(③各部被害関数計算結果!$C153,④結果出力!$C$14:$C$113,0)-1,0)</f>
        <v/>
      </c>
      <c r="E153" s="85" t="s">
        <v>118</v>
      </c>
      <c r="F153" s="86" t="str">
        <f ca="1">OFFSET(④結果出力!$D$14,MATCH(③各部被害関数計算結果!$C153,④結果出力!$C$14:$C$1133,0)-1,13)</f>
        <v/>
      </c>
      <c r="G153" s="86" t="str">
        <f ca="1">OFFSET(④結果出力!$D$14,MATCH(③各部被害関数計算結果!$C153,④結果出力!$C$14:$C$113,0)-1,1)</f>
        <v/>
      </c>
      <c r="H153" s="92"/>
      <c r="I153" s="86" t="str">
        <f ca="1">OFFSET(④結果出力!$D$14,MATCH(③各部被害関数計算結果!$C153,④結果出力!$C$14:$C$113,0)-1,2)</f>
        <v/>
      </c>
      <c r="J153" s="92"/>
    </row>
    <row r="154" spans="1:10" x14ac:dyDescent="0.15">
      <c r="A154" s="58">
        <f>ROW()</f>
        <v>154</v>
      </c>
      <c r="B154" s="85" t="str">
        <f t="shared" ca="1" si="2"/>
        <v/>
      </c>
      <c r="C154" s="85" t="s">
        <v>273</v>
      </c>
      <c r="D154" s="85" t="str">
        <f ca="1">OFFSET(④結果出力!$D$14,MATCH(③各部被害関数計算結果!$C154,④結果出力!$C$14:$C$113,0)-1,0)</f>
        <v/>
      </c>
      <c r="E154" s="85" t="s">
        <v>53</v>
      </c>
      <c r="F154" s="86" t="str">
        <f ca="1">OFFSET(④結果出力!$D$14,MATCH(③各部被害関数計算結果!$C154,④結果出力!$C$14:$C$113,0)-1,18)</f>
        <v/>
      </c>
      <c r="G154" s="86" t="str">
        <f ca="1">OFFSET(④結果出力!$D$14,MATCH(③各部被害関数計算結果!$C154,④結果出力!$C$14:$C$113,0)-1,1)</f>
        <v/>
      </c>
      <c r="H154" s="92"/>
      <c r="I154" s="86" t="str">
        <f ca="1">OFFSET(④結果出力!$D$14,MATCH(③各部被害関数計算結果!$C154,④結果出力!$C$14:$C$113,0)-1,2)</f>
        <v/>
      </c>
      <c r="J154" s="92"/>
    </row>
    <row r="155" spans="1:10" x14ac:dyDescent="0.15">
      <c r="A155" s="58">
        <f>ROW()</f>
        <v>155</v>
      </c>
      <c r="B155" s="85" t="str">
        <f t="shared" ca="1" si="2"/>
        <v/>
      </c>
      <c r="C155" s="85" t="s">
        <v>274</v>
      </c>
      <c r="D155" s="85" t="str">
        <f ca="1">OFFSET(④結果出力!$D$14,MATCH(③各部被害関数計算結果!$C155,④結果出力!$C$14:$C$113,0)-1,0)</f>
        <v/>
      </c>
      <c r="E155" s="85" t="s">
        <v>30</v>
      </c>
      <c r="F155" s="86" t="str">
        <f ca="1">OFFSET(④結果出力!$D$14,MATCH(③各部被害関数計算結果!$C155,④結果出力!$C$14:$C$113,0)-1,3)</f>
        <v/>
      </c>
      <c r="G155" s="86" t="str">
        <f ca="1">OFFSET(④結果出力!$D$14,MATCH(③各部被害関数計算結果!$C155,④結果出力!$C$14:$C$113,0)-1,1)</f>
        <v/>
      </c>
      <c r="H155" s="92"/>
      <c r="I155" s="86" t="str">
        <f ca="1">OFFSET(④結果出力!$D$14,MATCH(③各部被害関数計算結果!$C155,④結果出力!$C$14:$C$113,0)-1,2)</f>
        <v/>
      </c>
      <c r="J155" s="92"/>
    </row>
    <row r="156" spans="1:10" x14ac:dyDescent="0.15">
      <c r="A156" s="58">
        <f>ROW()</f>
        <v>156</v>
      </c>
      <c r="B156" s="85" t="str">
        <f t="shared" ca="1" si="2"/>
        <v/>
      </c>
      <c r="C156" s="85" t="s">
        <v>274</v>
      </c>
      <c r="D156" s="85" t="str">
        <f ca="1">OFFSET(④結果出力!$D$14,MATCH(③各部被害関数計算結果!$C156,④結果出力!$C$14:$C$113,0)-1,0)</f>
        <v/>
      </c>
      <c r="E156" s="85" t="s">
        <v>33</v>
      </c>
      <c r="F156" s="86" t="str">
        <f ca="1">OFFSET(④結果出力!$D$14,MATCH(③各部被害関数計算結果!$C156,④結果出力!$C$14:$C$113,0)-1,8)</f>
        <v/>
      </c>
      <c r="G156" s="86" t="str">
        <f ca="1">OFFSET(④結果出力!$D$14,MATCH(③各部被害関数計算結果!$C156,④結果出力!$C$14:$C$113,0)-1,1)</f>
        <v/>
      </c>
      <c r="H156" s="92"/>
      <c r="I156" s="86" t="str">
        <f ca="1">OFFSET(④結果出力!$D$14,MATCH(③各部被害関数計算結果!$C156,④結果出力!$C$14:$C$113,0)-1,2)</f>
        <v/>
      </c>
      <c r="J156" s="92"/>
    </row>
    <row r="157" spans="1:10" x14ac:dyDescent="0.15">
      <c r="A157" s="58">
        <f>ROW()</f>
        <v>157</v>
      </c>
      <c r="B157" s="85" t="str">
        <f t="shared" ca="1" si="2"/>
        <v/>
      </c>
      <c r="C157" s="85" t="s">
        <v>274</v>
      </c>
      <c r="D157" s="85" t="str">
        <f ca="1">OFFSET(④結果出力!$D$14,MATCH(③各部被害関数計算結果!$C157,④結果出力!$C$14:$C$113,0)-1,0)</f>
        <v/>
      </c>
      <c r="E157" s="85" t="s">
        <v>118</v>
      </c>
      <c r="F157" s="86" t="str">
        <f ca="1">OFFSET(④結果出力!$D$14,MATCH(③各部被害関数計算結果!$C157,④結果出力!$C$14:$C$1133,0)-1,13)</f>
        <v/>
      </c>
      <c r="G157" s="86" t="str">
        <f ca="1">OFFSET(④結果出力!$D$14,MATCH(③各部被害関数計算結果!$C157,④結果出力!$C$14:$C$113,0)-1,1)</f>
        <v/>
      </c>
      <c r="H157" s="92"/>
      <c r="I157" s="86" t="str">
        <f ca="1">OFFSET(④結果出力!$D$14,MATCH(③各部被害関数計算結果!$C157,④結果出力!$C$14:$C$113,0)-1,2)</f>
        <v/>
      </c>
      <c r="J157" s="92"/>
    </row>
    <row r="158" spans="1:10" x14ac:dyDescent="0.15">
      <c r="A158" s="58">
        <f>ROW()</f>
        <v>158</v>
      </c>
      <c r="B158" s="85" t="str">
        <f t="shared" ca="1" si="2"/>
        <v/>
      </c>
      <c r="C158" s="85" t="s">
        <v>274</v>
      </c>
      <c r="D158" s="85" t="str">
        <f ca="1">OFFSET(④結果出力!$D$14,MATCH(③各部被害関数計算結果!$C158,④結果出力!$C$14:$C$113,0)-1,0)</f>
        <v/>
      </c>
      <c r="E158" s="85" t="s">
        <v>53</v>
      </c>
      <c r="F158" s="86" t="str">
        <f ca="1">OFFSET(④結果出力!$D$14,MATCH(③各部被害関数計算結果!$C158,④結果出力!$C$14:$C$113,0)-1,18)</f>
        <v/>
      </c>
      <c r="G158" s="86" t="str">
        <f ca="1">OFFSET(④結果出力!$D$14,MATCH(③各部被害関数計算結果!$C158,④結果出力!$C$14:$C$113,0)-1,1)</f>
        <v/>
      </c>
      <c r="H158" s="92"/>
      <c r="I158" s="86" t="str">
        <f ca="1">OFFSET(④結果出力!$D$14,MATCH(③各部被害関数計算結果!$C158,④結果出力!$C$14:$C$113,0)-1,2)</f>
        <v/>
      </c>
      <c r="J158" s="92"/>
    </row>
    <row r="159" spans="1:10" x14ac:dyDescent="0.15">
      <c r="A159" s="58">
        <f>ROW()</f>
        <v>159</v>
      </c>
      <c r="B159" s="85" t="str">
        <f t="shared" ca="1" si="2"/>
        <v/>
      </c>
      <c r="C159" s="85" t="s">
        <v>275</v>
      </c>
      <c r="D159" s="85" t="str">
        <f ca="1">OFFSET(④結果出力!$D$14,MATCH(③各部被害関数計算結果!$C159,④結果出力!$C$14:$C$113,0)-1,0)</f>
        <v/>
      </c>
      <c r="E159" s="85" t="s">
        <v>30</v>
      </c>
      <c r="F159" s="86" t="str">
        <f ca="1">OFFSET(④結果出力!$D$14,MATCH(③各部被害関数計算結果!$C159,④結果出力!$C$14:$C$113,0)-1,3)</f>
        <v/>
      </c>
      <c r="G159" s="86" t="str">
        <f ca="1">OFFSET(④結果出力!$D$14,MATCH(③各部被害関数計算結果!$C159,④結果出力!$C$14:$C$113,0)-1,1)</f>
        <v/>
      </c>
      <c r="H159" s="92"/>
      <c r="I159" s="86" t="str">
        <f ca="1">OFFSET(④結果出力!$D$14,MATCH(③各部被害関数計算結果!$C159,④結果出力!$C$14:$C$113,0)-1,2)</f>
        <v/>
      </c>
      <c r="J159" s="92"/>
    </row>
    <row r="160" spans="1:10" x14ac:dyDescent="0.15">
      <c r="A160" s="58">
        <f>ROW()</f>
        <v>160</v>
      </c>
      <c r="B160" s="85" t="str">
        <f t="shared" ca="1" si="2"/>
        <v/>
      </c>
      <c r="C160" s="85" t="s">
        <v>275</v>
      </c>
      <c r="D160" s="85" t="str">
        <f ca="1">OFFSET(④結果出力!$D$14,MATCH(③各部被害関数計算結果!$C160,④結果出力!$C$14:$C$113,0)-1,0)</f>
        <v/>
      </c>
      <c r="E160" s="85" t="s">
        <v>33</v>
      </c>
      <c r="F160" s="86" t="str">
        <f ca="1">OFFSET(④結果出力!$D$14,MATCH(③各部被害関数計算結果!$C160,④結果出力!$C$14:$C$113,0)-1,8)</f>
        <v/>
      </c>
      <c r="G160" s="86" t="str">
        <f ca="1">OFFSET(④結果出力!$D$14,MATCH(③各部被害関数計算結果!$C160,④結果出力!$C$14:$C$113,0)-1,1)</f>
        <v/>
      </c>
      <c r="H160" s="92"/>
      <c r="I160" s="86" t="str">
        <f ca="1">OFFSET(④結果出力!$D$14,MATCH(③各部被害関数計算結果!$C160,④結果出力!$C$14:$C$113,0)-1,2)</f>
        <v/>
      </c>
      <c r="J160" s="92"/>
    </row>
    <row r="161" spans="1:10" x14ac:dyDescent="0.15">
      <c r="A161" s="58">
        <f>ROW()</f>
        <v>161</v>
      </c>
      <c r="B161" s="85" t="str">
        <f t="shared" ca="1" si="2"/>
        <v/>
      </c>
      <c r="C161" s="85" t="s">
        <v>275</v>
      </c>
      <c r="D161" s="85" t="str">
        <f ca="1">OFFSET(④結果出力!$D$14,MATCH(③各部被害関数計算結果!$C161,④結果出力!$C$14:$C$113,0)-1,0)</f>
        <v/>
      </c>
      <c r="E161" s="85" t="s">
        <v>118</v>
      </c>
      <c r="F161" s="86" t="str">
        <f ca="1">OFFSET(④結果出力!$D$14,MATCH(③各部被害関数計算結果!$C161,④結果出力!$C$14:$C$1133,0)-1,13)</f>
        <v/>
      </c>
      <c r="G161" s="86" t="str">
        <f ca="1">OFFSET(④結果出力!$D$14,MATCH(③各部被害関数計算結果!$C161,④結果出力!$C$14:$C$113,0)-1,1)</f>
        <v/>
      </c>
      <c r="H161" s="92"/>
      <c r="I161" s="86" t="str">
        <f ca="1">OFFSET(④結果出力!$D$14,MATCH(③各部被害関数計算結果!$C161,④結果出力!$C$14:$C$113,0)-1,2)</f>
        <v/>
      </c>
      <c r="J161" s="92"/>
    </row>
    <row r="162" spans="1:10" x14ac:dyDescent="0.15">
      <c r="A162" s="58">
        <f>ROW()</f>
        <v>162</v>
      </c>
      <c r="B162" s="85" t="str">
        <f t="shared" ca="1" si="2"/>
        <v/>
      </c>
      <c r="C162" s="85" t="s">
        <v>275</v>
      </c>
      <c r="D162" s="85" t="str">
        <f ca="1">OFFSET(④結果出力!$D$14,MATCH(③各部被害関数計算結果!$C162,④結果出力!$C$14:$C$113,0)-1,0)</f>
        <v/>
      </c>
      <c r="E162" s="85" t="s">
        <v>53</v>
      </c>
      <c r="F162" s="86" t="str">
        <f ca="1">OFFSET(④結果出力!$D$14,MATCH(③各部被害関数計算結果!$C162,④結果出力!$C$14:$C$113,0)-1,18)</f>
        <v/>
      </c>
      <c r="G162" s="86" t="str">
        <f ca="1">OFFSET(④結果出力!$D$14,MATCH(③各部被害関数計算結果!$C162,④結果出力!$C$14:$C$113,0)-1,1)</f>
        <v/>
      </c>
      <c r="H162" s="92"/>
      <c r="I162" s="86" t="str">
        <f ca="1">OFFSET(④結果出力!$D$14,MATCH(③各部被害関数計算結果!$C162,④結果出力!$C$14:$C$113,0)-1,2)</f>
        <v/>
      </c>
      <c r="J162" s="92"/>
    </row>
    <row r="163" spans="1:10" x14ac:dyDescent="0.15">
      <c r="A163" s="58">
        <f>ROW()</f>
        <v>163</v>
      </c>
      <c r="B163" s="85" t="str">
        <f t="shared" ca="1" si="2"/>
        <v/>
      </c>
      <c r="C163" s="85" t="s">
        <v>276</v>
      </c>
      <c r="D163" s="85" t="str">
        <f ca="1">OFFSET(④結果出力!$D$14,MATCH(③各部被害関数計算結果!$C163,④結果出力!$C$14:$C$113,0)-1,0)</f>
        <v/>
      </c>
      <c r="E163" s="85" t="s">
        <v>30</v>
      </c>
      <c r="F163" s="86" t="str">
        <f ca="1">OFFSET(④結果出力!$D$14,MATCH(③各部被害関数計算結果!$C163,④結果出力!$C$14:$C$113,0)-1,3)</f>
        <v/>
      </c>
      <c r="G163" s="86" t="str">
        <f ca="1">OFFSET(④結果出力!$D$14,MATCH(③各部被害関数計算結果!$C163,④結果出力!$C$14:$C$113,0)-1,1)</f>
        <v/>
      </c>
      <c r="H163" s="92"/>
      <c r="I163" s="86" t="str">
        <f ca="1">OFFSET(④結果出力!$D$14,MATCH(③各部被害関数計算結果!$C163,④結果出力!$C$14:$C$113,0)-1,2)</f>
        <v/>
      </c>
      <c r="J163" s="92"/>
    </row>
    <row r="164" spans="1:10" x14ac:dyDescent="0.15">
      <c r="A164" s="58">
        <f>ROW()</f>
        <v>164</v>
      </c>
      <c r="B164" s="85" t="str">
        <f t="shared" ca="1" si="2"/>
        <v/>
      </c>
      <c r="C164" s="85" t="s">
        <v>276</v>
      </c>
      <c r="D164" s="85" t="str">
        <f ca="1">OFFSET(④結果出力!$D$14,MATCH(③各部被害関数計算結果!$C164,④結果出力!$C$14:$C$113,0)-1,0)</f>
        <v/>
      </c>
      <c r="E164" s="85" t="s">
        <v>33</v>
      </c>
      <c r="F164" s="86" t="str">
        <f ca="1">OFFSET(④結果出力!$D$14,MATCH(③各部被害関数計算結果!$C164,④結果出力!$C$14:$C$113,0)-1,8)</f>
        <v/>
      </c>
      <c r="G164" s="86" t="str">
        <f ca="1">OFFSET(④結果出力!$D$14,MATCH(③各部被害関数計算結果!$C164,④結果出力!$C$14:$C$113,0)-1,1)</f>
        <v/>
      </c>
      <c r="H164" s="92"/>
      <c r="I164" s="86" t="str">
        <f ca="1">OFFSET(④結果出力!$D$14,MATCH(③各部被害関数計算結果!$C164,④結果出力!$C$14:$C$113,0)-1,2)</f>
        <v/>
      </c>
      <c r="J164" s="92"/>
    </row>
    <row r="165" spans="1:10" x14ac:dyDescent="0.15">
      <c r="A165" s="58">
        <f>ROW()</f>
        <v>165</v>
      </c>
      <c r="B165" s="85" t="str">
        <f t="shared" ca="1" si="2"/>
        <v/>
      </c>
      <c r="C165" s="85" t="s">
        <v>276</v>
      </c>
      <c r="D165" s="85" t="str">
        <f ca="1">OFFSET(④結果出力!$D$14,MATCH(③各部被害関数計算結果!$C165,④結果出力!$C$14:$C$113,0)-1,0)</f>
        <v/>
      </c>
      <c r="E165" s="85" t="s">
        <v>118</v>
      </c>
      <c r="F165" s="86" t="str">
        <f ca="1">OFFSET(④結果出力!$D$14,MATCH(③各部被害関数計算結果!$C165,④結果出力!$C$14:$C$1133,0)-1,13)</f>
        <v/>
      </c>
      <c r="G165" s="86" t="str">
        <f ca="1">OFFSET(④結果出力!$D$14,MATCH(③各部被害関数計算結果!$C165,④結果出力!$C$14:$C$113,0)-1,1)</f>
        <v/>
      </c>
      <c r="H165" s="92"/>
      <c r="I165" s="86" t="str">
        <f ca="1">OFFSET(④結果出力!$D$14,MATCH(③各部被害関数計算結果!$C165,④結果出力!$C$14:$C$113,0)-1,2)</f>
        <v/>
      </c>
      <c r="J165" s="92"/>
    </row>
    <row r="166" spans="1:10" x14ac:dyDescent="0.15">
      <c r="A166" s="58">
        <f>ROW()</f>
        <v>166</v>
      </c>
      <c r="B166" s="85" t="str">
        <f t="shared" ca="1" si="2"/>
        <v/>
      </c>
      <c r="C166" s="85" t="s">
        <v>276</v>
      </c>
      <c r="D166" s="85" t="str">
        <f ca="1">OFFSET(④結果出力!$D$14,MATCH(③各部被害関数計算結果!$C166,④結果出力!$C$14:$C$113,0)-1,0)</f>
        <v/>
      </c>
      <c r="E166" s="85" t="s">
        <v>53</v>
      </c>
      <c r="F166" s="86" t="str">
        <f ca="1">OFFSET(④結果出力!$D$14,MATCH(③各部被害関数計算結果!$C166,④結果出力!$C$14:$C$113,0)-1,18)</f>
        <v/>
      </c>
      <c r="G166" s="86" t="str">
        <f ca="1">OFFSET(④結果出力!$D$14,MATCH(③各部被害関数計算結果!$C166,④結果出力!$C$14:$C$113,0)-1,1)</f>
        <v/>
      </c>
      <c r="H166" s="92"/>
      <c r="I166" s="86" t="str">
        <f ca="1">OFFSET(④結果出力!$D$14,MATCH(③各部被害関数計算結果!$C166,④結果出力!$C$14:$C$113,0)-1,2)</f>
        <v/>
      </c>
      <c r="J166" s="92"/>
    </row>
    <row r="167" spans="1:10" x14ac:dyDescent="0.15">
      <c r="A167" s="58">
        <f>ROW()</f>
        <v>167</v>
      </c>
      <c r="B167" s="85" t="str">
        <f t="shared" ca="1" si="2"/>
        <v/>
      </c>
      <c r="C167" s="85" t="s">
        <v>277</v>
      </c>
      <c r="D167" s="85" t="str">
        <f ca="1">OFFSET(④結果出力!$D$14,MATCH(③各部被害関数計算結果!$C167,④結果出力!$C$14:$C$113,0)-1,0)</f>
        <v/>
      </c>
      <c r="E167" s="85" t="s">
        <v>30</v>
      </c>
      <c r="F167" s="86" t="str">
        <f ca="1">OFFSET(④結果出力!$D$14,MATCH(③各部被害関数計算結果!$C167,④結果出力!$C$14:$C$113,0)-1,3)</f>
        <v/>
      </c>
      <c r="G167" s="86" t="str">
        <f ca="1">OFFSET(④結果出力!$D$14,MATCH(③各部被害関数計算結果!$C167,④結果出力!$C$14:$C$113,0)-1,1)</f>
        <v/>
      </c>
      <c r="H167" s="92"/>
      <c r="I167" s="86" t="str">
        <f ca="1">OFFSET(④結果出力!$D$14,MATCH(③各部被害関数計算結果!$C167,④結果出力!$C$14:$C$113,0)-1,2)</f>
        <v/>
      </c>
      <c r="J167" s="92"/>
    </row>
    <row r="168" spans="1:10" x14ac:dyDescent="0.15">
      <c r="A168" s="58">
        <f>ROW()</f>
        <v>168</v>
      </c>
      <c r="B168" s="85" t="str">
        <f t="shared" ca="1" si="2"/>
        <v/>
      </c>
      <c r="C168" s="85" t="s">
        <v>277</v>
      </c>
      <c r="D168" s="85" t="str">
        <f ca="1">OFFSET(④結果出力!$D$14,MATCH(③各部被害関数計算結果!$C168,④結果出力!$C$14:$C$113,0)-1,0)</f>
        <v/>
      </c>
      <c r="E168" s="85" t="s">
        <v>33</v>
      </c>
      <c r="F168" s="86" t="str">
        <f ca="1">OFFSET(④結果出力!$D$14,MATCH(③各部被害関数計算結果!$C168,④結果出力!$C$14:$C$113,0)-1,8)</f>
        <v/>
      </c>
      <c r="G168" s="86" t="str">
        <f ca="1">OFFSET(④結果出力!$D$14,MATCH(③各部被害関数計算結果!$C168,④結果出力!$C$14:$C$113,0)-1,1)</f>
        <v/>
      </c>
      <c r="H168" s="92"/>
      <c r="I168" s="86" t="str">
        <f ca="1">OFFSET(④結果出力!$D$14,MATCH(③各部被害関数計算結果!$C168,④結果出力!$C$14:$C$113,0)-1,2)</f>
        <v/>
      </c>
      <c r="J168" s="92"/>
    </row>
    <row r="169" spans="1:10" x14ac:dyDescent="0.15">
      <c r="A169" s="58">
        <f>ROW()</f>
        <v>169</v>
      </c>
      <c r="B169" s="85" t="str">
        <f t="shared" ca="1" si="2"/>
        <v/>
      </c>
      <c r="C169" s="85" t="s">
        <v>277</v>
      </c>
      <c r="D169" s="85" t="str">
        <f ca="1">OFFSET(④結果出力!$D$14,MATCH(③各部被害関数計算結果!$C169,④結果出力!$C$14:$C$113,0)-1,0)</f>
        <v/>
      </c>
      <c r="E169" s="85" t="s">
        <v>118</v>
      </c>
      <c r="F169" s="86" t="str">
        <f ca="1">OFFSET(④結果出力!$D$14,MATCH(③各部被害関数計算結果!$C169,④結果出力!$C$14:$C$1133,0)-1,13)</f>
        <v/>
      </c>
      <c r="G169" s="86" t="str">
        <f ca="1">OFFSET(④結果出力!$D$14,MATCH(③各部被害関数計算結果!$C169,④結果出力!$C$14:$C$113,0)-1,1)</f>
        <v/>
      </c>
      <c r="H169" s="92"/>
      <c r="I169" s="86" t="str">
        <f ca="1">OFFSET(④結果出力!$D$14,MATCH(③各部被害関数計算結果!$C169,④結果出力!$C$14:$C$113,0)-1,2)</f>
        <v/>
      </c>
      <c r="J169" s="92"/>
    </row>
    <row r="170" spans="1:10" x14ac:dyDescent="0.15">
      <c r="A170" s="58">
        <f>ROW()</f>
        <v>170</v>
      </c>
      <c r="B170" s="85" t="str">
        <f t="shared" ca="1" si="2"/>
        <v/>
      </c>
      <c r="C170" s="85" t="s">
        <v>277</v>
      </c>
      <c r="D170" s="85" t="str">
        <f ca="1">OFFSET(④結果出力!$D$14,MATCH(③各部被害関数計算結果!$C170,④結果出力!$C$14:$C$113,0)-1,0)</f>
        <v/>
      </c>
      <c r="E170" s="85" t="s">
        <v>53</v>
      </c>
      <c r="F170" s="86" t="str">
        <f ca="1">OFFSET(④結果出力!$D$14,MATCH(③各部被害関数計算結果!$C170,④結果出力!$C$14:$C$113,0)-1,18)</f>
        <v/>
      </c>
      <c r="G170" s="86" t="str">
        <f ca="1">OFFSET(④結果出力!$D$14,MATCH(③各部被害関数計算結果!$C170,④結果出力!$C$14:$C$113,0)-1,1)</f>
        <v/>
      </c>
      <c r="H170" s="92"/>
      <c r="I170" s="86" t="str">
        <f ca="1">OFFSET(④結果出力!$D$14,MATCH(③各部被害関数計算結果!$C170,④結果出力!$C$14:$C$113,0)-1,2)</f>
        <v/>
      </c>
      <c r="J170" s="92"/>
    </row>
    <row r="171" spans="1:10" x14ac:dyDescent="0.15">
      <c r="A171" s="58">
        <f>ROW()</f>
        <v>171</v>
      </c>
      <c r="B171" s="85" t="str">
        <f t="shared" ca="1" si="2"/>
        <v/>
      </c>
      <c r="C171" s="85" t="s">
        <v>278</v>
      </c>
      <c r="D171" s="85" t="str">
        <f ca="1">OFFSET(④結果出力!$D$14,MATCH(③各部被害関数計算結果!$C171,④結果出力!$C$14:$C$113,0)-1,0)</f>
        <v/>
      </c>
      <c r="E171" s="85" t="s">
        <v>30</v>
      </c>
      <c r="F171" s="86" t="str">
        <f ca="1">OFFSET(④結果出力!$D$14,MATCH(③各部被害関数計算結果!$C171,④結果出力!$C$14:$C$113,0)-1,3)</f>
        <v/>
      </c>
      <c r="G171" s="86" t="str">
        <f ca="1">OFFSET(④結果出力!$D$14,MATCH(③各部被害関数計算結果!$C171,④結果出力!$C$14:$C$113,0)-1,1)</f>
        <v/>
      </c>
      <c r="H171" s="92"/>
      <c r="I171" s="86" t="str">
        <f ca="1">OFFSET(④結果出力!$D$14,MATCH(③各部被害関数計算結果!$C171,④結果出力!$C$14:$C$113,0)-1,2)</f>
        <v/>
      </c>
      <c r="J171" s="92"/>
    </row>
    <row r="172" spans="1:10" x14ac:dyDescent="0.15">
      <c r="A172" s="58">
        <f>ROW()</f>
        <v>172</v>
      </c>
      <c r="B172" s="85" t="str">
        <f t="shared" ca="1" si="2"/>
        <v/>
      </c>
      <c r="C172" s="85" t="s">
        <v>278</v>
      </c>
      <c r="D172" s="85" t="str">
        <f ca="1">OFFSET(④結果出力!$D$14,MATCH(③各部被害関数計算結果!$C172,④結果出力!$C$14:$C$113,0)-1,0)</f>
        <v/>
      </c>
      <c r="E172" s="85" t="s">
        <v>33</v>
      </c>
      <c r="F172" s="86" t="str">
        <f ca="1">OFFSET(④結果出力!$D$14,MATCH(③各部被害関数計算結果!$C172,④結果出力!$C$14:$C$113,0)-1,8)</f>
        <v/>
      </c>
      <c r="G172" s="86" t="str">
        <f ca="1">OFFSET(④結果出力!$D$14,MATCH(③各部被害関数計算結果!$C172,④結果出力!$C$14:$C$113,0)-1,1)</f>
        <v/>
      </c>
      <c r="H172" s="92"/>
      <c r="I172" s="86" t="str">
        <f ca="1">OFFSET(④結果出力!$D$14,MATCH(③各部被害関数計算結果!$C172,④結果出力!$C$14:$C$113,0)-1,2)</f>
        <v/>
      </c>
      <c r="J172" s="92"/>
    </row>
    <row r="173" spans="1:10" x14ac:dyDescent="0.15">
      <c r="A173" s="58">
        <f>ROW()</f>
        <v>173</v>
      </c>
      <c r="B173" s="85" t="str">
        <f t="shared" ca="1" si="2"/>
        <v/>
      </c>
      <c r="C173" s="85" t="s">
        <v>278</v>
      </c>
      <c r="D173" s="85" t="str">
        <f ca="1">OFFSET(④結果出力!$D$14,MATCH(③各部被害関数計算結果!$C173,④結果出力!$C$14:$C$113,0)-1,0)</f>
        <v/>
      </c>
      <c r="E173" s="85" t="s">
        <v>118</v>
      </c>
      <c r="F173" s="86" t="str">
        <f ca="1">OFFSET(④結果出力!$D$14,MATCH(③各部被害関数計算結果!$C173,④結果出力!$C$14:$C$1133,0)-1,13)</f>
        <v/>
      </c>
      <c r="G173" s="86" t="str">
        <f ca="1">OFFSET(④結果出力!$D$14,MATCH(③各部被害関数計算結果!$C173,④結果出力!$C$14:$C$113,0)-1,1)</f>
        <v/>
      </c>
      <c r="H173" s="92"/>
      <c r="I173" s="86" t="str">
        <f ca="1">OFFSET(④結果出力!$D$14,MATCH(③各部被害関数計算結果!$C173,④結果出力!$C$14:$C$113,0)-1,2)</f>
        <v/>
      </c>
      <c r="J173" s="92"/>
    </row>
    <row r="174" spans="1:10" x14ac:dyDescent="0.15">
      <c r="A174" s="58">
        <f>ROW()</f>
        <v>174</v>
      </c>
      <c r="B174" s="85" t="str">
        <f t="shared" ca="1" si="2"/>
        <v/>
      </c>
      <c r="C174" s="85" t="s">
        <v>278</v>
      </c>
      <c r="D174" s="85" t="str">
        <f ca="1">OFFSET(④結果出力!$D$14,MATCH(③各部被害関数計算結果!$C174,④結果出力!$C$14:$C$113,0)-1,0)</f>
        <v/>
      </c>
      <c r="E174" s="85" t="s">
        <v>53</v>
      </c>
      <c r="F174" s="86" t="str">
        <f ca="1">OFFSET(④結果出力!$D$14,MATCH(③各部被害関数計算結果!$C174,④結果出力!$C$14:$C$113,0)-1,18)</f>
        <v/>
      </c>
      <c r="G174" s="86" t="str">
        <f ca="1">OFFSET(④結果出力!$D$14,MATCH(③各部被害関数計算結果!$C174,④結果出力!$C$14:$C$113,0)-1,1)</f>
        <v/>
      </c>
      <c r="H174" s="92"/>
      <c r="I174" s="86" t="str">
        <f ca="1">OFFSET(④結果出力!$D$14,MATCH(③各部被害関数計算結果!$C174,④結果出力!$C$14:$C$113,0)-1,2)</f>
        <v/>
      </c>
      <c r="J174" s="92"/>
    </row>
    <row r="175" spans="1:10" x14ac:dyDescent="0.15">
      <c r="A175" s="58">
        <f>ROW()</f>
        <v>175</v>
      </c>
      <c r="B175" s="85" t="str">
        <f t="shared" ca="1" si="2"/>
        <v/>
      </c>
      <c r="C175" s="85" t="s">
        <v>279</v>
      </c>
      <c r="D175" s="85" t="str">
        <f ca="1">OFFSET(④結果出力!$D$14,MATCH(③各部被害関数計算結果!$C175,④結果出力!$C$14:$C$113,0)-1,0)</f>
        <v/>
      </c>
      <c r="E175" s="85" t="s">
        <v>30</v>
      </c>
      <c r="F175" s="86" t="str">
        <f ca="1">OFFSET(④結果出力!$D$14,MATCH(③各部被害関数計算結果!$C175,④結果出力!$C$14:$C$113,0)-1,3)</f>
        <v/>
      </c>
      <c r="G175" s="86" t="str">
        <f ca="1">OFFSET(④結果出力!$D$14,MATCH(③各部被害関数計算結果!$C175,④結果出力!$C$14:$C$113,0)-1,1)</f>
        <v/>
      </c>
      <c r="H175" s="92"/>
      <c r="I175" s="86" t="str">
        <f ca="1">OFFSET(④結果出力!$D$14,MATCH(③各部被害関数計算結果!$C175,④結果出力!$C$14:$C$113,0)-1,2)</f>
        <v/>
      </c>
      <c r="J175" s="92"/>
    </row>
    <row r="176" spans="1:10" x14ac:dyDescent="0.15">
      <c r="A176" s="58">
        <f>ROW()</f>
        <v>176</v>
      </c>
      <c r="B176" s="85" t="str">
        <f t="shared" ca="1" si="2"/>
        <v/>
      </c>
      <c r="C176" s="85" t="s">
        <v>279</v>
      </c>
      <c r="D176" s="85" t="str">
        <f ca="1">OFFSET(④結果出力!$D$14,MATCH(③各部被害関数計算結果!$C176,④結果出力!$C$14:$C$113,0)-1,0)</f>
        <v/>
      </c>
      <c r="E176" s="85" t="s">
        <v>33</v>
      </c>
      <c r="F176" s="86" t="str">
        <f ca="1">OFFSET(④結果出力!$D$14,MATCH(③各部被害関数計算結果!$C176,④結果出力!$C$14:$C$113,0)-1,8)</f>
        <v/>
      </c>
      <c r="G176" s="86" t="str">
        <f ca="1">OFFSET(④結果出力!$D$14,MATCH(③各部被害関数計算結果!$C176,④結果出力!$C$14:$C$113,0)-1,1)</f>
        <v/>
      </c>
      <c r="H176" s="92"/>
      <c r="I176" s="86" t="str">
        <f ca="1">OFFSET(④結果出力!$D$14,MATCH(③各部被害関数計算結果!$C176,④結果出力!$C$14:$C$113,0)-1,2)</f>
        <v/>
      </c>
      <c r="J176" s="92"/>
    </row>
    <row r="177" spans="1:10" x14ac:dyDescent="0.15">
      <c r="A177" s="58">
        <f>ROW()</f>
        <v>177</v>
      </c>
      <c r="B177" s="85" t="str">
        <f t="shared" ca="1" si="2"/>
        <v/>
      </c>
      <c r="C177" s="85" t="s">
        <v>279</v>
      </c>
      <c r="D177" s="85" t="str">
        <f ca="1">OFFSET(④結果出力!$D$14,MATCH(③各部被害関数計算結果!$C177,④結果出力!$C$14:$C$113,0)-1,0)</f>
        <v/>
      </c>
      <c r="E177" s="85" t="s">
        <v>118</v>
      </c>
      <c r="F177" s="86" t="str">
        <f ca="1">OFFSET(④結果出力!$D$14,MATCH(③各部被害関数計算結果!$C177,④結果出力!$C$14:$C$1133,0)-1,13)</f>
        <v/>
      </c>
      <c r="G177" s="86" t="str">
        <f ca="1">OFFSET(④結果出力!$D$14,MATCH(③各部被害関数計算結果!$C177,④結果出力!$C$14:$C$113,0)-1,1)</f>
        <v/>
      </c>
      <c r="H177" s="92"/>
      <c r="I177" s="86" t="str">
        <f ca="1">OFFSET(④結果出力!$D$14,MATCH(③各部被害関数計算結果!$C177,④結果出力!$C$14:$C$113,0)-1,2)</f>
        <v/>
      </c>
      <c r="J177" s="92"/>
    </row>
    <row r="178" spans="1:10" x14ac:dyDescent="0.15">
      <c r="A178" s="58">
        <f>ROW()</f>
        <v>178</v>
      </c>
      <c r="B178" s="85" t="str">
        <f t="shared" ca="1" si="2"/>
        <v/>
      </c>
      <c r="C178" s="85" t="s">
        <v>279</v>
      </c>
      <c r="D178" s="85" t="str">
        <f ca="1">OFFSET(④結果出力!$D$14,MATCH(③各部被害関数計算結果!$C178,④結果出力!$C$14:$C$113,0)-1,0)</f>
        <v/>
      </c>
      <c r="E178" s="85" t="s">
        <v>53</v>
      </c>
      <c r="F178" s="86" t="str">
        <f ca="1">OFFSET(④結果出力!$D$14,MATCH(③各部被害関数計算結果!$C178,④結果出力!$C$14:$C$113,0)-1,18)</f>
        <v/>
      </c>
      <c r="G178" s="86" t="str">
        <f ca="1">OFFSET(④結果出力!$D$14,MATCH(③各部被害関数計算結果!$C178,④結果出力!$C$14:$C$113,0)-1,1)</f>
        <v/>
      </c>
      <c r="H178" s="92"/>
      <c r="I178" s="86" t="str">
        <f ca="1">OFFSET(④結果出力!$D$14,MATCH(③各部被害関数計算結果!$C178,④結果出力!$C$14:$C$113,0)-1,2)</f>
        <v/>
      </c>
      <c r="J178" s="92"/>
    </row>
    <row r="179" spans="1:10" x14ac:dyDescent="0.15">
      <c r="A179" s="58">
        <f>ROW()</f>
        <v>179</v>
      </c>
      <c r="B179" s="85" t="str">
        <f t="shared" ca="1" si="2"/>
        <v/>
      </c>
      <c r="C179" s="85" t="s">
        <v>280</v>
      </c>
      <c r="D179" s="85" t="str">
        <f ca="1">OFFSET(④結果出力!$D$14,MATCH(③各部被害関数計算結果!$C179,④結果出力!$C$14:$C$113,0)-1,0)</f>
        <v/>
      </c>
      <c r="E179" s="85" t="s">
        <v>30</v>
      </c>
      <c r="F179" s="86" t="str">
        <f ca="1">OFFSET(④結果出力!$D$14,MATCH(③各部被害関数計算結果!$C179,④結果出力!$C$14:$C$113,0)-1,3)</f>
        <v/>
      </c>
      <c r="G179" s="86" t="str">
        <f ca="1">OFFSET(④結果出力!$D$14,MATCH(③各部被害関数計算結果!$C179,④結果出力!$C$14:$C$113,0)-1,1)</f>
        <v/>
      </c>
      <c r="H179" s="92"/>
      <c r="I179" s="86" t="str">
        <f ca="1">OFFSET(④結果出力!$D$14,MATCH(③各部被害関数計算結果!$C179,④結果出力!$C$14:$C$113,0)-1,2)</f>
        <v/>
      </c>
      <c r="J179" s="92"/>
    </row>
    <row r="180" spans="1:10" x14ac:dyDescent="0.15">
      <c r="A180" s="58">
        <f>ROW()</f>
        <v>180</v>
      </c>
      <c r="B180" s="85" t="str">
        <f t="shared" ca="1" si="2"/>
        <v/>
      </c>
      <c r="C180" s="85" t="s">
        <v>280</v>
      </c>
      <c r="D180" s="85" t="str">
        <f ca="1">OFFSET(④結果出力!$D$14,MATCH(③各部被害関数計算結果!$C180,④結果出力!$C$14:$C$113,0)-1,0)</f>
        <v/>
      </c>
      <c r="E180" s="85" t="s">
        <v>33</v>
      </c>
      <c r="F180" s="86" t="str">
        <f ca="1">OFFSET(④結果出力!$D$14,MATCH(③各部被害関数計算結果!$C180,④結果出力!$C$14:$C$113,0)-1,8)</f>
        <v/>
      </c>
      <c r="G180" s="86" t="str">
        <f ca="1">OFFSET(④結果出力!$D$14,MATCH(③各部被害関数計算結果!$C180,④結果出力!$C$14:$C$113,0)-1,1)</f>
        <v/>
      </c>
      <c r="H180" s="92"/>
      <c r="I180" s="86" t="str">
        <f ca="1">OFFSET(④結果出力!$D$14,MATCH(③各部被害関数計算結果!$C180,④結果出力!$C$14:$C$113,0)-1,2)</f>
        <v/>
      </c>
      <c r="J180" s="92"/>
    </row>
    <row r="181" spans="1:10" x14ac:dyDescent="0.15">
      <c r="A181" s="58">
        <f>ROW()</f>
        <v>181</v>
      </c>
      <c r="B181" s="85" t="str">
        <f t="shared" ca="1" si="2"/>
        <v/>
      </c>
      <c r="C181" s="85" t="s">
        <v>280</v>
      </c>
      <c r="D181" s="85" t="str">
        <f ca="1">OFFSET(④結果出力!$D$14,MATCH(③各部被害関数計算結果!$C181,④結果出力!$C$14:$C$113,0)-1,0)</f>
        <v/>
      </c>
      <c r="E181" s="85" t="s">
        <v>118</v>
      </c>
      <c r="F181" s="86" t="str">
        <f ca="1">OFFSET(④結果出力!$D$14,MATCH(③各部被害関数計算結果!$C181,④結果出力!$C$14:$C$1133,0)-1,13)</f>
        <v/>
      </c>
      <c r="G181" s="86" t="str">
        <f ca="1">OFFSET(④結果出力!$D$14,MATCH(③各部被害関数計算結果!$C181,④結果出力!$C$14:$C$113,0)-1,1)</f>
        <v/>
      </c>
      <c r="H181" s="92"/>
      <c r="I181" s="86" t="str">
        <f ca="1">OFFSET(④結果出力!$D$14,MATCH(③各部被害関数計算結果!$C181,④結果出力!$C$14:$C$113,0)-1,2)</f>
        <v/>
      </c>
      <c r="J181" s="92"/>
    </row>
    <row r="182" spans="1:10" x14ac:dyDescent="0.15">
      <c r="A182" s="58">
        <f>ROW()</f>
        <v>182</v>
      </c>
      <c r="B182" s="85" t="str">
        <f t="shared" ca="1" si="2"/>
        <v/>
      </c>
      <c r="C182" s="85" t="s">
        <v>280</v>
      </c>
      <c r="D182" s="85" t="str">
        <f ca="1">OFFSET(④結果出力!$D$14,MATCH(③各部被害関数計算結果!$C182,④結果出力!$C$14:$C$113,0)-1,0)</f>
        <v/>
      </c>
      <c r="E182" s="85" t="s">
        <v>53</v>
      </c>
      <c r="F182" s="86" t="str">
        <f ca="1">OFFSET(④結果出力!$D$14,MATCH(③各部被害関数計算結果!$C182,④結果出力!$C$14:$C$113,0)-1,18)</f>
        <v/>
      </c>
      <c r="G182" s="86" t="str">
        <f ca="1">OFFSET(④結果出力!$D$14,MATCH(③各部被害関数計算結果!$C182,④結果出力!$C$14:$C$113,0)-1,1)</f>
        <v/>
      </c>
      <c r="H182" s="92"/>
      <c r="I182" s="86" t="str">
        <f ca="1">OFFSET(④結果出力!$D$14,MATCH(③各部被害関数計算結果!$C182,④結果出力!$C$14:$C$113,0)-1,2)</f>
        <v/>
      </c>
      <c r="J182" s="92"/>
    </row>
    <row r="183" spans="1:10" x14ac:dyDescent="0.15">
      <c r="A183" s="58">
        <f>ROW()</f>
        <v>183</v>
      </c>
      <c r="B183" s="85" t="str">
        <f t="shared" ca="1" si="2"/>
        <v/>
      </c>
      <c r="C183" s="85" t="s">
        <v>281</v>
      </c>
      <c r="D183" s="85" t="str">
        <f ca="1">OFFSET(④結果出力!$D$14,MATCH(③各部被害関数計算結果!$C183,④結果出力!$C$14:$C$113,0)-1,0)</f>
        <v/>
      </c>
      <c r="E183" s="85" t="s">
        <v>30</v>
      </c>
      <c r="F183" s="86" t="str">
        <f ca="1">OFFSET(④結果出力!$D$14,MATCH(③各部被害関数計算結果!$C183,④結果出力!$C$14:$C$113,0)-1,3)</f>
        <v/>
      </c>
      <c r="G183" s="86" t="str">
        <f ca="1">OFFSET(④結果出力!$D$14,MATCH(③各部被害関数計算結果!$C183,④結果出力!$C$14:$C$113,0)-1,1)</f>
        <v/>
      </c>
      <c r="H183" s="92"/>
      <c r="I183" s="86" t="str">
        <f ca="1">OFFSET(④結果出力!$D$14,MATCH(③各部被害関数計算結果!$C183,④結果出力!$C$14:$C$113,0)-1,2)</f>
        <v/>
      </c>
      <c r="J183" s="92"/>
    </row>
    <row r="184" spans="1:10" x14ac:dyDescent="0.15">
      <c r="A184" s="58">
        <f>ROW()</f>
        <v>184</v>
      </c>
      <c r="B184" s="85" t="str">
        <f t="shared" ca="1" si="2"/>
        <v/>
      </c>
      <c r="C184" s="85" t="s">
        <v>281</v>
      </c>
      <c r="D184" s="85" t="str">
        <f ca="1">OFFSET(④結果出力!$D$14,MATCH(③各部被害関数計算結果!$C184,④結果出力!$C$14:$C$113,0)-1,0)</f>
        <v/>
      </c>
      <c r="E184" s="85" t="s">
        <v>33</v>
      </c>
      <c r="F184" s="86" t="str">
        <f ca="1">OFFSET(④結果出力!$D$14,MATCH(③各部被害関数計算結果!$C184,④結果出力!$C$14:$C$113,0)-1,8)</f>
        <v/>
      </c>
      <c r="G184" s="86" t="str">
        <f ca="1">OFFSET(④結果出力!$D$14,MATCH(③各部被害関数計算結果!$C184,④結果出力!$C$14:$C$113,0)-1,1)</f>
        <v/>
      </c>
      <c r="H184" s="92"/>
      <c r="I184" s="86" t="str">
        <f ca="1">OFFSET(④結果出力!$D$14,MATCH(③各部被害関数計算結果!$C184,④結果出力!$C$14:$C$113,0)-1,2)</f>
        <v/>
      </c>
      <c r="J184" s="92"/>
    </row>
    <row r="185" spans="1:10" x14ac:dyDescent="0.15">
      <c r="A185" s="58">
        <f>ROW()</f>
        <v>185</v>
      </c>
      <c r="B185" s="85" t="str">
        <f t="shared" ca="1" si="2"/>
        <v/>
      </c>
      <c r="C185" s="85" t="s">
        <v>281</v>
      </c>
      <c r="D185" s="85" t="str">
        <f ca="1">OFFSET(④結果出力!$D$14,MATCH(③各部被害関数計算結果!$C185,④結果出力!$C$14:$C$113,0)-1,0)</f>
        <v/>
      </c>
      <c r="E185" s="85" t="s">
        <v>118</v>
      </c>
      <c r="F185" s="86" t="str">
        <f ca="1">OFFSET(④結果出力!$D$14,MATCH(③各部被害関数計算結果!$C185,④結果出力!$C$14:$C$1133,0)-1,13)</f>
        <v/>
      </c>
      <c r="G185" s="86" t="str">
        <f ca="1">OFFSET(④結果出力!$D$14,MATCH(③各部被害関数計算結果!$C185,④結果出力!$C$14:$C$113,0)-1,1)</f>
        <v/>
      </c>
      <c r="H185" s="92"/>
      <c r="I185" s="86" t="str">
        <f ca="1">OFFSET(④結果出力!$D$14,MATCH(③各部被害関数計算結果!$C185,④結果出力!$C$14:$C$113,0)-1,2)</f>
        <v/>
      </c>
      <c r="J185" s="92"/>
    </row>
    <row r="186" spans="1:10" x14ac:dyDescent="0.15">
      <c r="A186" s="58">
        <f>ROW()</f>
        <v>186</v>
      </c>
      <c r="B186" s="85" t="str">
        <f t="shared" ca="1" si="2"/>
        <v/>
      </c>
      <c r="C186" s="85" t="s">
        <v>281</v>
      </c>
      <c r="D186" s="85" t="str">
        <f ca="1">OFFSET(④結果出力!$D$14,MATCH(③各部被害関数計算結果!$C186,④結果出力!$C$14:$C$113,0)-1,0)</f>
        <v/>
      </c>
      <c r="E186" s="85" t="s">
        <v>53</v>
      </c>
      <c r="F186" s="86" t="str">
        <f ca="1">OFFSET(④結果出力!$D$14,MATCH(③各部被害関数計算結果!$C186,④結果出力!$C$14:$C$113,0)-1,18)</f>
        <v/>
      </c>
      <c r="G186" s="86" t="str">
        <f ca="1">OFFSET(④結果出力!$D$14,MATCH(③各部被害関数計算結果!$C186,④結果出力!$C$14:$C$113,0)-1,1)</f>
        <v/>
      </c>
      <c r="H186" s="92"/>
      <c r="I186" s="86" t="str">
        <f ca="1">OFFSET(④結果出力!$D$14,MATCH(③各部被害関数計算結果!$C186,④結果出力!$C$14:$C$113,0)-1,2)</f>
        <v/>
      </c>
      <c r="J186" s="92"/>
    </row>
    <row r="187" spans="1:10" x14ac:dyDescent="0.15">
      <c r="A187" s="58">
        <f>ROW()</f>
        <v>187</v>
      </c>
      <c r="B187" s="85" t="str">
        <f t="shared" ca="1" si="2"/>
        <v/>
      </c>
      <c r="C187" s="85" t="s">
        <v>282</v>
      </c>
      <c r="D187" s="85" t="str">
        <f ca="1">OFFSET(④結果出力!$D$14,MATCH(③各部被害関数計算結果!$C187,④結果出力!$C$14:$C$113,0)-1,0)</f>
        <v/>
      </c>
      <c r="E187" s="85" t="s">
        <v>30</v>
      </c>
      <c r="F187" s="86" t="str">
        <f ca="1">OFFSET(④結果出力!$D$14,MATCH(③各部被害関数計算結果!$C187,④結果出力!$C$14:$C$113,0)-1,3)</f>
        <v/>
      </c>
      <c r="G187" s="86" t="str">
        <f ca="1">OFFSET(④結果出力!$D$14,MATCH(③各部被害関数計算結果!$C187,④結果出力!$C$14:$C$113,0)-1,1)</f>
        <v/>
      </c>
      <c r="H187" s="92"/>
      <c r="I187" s="86" t="str">
        <f ca="1">OFFSET(④結果出力!$D$14,MATCH(③各部被害関数計算結果!$C187,④結果出力!$C$14:$C$113,0)-1,2)</f>
        <v/>
      </c>
      <c r="J187" s="92"/>
    </row>
    <row r="188" spans="1:10" x14ac:dyDescent="0.15">
      <c r="A188" s="58">
        <f>ROW()</f>
        <v>188</v>
      </c>
      <c r="B188" s="85" t="str">
        <f t="shared" ca="1" si="2"/>
        <v/>
      </c>
      <c r="C188" s="85" t="s">
        <v>282</v>
      </c>
      <c r="D188" s="85" t="str">
        <f ca="1">OFFSET(④結果出力!$D$14,MATCH(③各部被害関数計算結果!$C188,④結果出力!$C$14:$C$113,0)-1,0)</f>
        <v/>
      </c>
      <c r="E188" s="85" t="s">
        <v>33</v>
      </c>
      <c r="F188" s="86" t="str">
        <f ca="1">OFFSET(④結果出力!$D$14,MATCH(③各部被害関数計算結果!$C188,④結果出力!$C$14:$C$113,0)-1,8)</f>
        <v/>
      </c>
      <c r="G188" s="86" t="str">
        <f ca="1">OFFSET(④結果出力!$D$14,MATCH(③各部被害関数計算結果!$C188,④結果出力!$C$14:$C$113,0)-1,1)</f>
        <v/>
      </c>
      <c r="H188" s="92"/>
      <c r="I188" s="86" t="str">
        <f ca="1">OFFSET(④結果出力!$D$14,MATCH(③各部被害関数計算結果!$C188,④結果出力!$C$14:$C$113,0)-1,2)</f>
        <v/>
      </c>
      <c r="J188" s="92"/>
    </row>
    <row r="189" spans="1:10" x14ac:dyDescent="0.15">
      <c r="A189" s="58">
        <f>ROW()</f>
        <v>189</v>
      </c>
      <c r="B189" s="85" t="str">
        <f t="shared" ca="1" si="2"/>
        <v/>
      </c>
      <c r="C189" s="85" t="s">
        <v>282</v>
      </c>
      <c r="D189" s="85" t="str">
        <f ca="1">OFFSET(④結果出力!$D$14,MATCH(③各部被害関数計算結果!$C189,④結果出力!$C$14:$C$113,0)-1,0)</f>
        <v/>
      </c>
      <c r="E189" s="85" t="s">
        <v>118</v>
      </c>
      <c r="F189" s="86" t="str">
        <f ca="1">OFFSET(④結果出力!$D$14,MATCH(③各部被害関数計算結果!$C189,④結果出力!$C$14:$C$1133,0)-1,13)</f>
        <v/>
      </c>
      <c r="G189" s="86" t="str">
        <f ca="1">OFFSET(④結果出力!$D$14,MATCH(③各部被害関数計算結果!$C189,④結果出力!$C$14:$C$113,0)-1,1)</f>
        <v/>
      </c>
      <c r="H189" s="92"/>
      <c r="I189" s="86" t="str">
        <f ca="1">OFFSET(④結果出力!$D$14,MATCH(③各部被害関数計算結果!$C189,④結果出力!$C$14:$C$113,0)-1,2)</f>
        <v/>
      </c>
      <c r="J189" s="92"/>
    </row>
    <row r="190" spans="1:10" x14ac:dyDescent="0.15">
      <c r="A190" s="58">
        <f>ROW()</f>
        <v>190</v>
      </c>
      <c r="B190" s="85" t="str">
        <f t="shared" ca="1" si="2"/>
        <v/>
      </c>
      <c r="C190" s="85" t="s">
        <v>282</v>
      </c>
      <c r="D190" s="85" t="str">
        <f ca="1">OFFSET(④結果出力!$D$14,MATCH(③各部被害関数計算結果!$C190,④結果出力!$C$14:$C$113,0)-1,0)</f>
        <v/>
      </c>
      <c r="E190" s="85" t="s">
        <v>53</v>
      </c>
      <c r="F190" s="86" t="str">
        <f ca="1">OFFSET(④結果出力!$D$14,MATCH(③各部被害関数計算結果!$C190,④結果出力!$C$14:$C$113,0)-1,18)</f>
        <v/>
      </c>
      <c r="G190" s="86" t="str">
        <f ca="1">OFFSET(④結果出力!$D$14,MATCH(③各部被害関数計算結果!$C190,④結果出力!$C$14:$C$113,0)-1,1)</f>
        <v/>
      </c>
      <c r="H190" s="92"/>
      <c r="I190" s="86" t="str">
        <f ca="1">OFFSET(④結果出力!$D$14,MATCH(③各部被害関数計算結果!$C190,④結果出力!$C$14:$C$113,0)-1,2)</f>
        <v/>
      </c>
      <c r="J190" s="92"/>
    </row>
    <row r="191" spans="1:10" x14ac:dyDescent="0.15">
      <c r="A191" s="58">
        <f>ROW()</f>
        <v>191</v>
      </c>
      <c r="B191" s="85" t="str">
        <f t="shared" ca="1" si="2"/>
        <v/>
      </c>
      <c r="C191" s="85" t="s">
        <v>283</v>
      </c>
      <c r="D191" s="85" t="str">
        <f ca="1">OFFSET(④結果出力!$D$14,MATCH(③各部被害関数計算結果!$C191,④結果出力!$C$14:$C$113,0)-1,0)</f>
        <v/>
      </c>
      <c r="E191" s="85" t="s">
        <v>30</v>
      </c>
      <c r="F191" s="86" t="str">
        <f ca="1">OFFSET(④結果出力!$D$14,MATCH(③各部被害関数計算結果!$C191,④結果出力!$C$14:$C$113,0)-1,3)</f>
        <v/>
      </c>
      <c r="G191" s="86" t="str">
        <f ca="1">OFFSET(④結果出力!$D$14,MATCH(③各部被害関数計算結果!$C191,④結果出力!$C$14:$C$113,0)-1,1)</f>
        <v/>
      </c>
      <c r="H191" s="92"/>
      <c r="I191" s="86" t="str">
        <f ca="1">OFFSET(④結果出力!$D$14,MATCH(③各部被害関数計算結果!$C191,④結果出力!$C$14:$C$113,0)-1,2)</f>
        <v/>
      </c>
      <c r="J191" s="92"/>
    </row>
    <row r="192" spans="1:10" x14ac:dyDescent="0.15">
      <c r="A192" s="58">
        <f>ROW()</f>
        <v>192</v>
      </c>
      <c r="B192" s="85" t="str">
        <f t="shared" ca="1" si="2"/>
        <v/>
      </c>
      <c r="C192" s="85" t="s">
        <v>283</v>
      </c>
      <c r="D192" s="85" t="str">
        <f ca="1">OFFSET(④結果出力!$D$14,MATCH(③各部被害関数計算結果!$C192,④結果出力!$C$14:$C$113,0)-1,0)</f>
        <v/>
      </c>
      <c r="E192" s="85" t="s">
        <v>33</v>
      </c>
      <c r="F192" s="86" t="str">
        <f ca="1">OFFSET(④結果出力!$D$14,MATCH(③各部被害関数計算結果!$C192,④結果出力!$C$14:$C$113,0)-1,8)</f>
        <v/>
      </c>
      <c r="G192" s="86" t="str">
        <f ca="1">OFFSET(④結果出力!$D$14,MATCH(③各部被害関数計算結果!$C192,④結果出力!$C$14:$C$113,0)-1,1)</f>
        <v/>
      </c>
      <c r="H192" s="92"/>
      <c r="I192" s="86" t="str">
        <f ca="1">OFFSET(④結果出力!$D$14,MATCH(③各部被害関数計算結果!$C192,④結果出力!$C$14:$C$113,0)-1,2)</f>
        <v/>
      </c>
      <c r="J192" s="92"/>
    </row>
    <row r="193" spans="1:10" x14ac:dyDescent="0.15">
      <c r="A193" s="58">
        <f>ROW()</f>
        <v>193</v>
      </c>
      <c r="B193" s="85" t="str">
        <f t="shared" ca="1" si="2"/>
        <v/>
      </c>
      <c r="C193" s="85" t="s">
        <v>283</v>
      </c>
      <c r="D193" s="85" t="str">
        <f ca="1">OFFSET(④結果出力!$D$14,MATCH(③各部被害関数計算結果!$C193,④結果出力!$C$14:$C$113,0)-1,0)</f>
        <v/>
      </c>
      <c r="E193" s="85" t="s">
        <v>118</v>
      </c>
      <c r="F193" s="86" t="str">
        <f ca="1">OFFSET(④結果出力!$D$14,MATCH(③各部被害関数計算結果!$C193,④結果出力!$C$14:$C$1133,0)-1,13)</f>
        <v/>
      </c>
      <c r="G193" s="86" t="str">
        <f ca="1">OFFSET(④結果出力!$D$14,MATCH(③各部被害関数計算結果!$C193,④結果出力!$C$14:$C$113,0)-1,1)</f>
        <v/>
      </c>
      <c r="H193" s="92"/>
      <c r="I193" s="86" t="str">
        <f ca="1">OFFSET(④結果出力!$D$14,MATCH(③各部被害関数計算結果!$C193,④結果出力!$C$14:$C$113,0)-1,2)</f>
        <v/>
      </c>
      <c r="J193" s="92"/>
    </row>
    <row r="194" spans="1:10" x14ac:dyDescent="0.15">
      <c r="A194" s="58">
        <f>ROW()</f>
        <v>194</v>
      </c>
      <c r="B194" s="85" t="str">
        <f t="shared" ca="1" si="2"/>
        <v/>
      </c>
      <c r="C194" s="85" t="s">
        <v>283</v>
      </c>
      <c r="D194" s="85" t="str">
        <f ca="1">OFFSET(④結果出力!$D$14,MATCH(③各部被害関数計算結果!$C194,④結果出力!$C$14:$C$113,0)-1,0)</f>
        <v/>
      </c>
      <c r="E194" s="85" t="s">
        <v>53</v>
      </c>
      <c r="F194" s="86" t="str">
        <f ca="1">OFFSET(④結果出力!$D$14,MATCH(③各部被害関数計算結果!$C194,④結果出力!$C$14:$C$113,0)-1,18)</f>
        <v/>
      </c>
      <c r="G194" s="86" t="str">
        <f ca="1">OFFSET(④結果出力!$D$14,MATCH(③各部被害関数計算結果!$C194,④結果出力!$C$14:$C$113,0)-1,1)</f>
        <v/>
      </c>
      <c r="H194" s="92"/>
      <c r="I194" s="86" t="str">
        <f ca="1">OFFSET(④結果出力!$D$14,MATCH(③各部被害関数計算結果!$C194,④結果出力!$C$14:$C$113,0)-1,2)</f>
        <v/>
      </c>
      <c r="J194" s="92"/>
    </row>
    <row r="195" spans="1:10" x14ac:dyDescent="0.15">
      <c r="A195" s="58">
        <f>ROW()</f>
        <v>195</v>
      </c>
      <c r="B195" s="85" t="str">
        <f t="shared" ref="B195:B258" ca="1" si="3">IF(D195&lt;&gt;"","●","")</f>
        <v/>
      </c>
      <c r="C195" s="85" t="s">
        <v>284</v>
      </c>
      <c r="D195" s="85" t="str">
        <f ca="1">OFFSET(④結果出力!$D$14,MATCH(③各部被害関数計算結果!$C195,④結果出力!$C$14:$C$113,0)-1,0)</f>
        <v/>
      </c>
      <c r="E195" s="85" t="s">
        <v>30</v>
      </c>
      <c r="F195" s="86" t="str">
        <f ca="1">OFFSET(④結果出力!$D$14,MATCH(③各部被害関数計算結果!$C195,④結果出力!$C$14:$C$113,0)-1,3)</f>
        <v/>
      </c>
      <c r="G195" s="86" t="str">
        <f ca="1">OFFSET(④結果出力!$D$14,MATCH(③各部被害関数計算結果!$C195,④結果出力!$C$14:$C$113,0)-1,1)</f>
        <v/>
      </c>
      <c r="H195" s="92"/>
      <c r="I195" s="86" t="str">
        <f ca="1">OFFSET(④結果出力!$D$14,MATCH(③各部被害関数計算結果!$C195,④結果出力!$C$14:$C$113,0)-1,2)</f>
        <v/>
      </c>
      <c r="J195" s="92"/>
    </row>
    <row r="196" spans="1:10" x14ac:dyDescent="0.15">
      <c r="A196" s="58">
        <f>ROW()</f>
        <v>196</v>
      </c>
      <c r="B196" s="85" t="str">
        <f t="shared" ca="1" si="3"/>
        <v/>
      </c>
      <c r="C196" s="85" t="s">
        <v>284</v>
      </c>
      <c r="D196" s="85" t="str">
        <f ca="1">OFFSET(④結果出力!$D$14,MATCH(③各部被害関数計算結果!$C196,④結果出力!$C$14:$C$113,0)-1,0)</f>
        <v/>
      </c>
      <c r="E196" s="85" t="s">
        <v>33</v>
      </c>
      <c r="F196" s="86" t="str">
        <f ca="1">OFFSET(④結果出力!$D$14,MATCH(③各部被害関数計算結果!$C196,④結果出力!$C$14:$C$113,0)-1,8)</f>
        <v/>
      </c>
      <c r="G196" s="86" t="str">
        <f ca="1">OFFSET(④結果出力!$D$14,MATCH(③各部被害関数計算結果!$C196,④結果出力!$C$14:$C$113,0)-1,1)</f>
        <v/>
      </c>
      <c r="H196" s="92"/>
      <c r="I196" s="86" t="str">
        <f ca="1">OFFSET(④結果出力!$D$14,MATCH(③各部被害関数計算結果!$C196,④結果出力!$C$14:$C$113,0)-1,2)</f>
        <v/>
      </c>
      <c r="J196" s="92"/>
    </row>
    <row r="197" spans="1:10" x14ac:dyDescent="0.15">
      <c r="A197" s="58">
        <f>ROW()</f>
        <v>197</v>
      </c>
      <c r="B197" s="85" t="str">
        <f t="shared" ca="1" si="3"/>
        <v/>
      </c>
      <c r="C197" s="85" t="s">
        <v>284</v>
      </c>
      <c r="D197" s="85" t="str">
        <f ca="1">OFFSET(④結果出力!$D$14,MATCH(③各部被害関数計算結果!$C197,④結果出力!$C$14:$C$113,0)-1,0)</f>
        <v/>
      </c>
      <c r="E197" s="85" t="s">
        <v>118</v>
      </c>
      <c r="F197" s="86" t="str">
        <f ca="1">OFFSET(④結果出力!$D$14,MATCH(③各部被害関数計算結果!$C197,④結果出力!$C$14:$C$1133,0)-1,13)</f>
        <v/>
      </c>
      <c r="G197" s="86" t="str">
        <f ca="1">OFFSET(④結果出力!$D$14,MATCH(③各部被害関数計算結果!$C197,④結果出力!$C$14:$C$113,0)-1,1)</f>
        <v/>
      </c>
      <c r="H197" s="92"/>
      <c r="I197" s="86" t="str">
        <f ca="1">OFFSET(④結果出力!$D$14,MATCH(③各部被害関数計算結果!$C197,④結果出力!$C$14:$C$113,0)-1,2)</f>
        <v/>
      </c>
      <c r="J197" s="92"/>
    </row>
    <row r="198" spans="1:10" x14ac:dyDescent="0.15">
      <c r="A198" s="58">
        <f>ROW()</f>
        <v>198</v>
      </c>
      <c r="B198" s="85" t="str">
        <f t="shared" ca="1" si="3"/>
        <v/>
      </c>
      <c r="C198" s="85" t="s">
        <v>284</v>
      </c>
      <c r="D198" s="85" t="str">
        <f ca="1">OFFSET(④結果出力!$D$14,MATCH(③各部被害関数計算結果!$C198,④結果出力!$C$14:$C$113,0)-1,0)</f>
        <v/>
      </c>
      <c r="E198" s="85" t="s">
        <v>53</v>
      </c>
      <c r="F198" s="86" t="str">
        <f ca="1">OFFSET(④結果出力!$D$14,MATCH(③各部被害関数計算結果!$C198,④結果出力!$C$14:$C$113,0)-1,18)</f>
        <v/>
      </c>
      <c r="G198" s="86" t="str">
        <f ca="1">OFFSET(④結果出力!$D$14,MATCH(③各部被害関数計算結果!$C198,④結果出力!$C$14:$C$113,0)-1,1)</f>
        <v/>
      </c>
      <c r="H198" s="92"/>
      <c r="I198" s="86" t="str">
        <f ca="1">OFFSET(④結果出力!$D$14,MATCH(③各部被害関数計算結果!$C198,④結果出力!$C$14:$C$113,0)-1,2)</f>
        <v/>
      </c>
      <c r="J198" s="92"/>
    </row>
    <row r="199" spans="1:10" x14ac:dyDescent="0.15">
      <c r="A199" s="58">
        <f>ROW()</f>
        <v>199</v>
      </c>
      <c r="B199" s="85" t="str">
        <f t="shared" ca="1" si="3"/>
        <v/>
      </c>
      <c r="C199" s="85" t="s">
        <v>285</v>
      </c>
      <c r="D199" s="85" t="str">
        <f ca="1">OFFSET(④結果出力!$D$14,MATCH(③各部被害関数計算結果!$C199,④結果出力!$C$14:$C$113,0)-1,0)</f>
        <v/>
      </c>
      <c r="E199" s="85" t="s">
        <v>30</v>
      </c>
      <c r="F199" s="86" t="str">
        <f ca="1">OFFSET(④結果出力!$D$14,MATCH(③各部被害関数計算結果!$C199,④結果出力!$C$14:$C$113,0)-1,3)</f>
        <v/>
      </c>
      <c r="G199" s="86" t="str">
        <f ca="1">OFFSET(④結果出力!$D$14,MATCH(③各部被害関数計算結果!$C199,④結果出力!$C$14:$C$113,0)-1,1)</f>
        <v/>
      </c>
      <c r="H199" s="92"/>
      <c r="I199" s="86" t="str">
        <f ca="1">OFFSET(④結果出力!$D$14,MATCH(③各部被害関数計算結果!$C199,④結果出力!$C$14:$C$113,0)-1,2)</f>
        <v/>
      </c>
      <c r="J199" s="92"/>
    </row>
    <row r="200" spans="1:10" x14ac:dyDescent="0.15">
      <c r="A200" s="58">
        <f>ROW()</f>
        <v>200</v>
      </c>
      <c r="B200" s="85" t="str">
        <f t="shared" ca="1" si="3"/>
        <v/>
      </c>
      <c r="C200" s="85" t="s">
        <v>285</v>
      </c>
      <c r="D200" s="85" t="str">
        <f ca="1">OFFSET(④結果出力!$D$14,MATCH(③各部被害関数計算結果!$C200,④結果出力!$C$14:$C$113,0)-1,0)</f>
        <v/>
      </c>
      <c r="E200" s="85" t="s">
        <v>33</v>
      </c>
      <c r="F200" s="86" t="str">
        <f ca="1">OFFSET(④結果出力!$D$14,MATCH(③各部被害関数計算結果!$C200,④結果出力!$C$14:$C$113,0)-1,8)</f>
        <v/>
      </c>
      <c r="G200" s="86" t="str">
        <f ca="1">OFFSET(④結果出力!$D$14,MATCH(③各部被害関数計算結果!$C200,④結果出力!$C$14:$C$113,0)-1,1)</f>
        <v/>
      </c>
      <c r="H200" s="92"/>
      <c r="I200" s="86" t="str">
        <f ca="1">OFFSET(④結果出力!$D$14,MATCH(③各部被害関数計算結果!$C200,④結果出力!$C$14:$C$113,0)-1,2)</f>
        <v/>
      </c>
      <c r="J200" s="92"/>
    </row>
    <row r="201" spans="1:10" x14ac:dyDescent="0.15">
      <c r="A201" s="58">
        <f>ROW()</f>
        <v>201</v>
      </c>
      <c r="B201" s="85" t="str">
        <f t="shared" ca="1" si="3"/>
        <v/>
      </c>
      <c r="C201" s="85" t="s">
        <v>285</v>
      </c>
      <c r="D201" s="85" t="str">
        <f ca="1">OFFSET(④結果出力!$D$14,MATCH(③各部被害関数計算結果!$C201,④結果出力!$C$14:$C$113,0)-1,0)</f>
        <v/>
      </c>
      <c r="E201" s="85" t="s">
        <v>118</v>
      </c>
      <c r="F201" s="86" t="str">
        <f ca="1">OFFSET(④結果出力!$D$14,MATCH(③各部被害関数計算結果!$C201,④結果出力!$C$14:$C$1133,0)-1,13)</f>
        <v/>
      </c>
      <c r="G201" s="86" t="str">
        <f ca="1">OFFSET(④結果出力!$D$14,MATCH(③各部被害関数計算結果!$C201,④結果出力!$C$14:$C$113,0)-1,1)</f>
        <v/>
      </c>
      <c r="H201" s="92"/>
      <c r="I201" s="86" t="str">
        <f ca="1">OFFSET(④結果出力!$D$14,MATCH(③各部被害関数計算結果!$C201,④結果出力!$C$14:$C$113,0)-1,2)</f>
        <v/>
      </c>
      <c r="J201" s="92"/>
    </row>
    <row r="202" spans="1:10" x14ac:dyDescent="0.15">
      <c r="A202" s="58">
        <f>ROW()</f>
        <v>202</v>
      </c>
      <c r="B202" s="85" t="str">
        <f t="shared" ca="1" si="3"/>
        <v/>
      </c>
      <c r="C202" s="85" t="s">
        <v>285</v>
      </c>
      <c r="D202" s="85" t="str">
        <f ca="1">OFFSET(④結果出力!$D$14,MATCH(③各部被害関数計算結果!$C202,④結果出力!$C$14:$C$113,0)-1,0)</f>
        <v/>
      </c>
      <c r="E202" s="85" t="s">
        <v>53</v>
      </c>
      <c r="F202" s="86" t="str">
        <f ca="1">OFFSET(④結果出力!$D$14,MATCH(③各部被害関数計算結果!$C202,④結果出力!$C$14:$C$113,0)-1,18)</f>
        <v/>
      </c>
      <c r="G202" s="86" t="str">
        <f ca="1">OFFSET(④結果出力!$D$14,MATCH(③各部被害関数計算結果!$C202,④結果出力!$C$14:$C$113,0)-1,1)</f>
        <v/>
      </c>
      <c r="H202" s="92"/>
      <c r="I202" s="86" t="str">
        <f ca="1">OFFSET(④結果出力!$D$14,MATCH(③各部被害関数計算結果!$C202,④結果出力!$C$14:$C$113,0)-1,2)</f>
        <v/>
      </c>
      <c r="J202" s="92"/>
    </row>
    <row r="203" spans="1:10" x14ac:dyDescent="0.15">
      <c r="A203" s="58">
        <f>ROW()</f>
        <v>203</v>
      </c>
      <c r="B203" s="85" t="str">
        <f t="shared" ca="1" si="3"/>
        <v/>
      </c>
      <c r="C203" s="85" t="s">
        <v>286</v>
      </c>
      <c r="D203" s="85" t="str">
        <f ca="1">OFFSET(④結果出力!$D$14,MATCH(③各部被害関数計算結果!$C203,④結果出力!$C$14:$C$113,0)-1,0)</f>
        <v/>
      </c>
      <c r="E203" s="85" t="s">
        <v>30</v>
      </c>
      <c r="F203" s="86" t="str">
        <f ca="1">OFFSET(④結果出力!$D$14,MATCH(③各部被害関数計算結果!$C203,④結果出力!$C$14:$C$113,0)-1,3)</f>
        <v/>
      </c>
      <c r="G203" s="86" t="str">
        <f ca="1">OFFSET(④結果出力!$D$14,MATCH(③各部被害関数計算結果!$C203,④結果出力!$C$14:$C$113,0)-1,1)</f>
        <v/>
      </c>
      <c r="H203" s="92"/>
      <c r="I203" s="86" t="str">
        <f ca="1">OFFSET(④結果出力!$D$14,MATCH(③各部被害関数計算結果!$C203,④結果出力!$C$14:$C$113,0)-1,2)</f>
        <v/>
      </c>
      <c r="J203" s="92"/>
    </row>
    <row r="204" spans="1:10" x14ac:dyDescent="0.15">
      <c r="A204" s="58">
        <f>ROW()</f>
        <v>204</v>
      </c>
      <c r="B204" s="85" t="str">
        <f t="shared" ca="1" si="3"/>
        <v/>
      </c>
      <c r="C204" s="85" t="s">
        <v>286</v>
      </c>
      <c r="D204" s="85" t="str">
        <f ca="1">OFFSET(④結果出力!$D$14,MATCH(③各部被害関数計算結果!$C204,④結果出力!$C$14:$C$113,0)-1,0)</f>
        <v/>
      </c>
      <c r="E204" s="85" t="s">
        <v>33</v>
      </c>
      <c r="F204" s="86" t="str">
        <f ca="1">OFFSET(④結果出力!$D$14,MATCH(③各部被害関数計算結果!$C204,④結果出力!$C$14:$C$113,0)-1,8)</f>
        <v/>
      </c>
      <c r="G204" s="86" t="str">
        <f ca="1">OFFSET(④結果出力!$D$14,MATCH(③各部被害関数計算結果!$C204,④結果出力!$C$14:$C$113,0)-1,1)</f>
        <v/>
      </c>
      <c r="H204" s="92"/>
      <c r="I204" s="86" t="str">
        <f ca="1">OFFSET(④結果出力!$D$14,MATCH(③各部被害関数計算結果!$C204,④結果出力!$C$14:$C$113,0)-1,2)</f>
        <v/>
      </c>
      <c r="J204" s="92"/>
    </row>
    <row r="205" spans="1:10" x14ac:dyDescent="0.15">
      <c r="A205" s="58">
        <f>ROW()</f>
        <v>205</v>
      </c>
      <c r="B205" s="85" t="str">
        <f t="shared" ca="1" si="3"/>
        <v/>
      </c>
      <c r="C205" s="85" t="s">
        <v>286</v>
      </c>
      <c r="D205" s="85" t="str">
        <f ca="1">OFFSET(④結果出力!$D$14,MATCH(③各部被害関数計算結果!$C205,④結果出力!$C$14:$C$113,0)-1,0)</f>
        <v/>
      </c>
      <c r="E205" s="85" t="s">
        <v>118</v>
      </c>
      <c r="F205" s="86" t="str">
        <f ca="1">OFFSET(④結果出力!$D$14,MATCH(③各部被害関数計算結果!$C205,④結果出力!$C$14:$C$1133,0)-1,13)</f>
        <v/>
      </c>
      <c r="G205" s="86" t="str">
        <f ca="1">OFFSET(④結果出力!$D$14,MATCH(③各部被害関数計算結果!$C205,④結果出力!$C$14:$C$113,0)-1,1)</f>
        <v/>
      </c>
      <c r="H205" s="92"/>
      <c r="I205" s="86" t="str">
        <f ca="1">OFFSET(④結果出力!$D$14,MATCH(③各部被害関数計算結果!$C205,④結果出力!$C$14:$C$113,0)-1,2)</f>
        <v/>
      </c>
      <c r="J205" s="92"/>
    </row>
    <row r="206" spans="1:10" x14ac:dyDescent="0.15">
      <c r="A206" s="58">
        <f>ROW()</f>
        <v>206</v>
      </c>
      <c r="B206" s="85" t="str">
        <f t="shared" ca="1" si="3"/>
        <v/>
      </c>
      <c r="C206" s="85" t="s">
        <v>286</v>
      </c>
      <c r="D206" s="85" t="str">
        <f ca="1">OFFSET(④結果出力!$D$14,MATCH(③各部被害関数計算結果!$C206,④結果出力!$C$14:$C$113,0)-1,0)</f>
        <v/>
      </c>
      <c r="E206" s="85" t="s">
        <v>53</v>
      </c>
      <c r="F206" s="86" t="str">
        <f ca="1">OFFSET(④結果出力!$D$14,MATCH(③各部被害関数計算結果!$C206,④結果出力!$C$14:$C$113,0)-1,18)</f>
        <v/>
      </c>
      <c r="G206" s="86" t="str">
        <f ca="1">OFFSET(④結果出力!$D$14,MATCH(③各部被害関数計算結果!$C206,④結果出力!$C$14:$C$113,0)-1,1)</f>
        <v/>
      </c>
      <c r="H206" s="92"/>
      <c r="I206" s="86" t="str">
        <f ca="1">OFFSET(④結果出力!$D$14,MATCH(③各部被害関数計算結果!$C206,④結果出力!$C$14:$C$113,0)-1,2)</f>
        <v/>
      </c>
      <c r="J206" s="92"/>
    </row>
    <row r="207" spans="1:10" x14ac:dyDescent="0.15">
      <c r="A207" s="58">
        <f>ROW()</f>
        <v>207</v>
      </c>
      <c r="B207" s="85" t="str">
        <f t="shared" ca="1" si="3"/>
        <v/>
      </c>
      <c r="C207" s="85" t="s">
        <v>287</v>
      </c>
      <c r="D207" s="85" t="str">
        <f ca="1">OFFSET(④結果出力!$D$14,MATCH(③各部被害関数計算結果!$C207,④結果出力!$C$14:$C$113,0)-1,0)</f>
        <v/>
      </c>
      <c r="E207" s="85" t="s">
        <v>30</v>
      </c>
      <c r="F207" s="86" t="str">
        <f ca="1">OFFSET(④結果出力!$D$14,MATCH(③各部被害関数計算結果!$C207,④結果出力!$C$14:$C$113,0)-1,3)</f>
        <v/>
      </c>
      <c r="G207" s="86" t="str">
        <f ca="1">OFFSET(④結果出力!$D$14,MATCH(③各部被害関数計算結果!$C207,④結果出力!$C$14:$C$113,0)-1,1)</f>
        <v/>
      </c>
      <c r="H207" s="92"/>
      <c r="I207" s="86" t="str">
        <f ca="1">OFFSET(④結果出力!$D$14,MATCH(③各部被害関数計算結果!$C207,④結果出力!$C$14:$C$113,0)-1,2)</f>
        <v/>
      </c>
      <c r="J207" s="92"/>
    </row>
    <row r="208" spans="1:10" x14ac:dyDescent="0.15">
      <c r="A208" s="58">
        <f>ROW()</f>
        <v>208</v>
      </c>
      <c r="B208" s="85" t="str">
        <f t="shared" ca="1" si="3"/>
        <v/>
      </c>
      <c r="C208" s="85" t="s">
        <v>287</v>
      </c>
      <c r="D208" s="85" t="str">
        <f ca="1">OFFSET(④結果出力!$D$14,MATCH(③各部被害関数計算結果!$C208,④結果出力!$C$14:$C$113,0)-1,0)</f>
        <v/>
      </c>
      <c r="E208" s="85" t="s">
        <v>33</v>
      </c>
      <c r="F208" s="86" t="str">
        <f ca="1">OFFSET(④結果出力!$D$14,MATCH(③各部被害関数計算結果!$C208,④結果出力!$C$14:$C$113,0)-1,8)</f>
        <v/>
      </c>
      <c r="G208" s="86" t="str">
        <f ca="1">OFFSET(④結果出力!$D$14,MATCH(③各部被害関数計算結果!$C208,④結果出力!$C$14:$C$113,0)-1,1)</f>
        <v/>
      </c>
      <c r="H208" s="92"/>
      <c r="I208" s="86" t="str">
        <f ca="1">OFFSET(④結果出力!$D$14,MATCH(③各部被害関数計算結果!$C208,④結果出力!$C$14:$C$113,0)-1,2)</f>
        <v/>
      </c>
      <c r="J208" s="92"/>
    </row>
    <row r="209" spans="1:10" x14ac:dyDescent="0.15">
      <c r="A209" s="58">
        <f>ROW()</f>
        <v>209</v>
      </c>
      <c r="B209" s="85" t="str">
        <f t="shared" ca="1" si="3"/>
        <v/>
      </c>
      <c r="C209" s="85" t="s">
        <v>287</v>
      </c>
      <c r="D209" s="85" t="str">
        <f ca="1">OFFSET(④結果出力!$D$14,MATCH(③各部被害関数計算結果!$C209,④結果出力!$C$14:$C$113,0)-1,0)</f>
        <v/>
      </c>
      <c r="E209" s="85" t="s">
        <v>118</v>
      </c>
      <c r="F209" s="86" t="str">
        <f ca="1">OFFSET(④結果出力!$D$14,MATCH(③各部被害関数計算結果!$C209,④結果出力!$C$14:$C$1133,0)-1,13)</f>
        <v/>
      </c>
      <c r="G209" s="86" t="str">
        <f ca="1">OFFSET(④結果出力!$D$14,MATCH(③各部被害関数計算結果!$C209,④結果出力!$C$14:$C$113,0)-1,1)</f>
        <v/>
      </c>
      <c r="H209" s="92"/>
      <c r="I209" s="86" t="str">
        <f ca="1">OFFSET(④結果出力!$D$14,MATCH(③各部被害関数計算結果!$C209,④結果出力!$C$14:$C$113,0)-1,2)</f>
        <v/>
      </c>
      <c r="J209" s="92"/>
    </row>
    <row r="210" spans="1:10" x14ac:dyDescent="0.15">
      <c r="A210" s="58">
        <f>ROW()</f>
        <v>210</v>
      </c>
      <c r="B210" s="85" t="str">
        <f t="shared" ca="1" si="3"/>
        <v/>
      </c>
      <c r="C210" s="85" t="s">
        <v>287</v>
      </c>
      <c r="D210" s="85" t="str">
        <f ca="1">OFFSET(④結果出力!$D$14,MATCH(③各部被害関数計算結果!$C210,④結果出力!$C$14:$C$113,0)-1,0)</f>
        <v/>
      </c>
      <c r="E210" s="85" t="s">
        <v>53</v>
      </c>
      <c r="F210" s="86" t="str">
        <f ca="1">OFFSET(④結果出力!$D$14,MATCH(③各部被害関数計算結果!$C210,④結果出力!$C$14:$C$113,0)-1,18)</f>
        <v/>
      </c>
      <c r="G210" s="86" t="str">
        <f ca="1">OFFSET(④結果出力!$D$14,MATCH(③各部被害関数計算結果!$C210,④結果出力!$C$14:$C$113,0)-1,1)</f>
        <v/>
      </c>
      <c r="H210" s="92"/>
      <c r="I210" s="86" t="str">
        <f ca="1">OFFSET(④結果出力!$D$14,MATCH(③各部被害関数計算結果!$C210,④結果出力!$C$14:$C$113,0)-1,2)</f>
        <v/>
      </c>
      <c r="J210" s="92"/>
    </row>
    <row r="211" spans="1:10" x14ac:dyDescent="0.15">
      <c r="A211" s="58">
        <f>ROW()</f>
        <v>211</v>
      </c>
      <c r="B211" s="85" t="str">
        <f t="shared" ca="1" si="3"/>
        <v/>
      </c>
      <c r="C211" s="85" t="s">
        <v>288</v>
      </c>
      <c r="D211" s="85" t="str">
        <f ca="1">OFFSET(④結果出力!$D$14,MATCH(③各部被害関数計算結果!$C211,④結果出力!$C$14:$C$113,0)-1,0)</f>
        <v/>
      </c>
      <c r="E211" s="85" t="s">
        <v>30</v>
      </c>
      <c r="F211" s="86" t="str">
        <f ca="1">OFFSET(④結果出力!$D$14,MATCH(③各部被害関数計算結果!$C211,④結果出力!$C$14:$C$113,0)-1,3)</f>
        <v/>
      </c>
      <c r="G211" s="86" t="str">
        <f ca="1">OFFSET(④結果出力!$D$14,MATCH(③各部被害関数計算結果!$C211,④結果出力!$C$14:$C$113,0)-1,1)</f>
        <v/>
      </c>
      <c r="H211" s="92"/>
      <c r="I211" s="86" t="str">
        <f ca="1">OFFSET(④結果出力!$D$14,MATCH(③各部被害関数計算結果!$C211,④結果出力!$C$14:$C$113,0)-1,2)</f>
        <v/>
      </c>
      <c r="J211" s="92"/>
    </row>
    <row r="212" spans="1:10" x14ac:dyDescent="0.15">
      <c r="A212" s="58">
        <f>ROW()</f>
        <v>212</v>
      </c>
      <c r="B212" s="85" t="str">
        <f t="shared" ca="1" si="3"/>
        <v/>
      </c>
      <c r="C212" s="85" t="s">
        <v>288</v>
      </c>
      <c r="D212" s="85" t="str">
        <f ca="1">OFFSET(④結果出力!$D$14,MATCH(③各部被害関数計算結果!$C212,④結果出力!$C$14:$C$113,0)-1,0)</f>
        <v/>
      </c>
      <c r="E212" s="85" t="s">
        <v>33</v>
      </c>
      <c r="F212" s="86" t="str">
        <f ca="1">OFFSET(④結果出力!$D$14,MATCH(③各部被害関数計算結果!$C212,④結果出力!$C$14:$C$113,0)-1,8)</f>
        <v/>
      </c>
      <c r="G212" s="86" t="str">
        <f ca="1">OFFSET(④結果出力!$D$14,MATCH(③各部被害関数計算結果!$C212,④結果出力!$C$14:$C$113,0)-1,1)</f>
        <v/>
      </c>
      <c r="H212" s="92"/>
      <c r="I212" s="86" t="str">
        <f ca="1">OFFSET(④結果出力!$D$14,MATCH(③各部被害関数計算結果!$C212,④結果出力!$C$14:$C$113,0)-1,2)</f>
        <v/>
      </c>
      <c r="J212" s="92"/>
    </row>
    <row r="213" spans="1:10" x14ac:dyDescent="0.15">
      <c r="A213" s="58">
        <f>ROW()</f>
        <v>213</v>
      </c>
      <c r="B213" s="85" t="str">
        <f t="shared" ca="1" si="3"/>
        <v/>
      </c>
      <c r="C213" s="85" t="s">
        <v>288</v>
      </c>
      <c r="D213" s="85" t="str">
        <f ca="1">OFFSET(④結果出力!$D$14,MATCH(③各部被害関数計算結果!$C213,④結果出力!$C$14:$C$113,0)-1,0)</f>
        <v/>
      </c>
      <c r="E213" s="85" t="s">
        <v>118</v>
      </c>
      <c r="F213" s="86" t="str">
        <f ca="1">OFFSET(④結果出力!$D$14,MATCH(③各部被害関数計算結果!$C213,④結果出力!$C$14:$C$1133,0)-1,13)</f>
        <v/>
      </c>
      <c r="G213" s="86" t="str">
        <f ca="1">OFFSET(④結果出力!$D$14,MATCH(③各部被害関数計算結果!$C213,④結果出力!$C$14:$C$113,0)-1,1)</f>
        <v/>
      </c>
      <c r="H213" s="92"/>
      <c r="I213" s="86" t="str">
        <f ca="1">OFFSET(④結果出力!$D$14,MATCH(③各部被害関数計算結果!$C213,④結果出力!$C$14:$C$113,0)-1,2)</f>
        <v/>
      </c>
      <c r="J213" s="92"/>
    </row>
    <row r="214" spans="1:10" x14ac:dyDescent="0.15">
      <c r="A214" s="58">
        <f>ROW()</f>
        <v>214</v>
      </c>
      <c r="B214" s="85" t="str">
        <f t="shared" ca="1" si="3"/>
        <v/>
      </c>
      <c r="C214" s="85" t="s">
        <v>288</v>
      </c>
      <c r="D214" s="85" t="str">
        <f ca="1">OFFSET(④結果出力!$D$14,MATCH(③各部被害関数計算結果!$C214,④結果出力!$C$14:$C$113,0)-1,0)</f>
        <v/>
      </c>
      <c r="E214" s="85" t="s">
        <v>53</v>
      </c>
      <c r="F214" s="86" t="str">
        <f ca="1">OFFSET(④結果出力!$D$14,MATCH(③各部被害関数計算結果!$C214,④結果出力!$C$14:$C$113,0)-1,18)</f>
        <v/>
      </c>
      <c r="G214" s="86" t="str">
        <f ca="1">OFFSET(④結果出力!$D$14,MATCH(③各部被害関数計算結果!$C214,④結果出力!$C$14:$C$113,0)-1,1)</f>
        <v/>
      </c>
      <c r="H214" s="92"/>
      <c r="I214" s="86" t="str">
        <f ca="1">OFFSET(④結果出力!$D$14,MATCH(③各部被害関数計算結果!$C214,④結果出力!$C$14:$C$113,0)-1,2)</f>
        <v/>
      </c>
      <c r="J214" s="92"/>
    </row>
    <row r="215" spans="1:10" x14ac:dyDescent="0.15">
      <c r="A215" s="58">
        <f>ROW()</f>
        <v>215</v>
      </c>
      <c r="B215" s="85" t="str">
        <f t="shared" ca="1" si="3"/>
        <v/>
      </c>
      <c r="C215" s="85" t="s">
        <v>289</v>
      </c>
      <c r="D215" s="85" t="str">
        <f ca="1">OFFSET(④結果出力!$D$14,MATCH(③各部被害関数計算結果!$C215,④結果出力!$C$14:$C$113,0)-1,0)</f>
        <v/>
      </c>
      <c r="E215" s="85" t="s">
        <v>30</v>
      </c>
      <c r="F215" s="86" t="str">
        <f ca="1">OFFSET(④結果出力!$D$14,MATCH(③各部被害関数計算結果!$C215,④結果出力!$C$14:$C$113,0)-1,3)</f>
        <v/>
      </c>
      <c r="G215" s="86" t="str">
        <f ca="1">OFFSET(④結果出力!$D$14,MATCH(③各部被害関数計算結果!$C215,④結果出力!$C$14:$C$113,0)-1,1)</f>
        <v/>
      </c>
      <c r="H215" s="92"/>
      <c r="I215" s="86" t="str">
        <f ca="1">OFFSET(④結果出力!$D$14,MATCH(③各部被害関数計算結果!$C215,④結果出力!$C$14:$C$113,0)-1,2)</f>
        <v/>
      </c>
      <c r="J215" s="92"/>
    </row>
    <row r="216" spans="1:10" x14ac:dyDescent="0.15">
      <c r="A216" s="58">
        <f>ROW()</f>
        <v>216</v>
      </c>
      <c r="B216" s="85" t="str">
        <f t="shared" ca="1" si="3"/>
        <v/>
      </c>
      <c r="C216" s="85" t="s">
        <v>289</v>
      </c>
      <c r="D216" s="85" t="str">
        <f ca="1">OFFSET(④結果出力!$D$14,MATCH(③各部被害関数計算結果!$C216,④結果出力!$C$14:$C$113,0)-1,0)</f>
        <v/>
      </c>
      <c r="E216" s="85" t="s">
        <v>33</v>
      </c>
      <c r="F216" s="86" t="str">
        <f ca="1">OFFSET(④結果出力!$D$14,MATCH(③各部被害関数計算結果!$C216,④結果出力!$C$14:$C$113,0)-1,8)</f>
        <v/>
      </c>
      <c r="G216" s="86" t="str">
        <f ca="1">OFFSET(④結果出力!$D$14,MATCH(③各部被害関数計算結果!$C216,④結果出力!$C$14:$C$113,0)-1,1)</f>
        <v/>
      </c>
      <c r="H216" s="92"/>
      <c r="I216" s="86" t="str">
        <f ca="1">OFFSET(④結果出力!$D$14,MATCH(③各部被害関数計算結果!$C216,④結果出力!$C$14:$C$113,0)-1,2)</f>
        <v/>
      </c>
      <c r="J216" s="92"/>
    </row>
    <row r="217" spans="1:10" x14ac:dyDescent="0.15">
      <c r="A217" s="58">
        <f>ROW()</f>
        <v>217</v>
      </c>
      <c r="B217" s="85" t="str">
        <f t="shared" ca="1" si="3"/>
        <v/>
      </c>
      <c r="C217" s="85" t="s">
        <v>289</v>
      </c>
      <c r="D217" s="85" t="str">
        <f ca="1">OFFSET(④結果出力!$D$14,MATCH(③各部被害関数計算結果!$C217,④結果出力!$C$14:$C$113,0)-1,0)</f>
        <v/>
      </c>
      <c r="E217" s="85" t="s">
        <v>118</v>
      </c>
      <c r="F217" s="86" t="str">
        <f ca="1">OFFSET(④結果出力!$D$14,MATCH(③各部被害関数計算結果!$C217,④結果出力!$C$14:$C$1133,0)-1,13)</f>
        <v/>
      </c>
      <c r="G217" s="86" t="str">
        <f ca="1">OFFSET(④結果出力!$D$14,MATCH(③各部被害関数計算結果!$C217,④結果出力!$C$14:$C$113,0)-1,1)</f>
        <v/>
      </c>
      <c r="H217" s="92"/>
      <c r="I217" s="86" t="str">
        <f ca="1">OFFSET(④結果出力!$D$14,MATCH(③各部被害関数計算結果!$C217,④結果出力!$C$14:$C$113,0)-1,2)</f>
        <v/>
      </c>
      <c r="J217" s="92"/>
    </row>
    <row r="218" spans="1:10" x14ac:dyDescent="0.15">
      <c r="A218" s="58">
        <f>ROW()</f>
        <v>218</v>
      </c>
      <c r="B218" s="85" t="str">
        <f t="shared" ca="1" si="3"/>
        <v/>
      </c>
      <c r="C218" s="85" t="s">
        <v>289</v>
      </c>
      <c r="D218" s="85" t="str">
        <f ca="1">OFFSET(④結果出力!$D$14,MATCH(③各部被害関数計算結果!$C218,④結果出力!$C$14:$C$113,0)-1,0)</f>
        <v/>
      </c>
      <c r="E218" s="85" t="s">
        <v>53</v>
      </c>
      <c r="F218" s="86" t="str">
        <f ca="1">OFFSET(④結果出力!$D$14,MATCH(③各部被害関数計算結果!$C218,④結果出力!$C$14:$C$113,0)-1,18)</f>
        <v/>
      </c>
      <c r="G218" s="86" t="str">
        <f ca="1">OFFSET(④結果出力!$D$14,MATCH(③各部被害関数計算結果!$C218,④結果出力!$C$14:$C$113,0)-1,1)</f>
        <v/>
      </c>
      <c r="H218" s="92"/>
      <c r="I218" s="86" t="str">
        <f ca="1">OFFSET(④結果出力!$D$14,MATCH(③各部被害関数計算結果!$C218,④結果出力!$C$14:$C$113,0)-1,2)</f>
        <v/>
      </c>
      <c r="J218" s="92"/>
    </row>
    <row r="219" spans="1:10" x14ac:dyDescent="0.15">
      <c r="A219" s="58">
        <f>ROW()</f>
        <v>219</v>
      </c>
      <c r="B219" s="85" t="str">
        <f t="shared" ca="1" si="3"/>
        <v/>
      </c>
      <c r="C219" s="85" t="s">
        <v>290</v>
      </c>
      <c r="D219" s="85" t="str">
        <f ca="1">OFFSET(④結果出力!$D$14,MATCH(③各部被害関数計算結果!$C219,④結果出力!$C$14:$C$113,0)-1,0)</f>
        <v/>
      </c>
      <c r="E219" s="85" t="s">
        <v>30</v>
      </c>
      <c r="F219" s="86" t="str">
        <f ca="1">OFFSET(④結果出力!$D$14,MATCH(③各部被害関数計算結果!$C219,④結果出力!$C$14:$C$113,0)-1,3)</f>
        <v/>
      </c>
      <c r="G219" s="86" t="str">
        <f ca="1">OFFSET(④結果出力!$D$14,MATCH(③各部被害関数計算結果!$C219,④結果出力!$C$14:$C$113,0)-1,1)</f>
        <v/>
      </c>
      <c r="H219" s="92"/>
      <c r="I219" s="86" t="str">
        <f ca="1">OFFSET(④結果出力!$D$14,MATCH(③各部被害関数計算結果!$C219,④結果出力!$C$14:$C$113,0)-1,2)</f>
        <v/>
      </c>
      <c r="J219" s="92"/>
    </row>
    <row r="220" spans="1:10" x14ac:dyDescent="0.15">
      <c r="A220" s="58">
        <f>ROW()</f>
        <v>220</v>
      </c>
      <c r="B220" s="85" t="str">
        <f t="shared" ca="1" si="3"/>
        <v/>
      </c>
      <c r="C220" s="85" t="s">
        <v>290</v>
      </c>
      <c r="D220" s="85" t="str">
        <f ca="1">OFFSET(④結果出力!$D$14,MATCH(③各部被害関数計算結果!$C220,④結果出力!$C$14:$C$113,0)-1,0)</f>
        <v/>
      </c>
      <c r="E220" s="85" t="s">
        <v>33</v>
      </c>
      <c r="F220" s="86" t="str">
        <f ca="1">OFFSET(④結果出力!$D$14,MATCH(③各部被害関数計算結果!$C220,④結果出力!$C$14:$C$113,0)-1,8)</f>
        <v/>
      </c>
      <c r="G220" s="86" t="str">
        <f ca="1">OFFSET(④結果出力!$D$14,MATCH(③各部被害関数計算結果!$C220,④結果出力!$C$14:$C$113,0)-1,1)</f>
        <v/>
      </c>
      <c r="H220" s="92"/>
      <c r="I220" s="86" t="str">
        <f ca="1">OFFSET(④結果出力!$D$14,MATCH(③各部被害関数計算結果!$C220,④結果出力!$C$14:$C$113,0)-1,2)</f>
        <v/>
      </c>
      <c r="J220" s="92"/>
    </row>
    <row r="221" spans="1:10" x14ac:dyDescent="0.15">
      <c r="A221" s="58">
        <f>ROW()</f>
        <v>221</v>
      </c>
      <c r="B221" s="85" t="str">
        <f t="shared" ca="1" si="3"/>
        <v/>
      </c>
      <c r="C221" s="85" t="s">
        <v>290</v>
      </c>
      <c r="D221" s="85" t="str">
        <f ca="1">OFFSET(④結果出力!$D$14,MATCH(③各部被害関数計算結果!$C221,④結果出力!$C$14:$C$113,0)-1,0)</f>
        <v/>
      </c>
      <c r="E221" s="85" t="s">
        <v>118</v>
      </c>
      <c r="F221" s="86" t="str">
        <f ca="1">OFFSET(④結果出力!$D$14,MATCH(③各部被害関数計算結果!$C221,④結果出力!$C$14:$C$1133,0)-1,13)</f>
        <v/>
      </c>
      <c r="G221" s="86" t="str">
        <f ca="1">OFFSET(④結果出力!$D$14,MATCH(③各部被害関数計算結果!$C221,④結果出力!$C$14:$C$113,0)-1,1)</f>
        <v/>
      </c>
      <c r="H221" s="92"/>
      <c r="I221" s="86" t="str">
        <f ca="1">OFFSET(④結果出力!$D$14,MATCH(③各部被害関数計算結果!$C221,④結果出力!$C$14:$C$113,0)-1,2)</f>
        <v/>
      </c>
      <c r="J221" s="92"/>
    </row>
    <row r="222" spans="1:10" x14ac:dyDescent="0.15">
      <c r="A222" s="58">
        <f>ROW()</f>
        <v>222</v>
      </c>
      <c r="B222" s="85" t="str">
        <f t="shared" ca="1" si="3"/>
        <v/>
      </c>
      <c r="C222" s="85" t="s">
        <v>290</v>
      </c>
      <c r="D222" s="85" t="str">
        <f ca="1">OFFSET(④結果出力!$D$14,MATCH(③各部被害関数計算結果!$C222,④結果出力!$C$14:$C$113,0)-1,0)</f>
        <v/>
      </c>
      <c r="E222" s="85" t="s">
        <v>53</v>
      </c>
      <c r="F222" s="86" t="str">
        <f ca="1">OFFSET(④結果出力!$D$14,MATCH(③各部被害関数計算結果!$C222,④結果出力!$C$14:$C$113,0)-1,18)</f>
        <v/>
      </c>
      <c r="G222" s="86" t="str">
        <f ca="1">OFFSET(④結果出力!$D$14,MATCH(③各部被害関数計算結果!$C222,④結果出力!$C$14:$C$113,0)-1,1)</f>
        <v/>
      </c>
      <c r="H222" s="92"/>
      <c r="I222" s="86" t="str">
        <f ca="1">OFFSET(④結果出力!$D$14,MATCH(③各部被害関数計算結果!$C222,④結果出力!$C$14:$C$113,0)-1,2)</f>
        <v/>
      </c>
      <c r="J222" s="92"/>
    </row>
    <row r="223" spans="1:10" x14ac:dyDescent="0.15">
      <c r="A223" s="58">
        <f>ROW()</f>
        <v>223</v>
      </c>
      <c r="B223" s="85" t="str">
        <f t="shared" ca="1" si="3"/>
        <v/>
      </c>
      <c r="C223" s="85" t="s">
        <v>291</v>
      </c>
      <c r="D223" s="85" t="str">
        <f ca="1">OFFSET(④結果出力!$D$14,MATCH(③各部被害関数計算結果!$C223,④結果出力!$C$14:$C$113,0)-1,0)</f>
        <v/>
      </c>
      <c r="E223" s="85" t="s">
        <v>30</v>
      </c>
      <c r="F223" s="86" t="str">
        <f ca="1">OFFSET(④結果出力!$D$14,MATCH(③各部被害関数計算結果!$C223,④結果出力!$C$14:$C$113,0)-1,3)</f>
        <v/>
      </c>
      <c r="G223" s="86" t="str">
        <f ca="1">OFFSET(④結果出力!$D$14,MATCH(③各部被害関数計算結果!$C223,④結果出力!$C$14:$C$113,0)-1,1)</f>
        <v/>
      </c>
      <c r="H223" s="92"/>
      <c r="I223" s="86" t="str">
        <f ca="1">OFFSET(④結果出力!$D$14,MATCH(③各部被害関数計算結果!$C223,④結果出力!$C$14:$C$113,0)-1,2)</f>
        <v/>
      </c>
      <c r="J223" s="92"/>
    </row>
    <row r="224" spans="1:10" x14ac:dyDescent="0.15">
      <c r="A224" s="58">
        <f>ROW()</f>
        <v>224</v>
      </c>
      <c r="B224" s="85" t="str">
        <f t="shared" ca="1" si="3"/>
        <v/>
      </c>
      <c r="C224" s="85" t="s">
        <v>291</v>
      </c>
      <c r="D224" s="85" t="str">
        <f ca="1">OFFSET(④結果出力!$D$14,MATCH(③各部被害関数計算結果!$C224,④結果出力!$C$14:$C$113,0)-1,0)</f>
        <v/>
      </c>
      <c r="E224" s="85" t="s">
        <v>33</v>
      </c>
      <c r="F224" s="86" t="str">
        <f ca="1">OFFSET(④結果出力!$D$14,MATCH(③各部被害関数計算結果!$C224,④結果出力!$C$14:$C$113,0)-1,8)</f>
        <v/>
      </c>
      <c r="G224" s="86" t="str">
        <f ca="1">OFFSET(④結果出力!$D$14,MATCH(③各部被害関数計算結果!$C224,④結果出力!$C$14:$C$113,0)-1,1)</f>
        <v/>
      </c>
      <c r="H224" s="92"/>
      <c r="I224" s="86" t="str">
        <f ca="1">OFFSET(④結果出力!$D$14,MATCH(③各部被害関数計算結果!$C224,④結果出力!$C$14:$C$113,0)-1,2)</f>
        <v/>
      </c>
      <c r="J224" s="92"/>
    </row>
    <row r="225" spans="1:10" x14ac:dyDescent="0.15">
      <c r="A225" s="58">
        <f>ROW()</f>
        <v>225</v>
      </c>
      <c r="B225" s="85" t="str">
        <f t="shared" ca="1" si="3"/>
        <v/>
      </c>
      <c r="C225" s="85" t="s">
        <v>291</v>
      </c>
      <c r="D225" s="85" t="str">
        <f ca="1">OFFSET(④結果出力!$D$14,MATCH(③各部被害関数計算結果!$C225,④結果出力!$C$14:$C$113,0)-1,0)</f>
        <v/>
      </c>
      <c r="E225" s="85" t="s">
        <v>118</v>
      </c>
      <c r="F225" s="86" t="str">
        <f ca="1">OFFSET(④結果出力!$D$14,MATCH(③各部被害関数計算結果!$C225,④結果出力!$C$14:$C$1133,0)-1,13)</f>
        <v/>
      </c>
      <c r="G225" s="86" t="str">
        <f ca="1">OFFSET(④結果出力!$D$14,MATCH(③各部被害関数計算結果!$C225,④結果出力!$C$14:$C$113,0)-1,1)</f>
        <v/>
      </c>
      <c r="H225" s="92"/>
      <c r="I225" s="86" t="str">
        <f ca="1">OFFSET(④結果出力!$D$14,MATCH(③各部被害関数計算結果!$C225,④結果出力!$C$14:$C$113,0)-1,2)</f>
        <v/>
      </c>
      <c r="J225" s="92"/>
    </row>
    <row r="226" spans="1:10" x14ac:dyDescent="0.15">
      <c r="A226" s="58">
        <f>ROW()</f>
        <v>226</v>
      </c>
      <c r="B226" s="85" t="str">
        <f t="shared" ca="1" si="3"/>
        <v/>
      </c>
      <c r="C226" s="85" t="s">
        <v>291</v>
      </c>
      <c r="D226" s="85" t="str">
        <f ca="1">OFFSET(④結果出力!$D$14,MATCH(③各部被害関数計算結果!$C226,④結果出力!$C$14:$C$113,0)-1,0)</f>
        <v/>
      </c>
      <c r="E226" s="85" t="s">
        <v>53</v>
      </c>
      <c r="F226" s="86" t="str">
        <f ca="1">OFFSET(④結果出力!$D$14,MATCH(③各部被害関数計算結果!$C226,④結果出力!$C$14:$C$113,0)-1,18)</f>
        <v/>
      </c>
      <c r="G226" s="86" t="str">
        <f ca="1">OFFSET(④結果出力!$D$14,MATCH(③各部被害関数計算結果!$C226,④結果出力!$C$14:$C$113,0)-1,1)</f>
        <v/>
      </c>
      <c r="H226" s="92"/>
      <c r="I226" s="86" t="str">
        <f ca="1">OFFSET(④結果出力!$D$14,MATCH(③各部被害関数計算結果!$C226,④結果出力!$C$14:$C$113,0)-1,2)</f>
        <v/>
      </c>
      <c r="J226" s="92"/>
    </row>
    <row r="227" spans="1:10" x14ac:dyDescent="0.15">
      <c r="A227" s="58">
        <f>ROW()</f>
        <v>227</v>
      </c>
      <c r="B227" s="85" t="str">
        <f t="shared" ca="1" si="3"/>
        <v/>
      </c>
      <c r="C227" s="85" t="s">
        <v>292</v>
      </c>
      <c r="D227" s="85" t="str">
        <f ca="1">OFFSET(④結果出力!$D$14,MATCH(③各部被害関数計算結果!$C227,④結果出力!$C$14:$C$113,0)-1,0)</f>
        <v/>
      </c>
      <c r="E227" s="85" t="s">
        <v>30</v>
      </c>
      <c r="F227" s="86" t="str">
        <f ca="1">OFFSET(④結果出力!$D$14,MATCH(③各部被害関数計算結果!$C227,④結果出力!$C$14:$C$113,0)-1,3)</f>
        <v/>
      </c>
      <c r="G227" s="86" t="str">
        <f ca="1">OFFSET(④結果出力!$D$14,MATCH(③各部被害関数計算結果!$C227,④結果出力!$C$14:$C$113,0)-1,1)</f>
        <v/>
      </c>
      <c r="H227" s="92"/>
      <c r="I227" s="86" t="str">
        <f ca="1">OFFSET(④結果出力!$D$14,MATCH(③各部被害関数計算結果!$C227,④結果出力!$C$14:$C$113,0)-1,2)</f>
        <v/>
      </c>
      <c r="J227" s="92"/>
    </row>
    <row r="228" spans="1:10" x14ac:dyDescent="0.15">
      <c r="A228" s="58">
        <f>ROW()</f>
        <v>228</v>
      </c>
      <c r="B228" s="85" t="str">
        <f t="shared" ca="1" si="3"/>
        <v/>
      </c>
      <c r="C228" s="85" t="s">
        <v>292</v>
      </c>
      <c r="D228" s="85" t="str">
        <f ca="1">OFFSET(④結果出力!$D$14,MATCH(③各部被害関数計算結果!$C228,④結果出力!$C$14:$C$113,0)-1,0)</f>
        <v/>
      </c>
      <c r="E228" s="85" t="s">
        <v>33</v>
      </c>
      <c r="F228" s="86" t="str">
        <f ca="1">OFFSET(④結果出力!$D$14,MATCH(③各部被害関数計算結果!$C228,④結果出力!$C$14:$C$113,0)-1,8)</f>
        <v/>
      </c>
      <c r="G228" s="86" t="str">
        <f ca="1">OFFSET(④結果出力!$D$14,MATCH(③各部被害関数計算結果!$C228,④結果出力!$C$14:$C$113,0)-1,1)</f>
        <v/>
      </c>
      <c r="H228" s="92"/>
      <c r="I228" s="86" t="str">
        <f ca="1">OFFSET(④結果出力!$D$14,MATCH(③各部被害関数計算結果!$C228,④結果出力!$C$14:$C$113,0)-1,2)</f>
        <v/>
      </c>
      <c r="J228" s="92"/>
    </row>
    <row r="229" spans="1:10" x14ac:dyDescent="0.15">
      <c r="A229" s="58">
        <f>ROW()</f>
        <v>229</v>
      </c>
      <c r="B229" s="85" t="str">
        <f t="shared" ca="1" si="3"/>
        <v/>
      </c>
      <c r="C229" s="85" t="s">
        <v>292</v>
      </c>
      <c r="D229" s="85" t="str">
        <f ca="1">OFFSET(④結果出力!$D$14,MATCH(③各部被害関数計算結果!$C229,④結果出力!$C$14:$C$113,0)-1,0)</f>
        <v/>
      </c>
      <c r="E229" s="85" t="s">
        <v>118</v>
      </c>
      <c r="F229" s="86" t="str">
        <f ca="1">OFFSET(④結果出力!$D$14,MATCH(③各部被害関数計算結果!$C229,④結果出力!$C$14:$C$1133,0)-1,13)</f>
        <v/>
      </c>
      <c r="G229" s="86" t="str">
        <f ca="1">OFFSET(④結果出力!$D$14,MATCH(③各部被害関数計算結果!$C229,④結果出力!$C$14:$C$113,0)-1,1)</f>
        <v/>
      </c>
      <c r="H229" s="92"/>
      <c r="I229" s="86" t="str">
        <f ca="1">OFFSET(④結果出力!$D$14,MATCH(③各部被害関数計算結果!$C229,④結果出力!$C$14:$C$113,0)-1,2)</f>
        <v/>
      </c>
      <c r="J229" s="92"/>
    </row>
    <row r="230" spans="1:10" x14ac:dyDescent="0.15">
      <c r="A230" s="58">
        <f>ROW()</f>
        <v>230</v>
      </c>
      <c r="B230" s="85" t="str">
        <f t="shared" ca="1" si="3"/>
        <v/>
      </c>
      <c r="C230" s="85" t="s">
        <v>292</v>
      </c>
      <c r="D230" s="85" t="str">
        <f ca="1">OFFSET(④結果出力!$D$14,MATCH(③各部被害関数計算結果!$C230,④結果出力!$C$14:$C$113,0)-1,0)</f>
        <v/>
      </c>
      <c r="E230" s="85" t="s">
        <v>53</v>
      </c>
      <c r="F230" s="86" t="str">
        <f ca="1">OFFSET(④結果出力!$D$14,MATCH(③各部被害関数計算結果!$C230,④結果出力!$C$14:$C$113,0)-1,18)</f>
        <v/>
      </c>
      <c r="G230" s="86" t="str">
        <f ca="1">OFFSET(④結果出力!$D$14,MATCH(③各部被害関数計算結果!$C230,④結果出力!$C$14:$C$113,0)-1,1)</f>
        <v/>
      </c>
      <c r="H230" s="92"/>
      <c r="I230" s="86" t="str">
        <f ca="1">OFFSET(④結果出力!$D$14,MATCH(③各部被害関数計算結果!$C230,④結果出力!$C$14:$C$113,0)-1,2)</f>
        <v/>
      </c>
      <c r="J230" s="92"/>
    </row>
    <row r="231" spans="1:10" x14ac:dyDescent="0.15">
      <c r="A231" s="58">
        <f>ROW()</f>
        <v>231</v>
      </c>
      <c r="B231" s="85" t="str">
        <f t="shared" ca="1" si="3"/>
        <v/>
      </c>
      <c r="C231" s="85" t="s">
        <v>293</v>
      </c>
      <c r="D231" s="85" t="str">
        <f ca="1">OFFSET(④結果出力!$D$14,MATCH(③各部被害関数計算結果!$C231,④結果出力!$C$14:$C$113,0)-1,0)</f>
        <v/>
      </c>
      <c r="E231" s="85" t="s">
        <v>30</v>
      </c>
      <c r="F231" s="86" t="str">
        <f ca="1">OFFSET(④結果出力!$D$14,MATCH(③各部被害関数計算結果!$C231,④結果出力!$C$14:$C$113,0)-1,3)</f>
        <v/>
      </c>
      <c r="G231" s="86" t="str">
        <f ca="1">OFFSET(④結果出力!$D$14,MATCH(③各部被害関数計算結果!$C231,④結果出力!$C$14:$C$113,0)-1,1)</f>
        <v/>
      </c>
      <c r="H231" s="92"/>
      <c r="I231" s="86" t="str">
        <f ca="1">OFFSET(④結果出力!$D$14,MATCH(③各部被害関数計算結果!$C231,④結果出力!$C$14:$C$113,0)-1,2)</f>
        <v/>
      </c>
      <c r="J231" s="92"/>
    </row>
    <row r="232" spans="1:10" x14ac:dyDescent="0.15">
      <c r="A232" s="58">
        <f>ROW()</f>
        <v>232</v>
      </c>
      <c r="B232" s="85" t="str">
        <f t="shared" ca="1" si="3"/>
        <v/>
      </c>
      <c r="C232" s="85" t="s">
        <v>293</v>
      </c>
      <c r="D232" s="85" t="str">
        <f ca="1">OFFSET(④結果出力!$D$14,MATCH(③各部被害関数計算結果!$C232,④結果出力!$C$14:$C$113,0)-1,0)</f>
        <v/>
      </c>
      <c r="E232" s="85" t="s">
        <v>33</v>
      </c>
      <c r="F232" s="86" t="str">
        <f ca="1">OFFSET(④結果出力!$D$14,MATCH(③各部被害関数計算結果!$C232,④結果出力!$C$14:$C$113,0)-1,8)</f>
        <v/>
      </c>
      <c r="G232" s="86" t="str">
        <f ca="1">OFFSET(④結果出力!$D$14,MATCH(③各部被害関数計算結果!$C232,④結果出力!$C$14:$C$113,0)-1,1)</f>
        <v/>
      </c>
      <c r="H232" s="92"/>
      <c r="I232" s="86" t="str">
        <f ca="1">OFFSET(④結果出力!$D$14,MATCH(③各部被害関数計算結果!$C232,④結果出力!$C$14:$C$113,0)-1,2)</f>
        <v/>
      </c>
      <c r="J232" s="92"/>
    </row>
    <row r="233" spans="1:10" x14ac:dyDescent="0.15">
      <c r="A233" s="58">
        <f>ROW()</f>
        <v>233</v>
      </c>
      <c r="B233" s="85" t="str">
        <f t="shared" ca="1" si="3"/>
        <v/>
      </c>
      <c r="C233" s="85" t="s">
        <v>293</v>
      </c>
      <c r="D233" s="85" t="str">
        <f ca="1">OFFSET(④結果出力!$D$14,MATCH(③各部被害関数計算結果!$C233,④結果出力!$C$14:$C$113,0)-1,0)</f>
        <v/>
      </c>
      <c r="E233" s="85" t="s">
        <v>118</v>
      </c>
      <c r="F233" s="86" t="str">
        <f ca="1">OFFSET(④結果出力!$D$14,MATCH(③各部被害関数計算結果!$C233,④結果出力!$C$14:$C$1133,0)-1,13)</f>
        <v/>
      </c>
      <c r="G233" s="86" t="str">
        <f ca="1">OFFSET(④結果出力!$D$14,MATCH(③各部被害関数計算結果!$C233,④結果出力!$C$14:$C$113,0)-1,1)</f>
        <v/>
      </c>
      <c r="H233" s="92"/>
      <c r="I233" s="86" t="str">
        <f ca="1">OFFSET(④結果出力!$D$14,MATCH(③各部被害関数計算結果!$C233,④結果出力!$C$14:$C$113,0)-1,2)</f>
        <v/>
      </c>
      <c r="J233" s="92"/>
    </row>
    <row r="234" spans="1:10" x14ac:dyDescent="0.15">
      <c r="A234" s="58">
        <f>ROW()</f>
        <v>234</v>
      </c>
      <c r="B234" s="85" t="str">
        <f t="shared" ca="1" si="3"/>
        <v/>
      </c>
      <c r="C234" s="85" t="s">
        <v>293</v>
      </c>
      <c r="D234" s="85" t="str">
        <f ca="1">OFFSET(④結果出力!$D$14,MATCH(③各部被害関数計算結果!$C234,④結果出力!$C$14:$C$113,0)-1,0)</f>
        <v/>
      </c>
      <c r="E234" s="85" t="s">
        <v>53</v>
      </c>
      <c r="F234" s="86" t="str">
        <f ca="1">OFFSET(④結果出力!$D$14,MATCH(③各部被害関数計算結果!$C234,④結果出力!$C$14:$C$113,0)-1,18)</f>
        <v/>
      </c>
      <c r="G234" s="86" t="str">
        <f ca="1">OFFSET(④結果出力!$D$14,MATCH(③各部被害関数計算結果!$C234,④結果出力!$C$14:$C$113,0)-1,1)</f>
        <v/>
      </c>
      <c r="H234" s="92"/>
      <c r="I234" s="86" t="str">
        <f ca="1">OFFSET(④結果出力!$D$14,MATCH(③各部被害関数計算結果!$C234,④結果出力!$C$14:$C$113,0)-1,2)</f>
        <v/>
      </c>
      <c r="J234" s="92"/>
    </row>
    <row r="235" spans="1:10" x14ac:dyDescent="0.15">
      <c r="A235" s="58">
        <f>ROW()</f>
        <v>235</v>
      </c>
      <c r="B235" s="85" t="str">
        <f t="shared" ca="1" si="3"/>
        <v/>
      </c>
      <c r="C235" s="85" t="s">
        <v>294</v>
      </c>
      <c r="D235" s="85" t="str">
        <f ca="1">OFFSET(④結果出力!$D$14,MATCH(③各部被害関数計算結果!$C235,④結果出力!$C$14:$C$113,0)-1,0)</f>
        <v/>
      </c>
      <c r="E235" s="85" t="s">
        <v>30</v>
      </c>
      <c r="F235" s="86" t="str">
        <f ca="1">OFFSET(④結果出力!$D$14,MATCH(③各部被害関数計算結果!$C235,④結果出力!$C$14:$C$113,0)-1,3)</f>
        <v/>
      </c>
      <c r="G235" s="86" t="str">
        <f ca="1">OFFSET(④結果出力!$D$14,MATCH(③各部被害関数計算結果!$C235,④結果出力!$C$14:$C$113,0)-1,1)</f>
        <v/>
      </c>
      <c r="H235" s="92"/>
      <c r="I235" s="86" t="str">
        <f ca="1">OFFSET(④結果出力!$D$14,MATCH(③各部被害関数計算結果!$C235,④結果出力!$C$14:$C$113,0)-1,2)</f>
        <v/>
      </c>
      <c r="J235" s="92"/>
    </row>
    <row r="236" spans="1:10" x14ac:dyDescent="0.15">
      <c r="A236" s="58">
        <f>ROW()</f>
        <v>236</v>
      </c>
      <c r="B236" s="85" t="str">
        <f t="shared" ca="1" si="3"/>
        <v/>
      </c>
      <c r="C236" s="85" t="s">
        <v>294</v>
      </c>
      <c r="D236" s="85" t="str">
        <f ca="1">OFFSET(④結果出力!$D$14,MATCH(③各部被害関数計算結果!$C236,④結果出力!$C$14:$C$113,0)-1,0)</f>
        <v/>
      </c>
      <c r="E236" s="85" t="s">
        <v>33</v>
      </c>
      <c r="F236" s="86" t="str">
        <f ca="1">OFFSET(④結果出力!$D$14,MATCH(③各部被害関数計算結果!$C236,④結果出力!$C$14:$C$113,0)-1,8)</f>
        <v/>
      </c>
      <c r="G236" s="86" t="str">
        <f ca="1">OFFSET(④結果出力!$D$14,MATCH(③各部被害関数計算結果!$C236,④結果出力!$C$14:$C$113,0)-1,1)</f>
        <v/>
      </c>
      <c r="H236" s="92"/>
      <c r="I236" s="86" t="str">
        <f ca="1">OFFSET(④結果出力!$D$14,MATCH(③各部被害関数計算結果!$C236,④結果出力!$C$14:$C$113,0)-1,2)</f>
        <v/>
      </c>
      <c r="J236" s="92"/>
    </row>
    <row r="237" spans="1:10" x14ac:dyDescent="0.15">
      <c r="A237" s="58">
        <f>ROW()</f>
        <v>237</v>
      </c>
      <c r="B237" s="85" t="str">
        <f t="shared" ca="1" si="3"/>
        <v/>
      </c>
      <c r="C237" s="85" t="s">
        <v>294</v>
      </c>
      <c r="D237" s="85" t="str">
        <f ca="1">OFFSET(④結果出力!$D$14,MATCH(③各部被害関数計算結果!$C237,④結果出力!$C$14:$C$113,0)-1,0)</f>
        <v/>
      </c>
      <c r="E237" s="85" t="s">
        <v>118</v>
      </c>
      <c r="F237" s="86" t="str">
        <f ca="1">OFFSET(④結果出力!$D$14,MATCH(③各部被害関数計算結果!$C237,④結果出力!$C$14:$C$1133,0)-1,13)</f>
        <v/>
      </c>
      <c r="G237" s="86" t="str">
        <f ca="1">OFFSET(④結果出力!$D$14,MATCH(③各部被害関数計算結果!$C237,④結果出力!$C$14:$C$113,0)-1,1)</f>
        <v/>
      </c>
      <c r="H237" s="92"/>
      <c r="I237" s="86" t="str">
        <f ca="1">OFFSET(④結果出力!$D$14,MATCH(③各部被害関数計算結果!$C237,④結果出力!$C$14:$C$113,0)-1,2)</f>
        <v/>
      </c>
      <c r="J237" s="92"/>
    </row>
    <row r="238" spans="1:10" x14ac:dyDescent="0.15">
      <c r="A238" s="58">
        <f>ROW()</f>
        <v>238</v>
      </c>
      <c r="B238" s="85" t="str">
        <f t="shared" ca="1" si="3"/>
        <v/>
      </c>
      <c r="C238" s="85" t="s">
        <v>294</v>
      </c>
      <c r="D238" s="85" t="str">
        <f ca="1">OFFSET(④結果出力!$D$14,MATCH(③各部被害関数計算結果!$C238,④結果出力!$C$14:$C$113,0)-1,0)</f>
        <v/>
      </c>
      <c r="E238" s="85" t="s">
        <v>53</v>
      </c>
      <c r="F238" s="86" t="str">
        <f ca="1">OFFSET(④結果出力!$D$14,MATCH(③各部被害関数計算結果!$C238,④結果出力!$C$14:$C$113,0)-1,18)</f>
        <v/>
      </c>
      <c r="G238" s="86" t="str">
        <f ca="1">OFFSET(④結果出力!$D$14,MATCH(③各部被害関数計算結果!$C238,④結果出力!$C$14:$C$113,0)-1,1)</f>
        <v/>
      </c>
      <c r="H238" s="92"/>
      <c r="I238" s="86" t="str">
        <f ca="1">OFFSET(④結果出力!$D$14,MATCH(③各部被害関数計算結果!$C238,④結果出力!$C$14:$C$113,0)-1,2)</f>
        <v/>
      </c>
      <c r="J238" s="92"/>
    </row>
    <row r="239" spans="1:10" x14ac:dyDescent="0.15">
      <c r="A239" s="58">
        <f>ROW()</f>
        <v>239</v>
      </c>
      <c r="B239" s="85" t="str">
        <f t="shared" ca="1" si="3"/>
        <v/>
      </c>
      <c r="C239" s="85" t="s">
        <v>295</v>
      </c>
      <c r="D239" s="85" t="str">
        <f ca="1">OFFSET(④結果出力!$D$14,MATCH(③各部被害関数計算結果!$C239,④結果出力!$C$14:$C$113,0)-1,0)</f>
        <v/>
      </c>
      <c r="E239" s="85" t="s">
        <v>30</v>
      </c>
      <c r="F239" s="86" t="str">
        <f ca="1">OFFSET(④結果出力!$D$14,MATCH(③各部被害関数計算結果!$C239,④結果出力!$C$14:$C$113,0)-1,3)</f>
        <v/>
      </c>
      <c r="G239" s="86" t="str">
        <f ca="1">OFFSET(④結果出力!$D$14,MATCH(③各部被害関数計算結果!$C239,④結果出力!$C$14:$C$113,0)-1,1)</f>
        <v/>
      </c>
      <c r="H239" s="92"/>
      <c r="I239" s="86" t="str">
        <f ca="1">OFFSET(④結果出力!$D$14,MATCH(③各部被害関数計算結果!$C239,④結果出力!$C$14:$C$113,0)-1,2)</f>
        <v/>
      </c>
      <c r="J239" s="92"/>
    </row>
    <row r="240" spans="1:10" x14ac:dyDescent="0.15">
      <c r="A240" s="58">
        <f>ROW()</f>
        <v>240</v>
      </c>
      <c r="B240" s="85" t="str">
        <f t="shared" ca="1" si="3"/>
        <v/>
      </c>
      <c r="C240" s="85" t="s">
        <v>295</v>
      </c>
      <c r="D240" s="85" t="str">
        <f ca="1">OFFSET(④結果出力!$D$14,MATCH(③各部被害関数計算結果!$C240,④結果出力!$C$14:$C$113,0)-1,0)</f>
        <v/>
      </c>
      <c r="E240" s="85" t="s">
        <v>33</v>
      </c>
      <c r="F240" s="86" t="str">
        <f ca="1">OFFSET(④結果出力!$D$14,MATCH(③各部被害関数計算結果!$C240,④結果出力!$C$14:$C$113,0)-1,8)</f>
        <v/>
      </c>
      <c r="G240" s="86" t="str">
        <f ca="1">OFFSET(④結果出力!$D$14,MATCH(③各部被害関数計算結果!$C240,④結果出力!$C$14:$C$113,0)-1,1)</f>
        <v/>
      </c>
      <c r="H240" s="92"/>
      <c r="I240" s="86" t="str">
        <f ca="1">OFFSET(④結果出力!$D$14,MATCH(③各部被害関数計算結果!$C240,④結果出力!$C$14:$C$113,0)-1,2)</f>
        <v/>
      </c>
      <c r="J240" s="92"/>
    </row>
    <row r="241" spans="1:10" x14ac:dyDescent="0.15">
      <c r="A241" s="58">
        <f>ROW()</f>
        <v>241</v>
      </c>
      <c r="B241" s="85" t="str">
        <f t="shared" ca="1" si="3"/>
        <v/>
      </c>
      <c r="C241" s="85" t="s">
        <v>295</v>
      </c>
      <c r="D241" s="85" t="str">
        <f ca="1">OFFSET(④結果出力!$D$14,MATCH(③各部被害関数計算結果!$C241,④結果出力!$C$14:$C$113,0)-1,0)</f>
        <v/>
      </c>
      <c r="E241" s="85" t="s">
        <v>118</v>
      </c>
      <c r="F241" s="86" t="str">
        <f ca="1">OFFSET(④結果出力!$D$14,MATCH(③各部被害関数計算結果!$C241,④結果出力!$C$14:$C$1133,0)-1,13)</f>
        <v/>
      </c>
      <c r="G241" s="86" t="str">
        <f ca="1">OFFSET(④結果出力!$D$14,MATCH(③各部被害関数計算結果!$C241,④結果出力!$C$14:$C$113,0)-1,1)</f>
        <v/>
      </c>
      <c r="H241" s="92"/>
      <c r="I241" s="86" t="str">
        <f ca="1">OFFSET(④結果出力!$D$14,MATCH(③各部被害関数計算結果!$C241,④結果出力!$C$14:$C$113,0)-1,2)</f>
        <v/>
      </c>
      <c r="J241" s="92"/>
    </row>
    <row r="242" spans="1:10" x14ac:dyDescent="0.15">
      <c r="A242" s="58">
        <f>ROW()</f>
        <v>242</v>
      </c>
      <c r="B242" s="85" t="str">
        <f t="shared" ca="1" si="3"/>
        <v/>
      </c>
      <c r="C242" s="85" t="s">
        <v>295</v>
      </c>
      <c r="D242" s="85" t="str">
        <f ca="1">OFFSET(④結果出力!$D$14,MATCH(③各部被害関数計算結果!$C242,④結果出力!$C$14:$C$113,0)-1,0)</f>
        <v/>
      </c>
      <c r="E242" s="85" t="s">
        <v>53</v>
      </c>
      <c r="F242" s="86" t="str">
        <f ca="1">OFFSET(④結果出力!$D$14,MATCH(③各部被害関数計算結果!$C242,④結果出力!$C$14:$C$113,0)-1,18)</f>
        <v/>
      </c>
      <c r="G242" s="86" t="str">
        <f ca="1">OFFSET(④結果出力!$D$14,MATCH(③各部被害関数計算結果!$C242,④結果出力!$C$14:$C$113,0)-1,1)</f>
        <v/>
      </c>
      <c r="H242" s="92"/>
      <c r="I242" s="86" t="str">
        <f ca="1">OFFSET(④結果出力!$D$14,MATCH(③各部被害関数計算結果!$C242,④結果出力!$C$14:$C$113,0)-1,2)</f>
        <v/>
      </c>
      <c r="J242" s="92"/>
    </row>
    <row r="243" spans="1:10" x14ac:dyDescent="0.15">
      <c r="A243" s="58">
        <f>ROW()</f>
        <v>243</v>
      </c>
      <c r="B243" s="85" t="str">
        <f t="shared" ca="1" si="3"/>
        <v/>
      </c>
      <c r="C243" s="85" t="s">
        <v>296</v>
      </c>
      <c r="D243" s="85" t="str">
        <f ca="1">OFFSET(④結果出力!$D$14,MATCH(③各部被害関数計算結果!$C243,④結果出力!$C$14:$C$113,0)-1,0)</f>
        <v/>
      </c>
      <c r="E243" s="85" t="s">
        <v>30</v>
      </c>
      <c r="F243" s="86" t="str">
        <f ca="1">OFFSET(④結果出力!$D$14,MATCH(③各部被害関数計算結果!$C243,④結果出力!$C$14:$C$113,0)-1,3)</f>
        <v/>
      </c>
      <c r="G243" s="86" t="str">
        <f ca="1">OFFSET(④結果出力!$D$14,MATCH(③各部被害関数計算結果!$C243,④結果出力!$C$14:$C$113,0)-1,1)</f>
        <v/>
      </c>
      <c r="H243" s="92"/>
      <c r="I243" s="86" t="str">
        <f ca="1">OFFSET(④結果出力!$D$14,MATCH(③各部被害関数計算結果!$C243,④結果出力!$C$14:$C$113,0)-1,2)</f>
        <v/>
      </c>
      <c r="J243" s="92"/>
    </row>
    <row r="244" spans="1:10" x14ac:dyDescent="0.15">
      <c r="A244" s="58">
        <f>ROW()</f>
        <v>244</v>
      </c>
      <c r="B244" s="85" t="str">
        <f t="shared" ca="1" si="3"/>
        <v/>
      </c>
      <c r="C244" s="85" t="s">
        <v>296</v>
      </c>
      <c r="D244" s="85" t="str">
        <f ca="1">OFFSET(④結果出力!$D$14,MATCH(③各部被害関数計算結果!$C244,④結果出力!$C$14:$C$113,0)-1,0)</f>
        <v/>
      </c>
      <c r="E244" s="85" t="s">
        <v>33</v>
      </c>
      <c r="F244" s="86" t="str">
        <f ca="1">OFFSET(④結果出力!$D$14,MATCH(③各部被害関数計算結果!$C244,④結果出力!$C$14:$C$113,0)-1,8)</f>
        <v/>
      </c>
      <c r="G244" s="86" t="str">
        <f ca="1">OFFSET(④結果出力!$D$14,MATCH(③各部被害関数計算結果!$C244,④結果出力!$C$14:$C$113,0)-1,1)</f>
        <v/>
      </c>
      <c r="H244" s="92"/>
      <c r="I244" s="86" t="str">
        <f ca="1">OFFSET(④結果出力!$D$14,MATCH(③各部被害関数計算結果!$C244,④結果出力!$C$14:$C$113,0)-1,2)</f>
        <v/>
      </c>
      <c r="J244" s="92"/>
    </row>
    <row r="245" spans="1:10" x14ac:dyDescent="0.15">
      <c r="A245" s="58">
        <f>ROW()</f>
        <v>245</v>
      </c>
      <c r="B245" s="85" t="str">
        <f t="shared" ca="1" si="3"/>
        <v/>
      </c>
      <c r="C245" s="85" t="s">
        <v>296</v>
      </c>
      <c r="D245" s="85" t="str">
        <f ca="1">OFFSET(④結果出力!$D$14,MATCH(③各部被害関数計算結果!$C245,④結果出力!$C$14:$C$113,0)-1,0)</f>
        <v/>
      </c>
      <c r="E245" s="85" t="s">
        <v>118</v>
      </c>
      <c r="F245" s="86" t="str">
        <f ca="1">OFFSET(④結果出力!$D$14,MATCH(③各部被害関数計算結果!$C245,④結果出力!$C$14:$C$1133,0)-1,13)</f>
        <v/>
      </c>
      <c r="G245" s="86" t="str">
        <f ca="1">OFFSET(④結果出力!$D$14,MATCH(③各部被害関数計算結果!$C245,④結果出力!$C$14:$C$113,0)-1,1)</f>
        <v/>
      </c>
      <c r="H245" s="92"/>
      <c r="I245" s="86" t="str">
        <f ca="1">OFFSET(④結果出力!$D$14,MATCH(③各部被害関数計算結果!$C245,④結果出力!$C$14:$C$113,0)-1,2)</f>
        <v/>
      </c>
      <c r="J245" s="92"/>
    </row>
    <row r="246" spans="1:10" x14ac:dyDescent="0.15">
      <c r="A246" s="58">
        <f>ROW()</f>
        <v>246</v>
      </c>
      <c r="B246" s="85" t="str">
        <f t="shared" ca="1" si="3"/>
        <v/>
      </c>
      <c r="C246" s="85" t="s">
        <v>296</v>
      </c>
      <c r="D246" s="85" t="str">
        <f ca="1">OFFSET(④結果出力!$D$14,MATCH(③各部被害関数計算結果!$C246,④結果出力!$C$14:$C$113,0)-1,0)</f>
        <v/>
      </c>
      <c r="E246" s="85" t="s">
        <v>53</v>
      </c>
      <c r="F246" s="86" t="str">
        <f ca="1">OFFSET(④結果出力!$D$14,MATCH(③各部被害関数計算結果!$C246,④結果出力!$C$14:$C$113,0)-1,18)</f>
        <v/>
      </c>
      <c r="G246" s="86" t="str">
        <f ca="1">OFFSET(④結果出力!$D$14,MATCH(③各部被害関数計算結果!$C246,④結果出力!$C$14:$C$113,0)-1,1)</f>
        <v/>
      </c>
      <c r="H246" s="92"/>
      <c r="I246" s="86" t="str">
        <f ca="1">OFFSET(④結果出力!$D$14,MATCH(③各部被害関数計算結果!$C246,④結果出力!$C$14:$C$113,0)-1,2)</f>
        <v/>
      </c>
      <c r="J246" s="92"/>
    </row>
    <row r="247" spans="1:10" x14ac:dyDescent="0.15">
      <c r="A247" s="58">
        <f>ROW()</f>
        <v>247</v>
      </c>
      <c r="B247" s="85" t="str">
        <f t="shared" ca="1" si="3"/>
        <v/>
      </c>
      <c r="C247" s="85" t="s">
        <v>297</v>
      </c>
      <c r="D247" s="85" t="str">
        <f ca="1">OFFSET(④結果出力!$D$14,MATCH(③各部被害関数計算結果!$C247,④結果出力!$C$14:$C$113,0)-1,0)</f>
        <v/>
      </c>
      <c r="E247" s="85" t="s">
        <v>30</v>
      </c>
      <c r="F247" s="86" t="str">
        <f ca="1">OFFSET(④結果出力!$D$14,MATCH(③各部被害関数計算結果!$C247,④結果出力!$C$14:$C$113,0)-1,3)</f>
        <v/>
      </c>
      <c r="G247" s="86" t="str">
        <f ca="1">OFFSET(④結果出力!$D$14,MATCH(③各部被害関数計算結果!$C247,④結果出力!$C$14:$C$113,0)-1,1)</f>
        <v/>
      </c>
      <c r="H247" s="92"/>
      <c r="I247" s="86" t="str">
        <f ca="1">OFFSET(④結果出力!$D$14,MATCH(③各部被害関数計算結果!$C247,④結果出力!$C$14:$C$113,0)-1,2)</f>
        <v/>
      </c>
      <c r="J247" s="92"/>
    </row>
    <row r="248" spans="1:10" x14ac:dyDescent="0.15">
      <c r="A248" s="58">
        <f>ROW()</f>
        <v>248</v>
      </c>
      <c r="B248" s="85" t="str">
        <f t="shared" ca="1" si="3"/>
        <v/>
      </c>
      <c r="C248" s="85" t="s">
        <v>297</v>
      </c>
      <c r="D248" s="85" t="str">
        <f ca="1">OFFSET(④結果出力!$D$14,MATCH(③各部被害関数計算結果!$C248,④結果出力!$C$14:$C$113,0)-1,0)</f>
        <v/>
      </c>
      <c r="E248" s="85" t="s">
        <v>33</v>
      </c>
      <c r="F248" s="86" t="str">
        <f ca="1">OFFSET(④結果出力!$D$14,MATCH(③各部被害関数計算結果!$C248,④結果出力!$C$14:$C$113,0)-1,8)</f>
        <v/>
      </c>
      <c r="G248" s="86" t="str">
        <f ca="1">OFFSET(④結果出力!$D$14,MATCH(③各部被害関数計算結果!$C248,④結果出力!$C$14:$C$113,0)-1,1)</f>
        <v/>
      </c>
      <c r="H248" s="92"/>
      <c r="I248" s="86" t="str">
        <f ca="1">OFFSET(④結果出力!$D$14,MATCH(③各部被害関数計算結果!$C248,④結果出力!$C$14:$C$113,0)-1,2)</f>
        <v/>
      </c>
      <c r="J248" s="92"/>
    </row>
    <row r="249" spans="1:10" x14ac:dyDescent="0.15">
      <c r="A249" s="58">
        <f>ROW()</f>
        <v>249</v>
      </c>
      <c r="B249" s="85" t="str">
        <f t="shared" ca="1" si="3"/>
        <v/>
      </c>
      <c r="C249" s="85" t="s">
        <v>297</v>
      </c>
      <c r="D249" s="85" t="str">
        <f ca="1">OFFSET(④結果出力!$D$14,MATCH(③各部被害関数計算結果!$C249,④結果出力!$C$14:$C$113,0)-1,0)</f>
        <v/>
      </c>
      <c r="E249" s="85" t="s">
        <v>118</v>
      </c>
      <c r="F249" s="86" t="str">
        <f ca="1">OFFSET(④結果出力!$D$14,MATCH(③各部被害関数計算結果!$C249,④結果出力!$C$14:$C$1133,0)-1,13)</f>
        <v/>
      </c>
      <c r="G249" s="86" t="str">
        <f ca="1">OFFSET(④結果出力!$D$14,MATCH(③各部被害関数計算結果!$C249,④結果出力!$C$14:$C$113,0)-1,1)</f>
        <v/>
      </c>
      <c r="H249" s="92"/>
      <c r="I249" s="86" t="str">
        <f ca="1">OFFSET(④結果出力!$D$14,MATCH(③各部被害関数計算結果!$C249,④結果出力!$C$14:$C$113,0)-1,2)</f>
        <v/>
      </c>
      <c r="J249" s="92"/>
    </row>
    <row r="250" spans="1:10" x14ac:dyDescent="0.15">
      <c r="A250" s="58">
        <f>ROW()</f>
        <v>250</v>
      </c>
      <c r="B250" s="85" t="str">
        <f t="shared" ca="1" si="3"/>
        <v/>
      </c>
      <c r="C250" s="85" t="s">
        <v>297</v>
      </c>
      <c r="D250" s="85" t="str">
        <f ca="1">OFFSET(④結果出力!$D$14,MATCH(③各部被害関数計算結果!$C250,④結果出力!$C$14:$C$113,0)-1,0)</f>
        <v/>
      </c>
      <c r="E250" s="85" t="s">
        <v>53</v>
      </c>
      <c r="F250" s="86" t="str">
        <f ca="1">OFFSET(④結果出力!$D$14,MATCH(③各部被害関数計算結果!$C250,④結果出力!$C$14:$C$113,0)-1,18)</f>
        <v/>
      </c>
      <c r="G250" s="86" t="str">
        <f ca="1">OFFSET(④結果出力!$D$14,MATCH(③各部被害関数計算結果!$C250,④結果出力!$C$14:$C$113,0)-1,1)</f>
        <v/>
      </c>
      <c r="H250" s="92"/>
      <c r="I250" s="86" t="str">
        <f ca="1">OFFSET(④結果出力!$D$14,MATCH(③各部被害関数計算結果!$C250,④結果出力!$C$14:$C$113,0)-1,2)</f>
        <v/>
      </c>
      <c r="J250" s="92"/>
    </row>
    <row r="251" spans="1:10" x14ac:dyDescent="0.15">
      <c r="A251" s="58">
        <f>ROW()</f>
        <v>251</v>
      </c>
      <c r="B251" s="85" t="str">
        <f t="shared" ca="1" si="3"/>
        <v/>
      </c>
      <c r="C251" s="85" t="s">
        <v>298</v>
      </c>
      <c r="D251" s="85" t="str">
        <f ca="1">OFFSET(④結果出力!$D$14,MATCH(③各部被害関数計算結果!$C251,④結果出力!$C$14:$C$113,0)-1,0)</f>
        <v/>
      </c>
      <c r="E251" s="85" t="s">
        <v>30</v>
      </c>
      <c r="F251" s="86" t="str">
        <f ca="1">OFFSET(④結果出力!$D$14,MATCH(③各部被害関数計算結果!$C251,④結果出力!$C$14:$C$113,0)-1,3)</f>
        <v/>
      </c>
      <c r="G251" s="86" t="str">
        <f ca="1">OFFSET(④結果出力!$D$14,MATCH(③各部被害関数計算結果!$C251,④結果出力!$C$14:$C$113,0)-1,1)</f>
        <v/>
      </c>
      <c r="H251" s="92"/>
      <c r="I251" s="86" t="str">
        <f ca="1">OFFSET(④結果出力!$D$14,MATCH(③各部被害関数計算結果!$C251,④結果出力!$C$14:$C$113,0)-1,2)</f>
        <v/>
      </c>
      <c r="J251" s="92"/>
    </row>
    <row r="252" spans="1:10" x14ac:dyDescent="0.15">
      <c r="A252" s="58">
        <f>ROW()</f>
        <v>252</v>
      </c>
      <c r="B252" s="85" t="str">
        <f t="shared" ca="1" si="3"/>
        <v/>
      </c>
      <c r="C252" s="85" t="s">
        <v>298</v>
      </c>
      <c r="D252" s="85" t="str">
        <f ca="1">OFFSET(④結果出力!$D$14,MATCH(③各部被害関数計算結果!$C252,④結果出力!$C$14:$C$113,0)-1,0)</f>
        <v/>
      </c>
      <c r="E252" s="85" t="s">
        <v>33</v>
      </c>
      <c r="F252" s="86" t="str">
        <f ca="1">OFFSET(④結果出力!$D$14,MATCH(③各部被害関数計算結果!$C252,④結果出力!$C$14:$C$113,0)-1,8)</f>
        <v/>
      </c>
      <c r="G252" s="86" t="str">
        <f ca="1">OFFSET(④結果出力!$D$14,MATCH(③各部被害関数計算結果!$C252,④結果出力!$C$14:$C$113,0)-1,1)</f>
        <v/>
      </c>
      <c r="H252" s="92"/>
      <c r="I252" s="86" t="str">
        <f ca="1">OFFSET(④結果出力!$D$14,MATCH(③各部被害関数計算結果!$C252,④結果出力!$C$14:$C$113,0)-1,2)</f>
        <v/>
      </c>
      <c r="J252" s="92"/>
    </row>
    <row r="253" spans="1:10" x14ac:dyDescent="0.15">
      <c r="A253" s="58">
        <f>ROW()</f>
        <v>253</v>
      </c>
      <c r="B253" s="85" t="str">
        <f t="shared" ca="1" si="3"/>
        <v/>
      </c>
      <c r="C253" s="85" t="s">
        <v>298</v>
      </c>
      <c r="D253" s="85" t="str">
        <f ca="1">OFFSET(④結果出力!$D$14,MATCH(③各部被害関数計算結果!$C253,④結果出力!$C$14:$C$113,0)-1,0)</f>
        <v/>
      </c>
      <c r="E253" s="85" t="s">
        <v>118</v>
      </c>
      <c r="F253" s="86" t="str">
        <f ca="1">OFFSET(④結果出力!$D$14,MATCH(③各部被害関数計算結果!$C253,④結果出力!$C$14:$C$1133,0)-1,13)</f>
        <v/>
      </c>
      <c r="G253" s="86" t="str">
        <f ca="1">OFFSET(④結果出力!$D$14,MATCH(③各部被害関数計算結果!$C253,④結果出力!$C$14:$C$113,0)-1,1)</f>
        <v/>
      </c>
      <c r="H253" s="92"/>
      <c r="I253" s="86" t="str">
        <f ca="1">OFFSET(④結果出力!$D$14,MATCH(③各部被害関数計算結果!$C253,④結果出力!$C$14:$C$113,0)-1,2)</f>
        <v/>
      </c>
      <c r="J253" s="92"/>
    </row>
    <row r="254" spans="1:10" x14ac:dyDescent="0.15">
      <c r="A254" s="58">
        <f>ROW()</f>
        <v>254</v>
      </c>
      <c r="B254" s="85" t="str">
        <f t="shared" ca="1" si="3"/>
        <v/>
      </c>
      <c r="C254" s="85" t="s">
        <v>298</v>
      </c>
      <c r="D254" s="85" t="str">
        <f ca="1">OFFSET(④結果出力!$D$14,MATCH(③各部被害関数計算結果!$C254,④結果出力!$C$14:$C$113,0)-1,0)</f>
        <v/>
      </c>
      <c r="E254" s="85" t="s">
        <v>53</v>
      </c>
      <c r="F254" s="86" t="str">
        <f ca="1">OFFSET(④結果出力!$D$14,MATCH(③各部被害関数計算結果!$C254,④結果出力!$C$14:$C$113,0)-1,18)</f>
        <v/>
      </c>
      <c r="G254" s="86" t="str">
        <f ca="1">OFFSET(④結果出力!$D$14,MATCH(③各部被害関数計算結果!$C254,④結果出力!$C$14:$C$113,0)-1,1)</f>
        <v/>
      </c>
      <c r="H254" s="92"/>
      <c r="I254" s="86" t="str">
        <f ca="1">OFFSET(④結果出力!$D$14,MATCH(③各部被害関数計算結果!$C254,④結果出力!$C$14:$C$113,0)-1,2)</f>
        <v/>
      </c>
      <c r="J254" s="92"/>
    </row>
    <row r="255" spans="1:10" x14ac:dyDescent="0.15">
      <c r="A255" s="58">
        <f>ROW()</f>
        <v>255</v>
      </c>
      <c r="B255" s="85" t="str">
        <f t="shared" ca="1" si="3"/>
        <v/>
      </c>
      <c r="C255" s="85" t="s">
        <v>299</v>
      </c>
      <c r="D255" s="85" t="str">
        <f ca="1">OFFSET(④結果出力!$D$14,MATCH(③各部被害関数計算結果!$C255,④結果出力!$C$14:$C$113,0)-1,0)</f>
        <v/>
      </c>
      <c r="E255" s="85" t="s">
        <v>30</v>
      </c>
      <c r="F255" s="86" t="str">
        <f ca="1">OFFSET(④結果出力!$D$14,MATCH(③各部被害関数計算結果!$C255,④結果出力!$C$14:$C$113,0)-1,3)</f>
        <v/>
      </c>
      <c r="G255" s="86" t="str">
        <f ca="1">OFFSET(④結果出力!$D$14,MATCH(③各部被害関数計算結果!$C255,④結果出力!$C$14:$C$113,0)-1,1)</f>
        <v/>
      </c>
      <c r="H255" s="92"/>
      <c r="I255" s="86" t="str">
        <f ca="1">OFFSET(④結果出力!$D$14,MATCH(③各部被害関数計算結果!$C255,④結果出力!$C$14:$C$113,0)-1,2)</f>
        <v/>
      </c>
      <c r="J255" s="92"/>
    </row>
    <row r="256" spans="1:10" x14ac:dyDescent="0.15">
      <c r="A256" s="58">
        <f>ROW()</f>
        <v>256</v>
      </c>
      <c r="B256" s="85" t="str">
        <f t="shared" ca="1" si="3"/>
        <v/>
      </c>
      <c r="C256" s="85" t="s">
        <v>299</v>
      </c>
      <c r="D256" s="85" t="str">
        <f ca="1">OFFSET(④結果出力!$D$14,MATCH(③各部被害関数計算結果!$C256,④結果出力!$C$14:$C$113,0)-1,0)</f>
        <v/>
      </c>
      <c r="E256" s="85" t="s">
        <v>33</v>
      </c>
      <c r="F256" s="86" t="str">
        <f ca="1">OFFSET(④結果出力!$D$14,MATCH(③各部被害関数計算結果!$C256,④結果出力!$C$14:$C$113,0)-1,8)</f>
        <v/>
      </c>
      <c r="G256" s="86" t="str">
        <f ca="1">OFFSET(④結果出力!$D$14,MATCH(③各部被害関数計算結果!$C256,④結果出力!$C$14:$C$113,0)-1,1)</f>
        <v/>
      </c>
      <c r="H256" s="92"/>
      <c r="I256" s="86" t="str">
        <f ca="1">OFFSET(④結果出力!$D$14,MATCH(③各部被害関数計算結果!$C256,④結果出力!$C$14:$C$113,0)-1,2)</f>
        <v/>
      </c>
      <c r="J256" s="92"/>
    </row>
    <row r="257" spans="1:10" x14ac:dyDescent="0.15">
      <c r="A257" s="58">
        <f>ROW()</f>
        <v>257</v>
      </c>
      <c r="B257" s="85" t="str">
        <f t="shared" ca="1" si="3"/>
        <v/>
      </c>
      <c r="C257" s="85" t="s">
        <v>299</v>
      </c>
      <c r="D257" s="85" t="str">
        <f ca="1">OFFSET(④結果出力!$D$14,MATCH(③各部被害関数計算結果!$C257,④結果出力!$C$14:$C$113,0)-1,0)</f>
        <v/>
      </c>
      <c r="E257" s="85" t="s">
        <v>118</v>
      </c>
      <c r="F257" s="86" t="str">
        <f ca="1">OFFSET(④結果出力!$D$14,MATCH(③各部被害関数計算結果!$C257,④結果出力!$C$14:$C$1133,0)-1,13)</f>
        <v/>
      </c>
      <c r="G257" s="86" t="str">
        <f ca="1">OFFSET(④結果出力!$D$14,MATCH(③各部被害関数計算結果!$C257,④結果出力!$C$14:$C$113,0)-1,1)</f>
        <v/>
      </c>
      <c r="H257" s="92"/>
      <c r="I257" s="86" t="str">
        <f ca="1">OFFSET(④結果出力!$D$14,MATCH(③各部被害関数計算結果!$C257,④結果出力!$C$14:$C$113,0)-1,2)</f>
        <v/>
      </c>
      <c r="J257" s="92"/>
    </row>
    <row r="258" spans="1:10" x14ac:dyDescent="0.15">
      <c r="A258" s="58">
        <f>ROW()</f>
        <v>258</v>
      </c>
      <c r="B258" s="85" t="str">
        <f t="shared" ca="1" si="3"/>
        <v/>
      </c>
      <c r="C258" s="85" t="s">
        <v>299</v>
      </c>
      <c r="D258" s="85" t="str">
        <f ca="1">OFFSET(④結果出力!$D$14,MATCH(③各部被害関数計算結果!$C258,④結果出力!$C$14:$C$113,0)-1,0)</f>
        <v/>
      </c>
      <c r="E258" s="85" t="s">
        <v>53</v>
      </c>
      <c r="F258" s="86" t="str">
        <f ca="1">OFFSET(④結果出力!$D$14,MATCH(③各部被害関数計算結果!$C258,④結果出力!$C$14:$C$113,0)-1,18)</f>
        <v/>
      </c>
      <c r="G258" s="86" t="str">
        <f ca="1">OFFSET(④結果出力!$D$14,MATCH(③各部被害関数計算結果!$C258,④結果出力!$C$14:$C$113,0)-1,1)</f>
        <v/>
      </c>
      <c r="H258" s="92"/>
      <c r="I258" s="86" t="str">
        <f ca="1">OFFSET(④結果出力!$D$14,MATCH(③各部被害関数計算結果!$C258,④結果出力!$C$14:$C$113,0)-1,2)</f>
        <v/>
      </c>
      <c r="J258" s="92"/>
    </row>
    <row r="259" spans="1:10" x14ac:dyDescent="0.15">
      <c r="A259" s="58">
        <f>ROW()</f>
        <v>259</v>
      </c>
      <c r="B259" s="85" t="str">
        <f t="shared" ref="B259:B322" ca="1" si="4">IF(D259&lt;&gt;"","●","")</f>
        <v/>
      </c>
      <c r="C259" s="85" t="s">
        <v>300</v>
      </c>
      <c r="D259" s="85" t="str">
        <f ca="1">OFFSET(④結果出力!$D$14,MATCH(③各部被害関数計算結果!$C259,④結果出力!$C$14:$C$113,0)-1,0)</f>
        <v/>
      </c>
      <c r="E259" s="85" t="s">
        <v>30</v>
      </c>
      <c r="F259" s="86" t="str">
        <f ca="1">OFFSET(④結果出力!$D$14,MATCH(③各部被害関数計算結果!$C259,④結果出力!$C$14:$C$113,0)-1,3)</f>
        <v/>
      </c>
      <c r="G259" s="86" t="str">
        <f ca="1">OFFSET(④結果出力!$D$14,MATCH(③各部被害関数計算結果!$C259,④結果出力!$C$14:$C$113,0)-1,1)</f>
        <v/>
      </c>
      <c r="H259" s="92"/>
      <c r="I259" s="86" t="str">
        <f ca="1">OFFSET(④結果出力!$D$14,MATCH(③各部被害関数計算結果!$C259,④結果出力!$C$14:$C$113,0)-1,2)</f>
        <v/>
      </c>
      <c r="J259" s="92"/>
    </row>
    <row r="260" spans="1:10" x14ac:dyDescent="0.15">
      <c r="A260" s="58">
        <f>ROW()</f>
        <v>260</v>
      </c>
      <c r="B260" s="85" t="str">
        <f t="shared" ca="1" si="4"/>
        <v/>
      </c>
      <c r="C260" s="85" t="s">
        <v>300</v>
      </c>
      <c r="D260" s="85" t="str">
        <f ca="1">OFFSET(④結果出力!$D$14,MATCH(③各部被害関数計算結果!$C260,④結果出力!$C$14:$C$113,0)-1,0)</f>
        <v/>
      </c>
      <c r="E260" s="85" t="s">
        <v>33</v>
      </c>
      <c r="F260" s="86" t="str">
        <f ca="1">OFFSET(④結果出力!$D$14,MATCH(③各部被害関数計算結果!$C260,④結果出力!$C$14:$C$113,0)-1,8)</f>
        <v/>
      </c>
      <c r="G260" s="86" t="str">
        <f ca="1">OFFSET(④結果出力!$D$14,MATCH(③各部被害関数計算結果!$C260,④結果出力!$C$14:$C$113,0)-1,1)</f>
        <v/>
      </c>
      <c r="H260" s="92"/>
      <c r="I260" s="86" t="str">
        <f ca="1">OFFSET(④結果出力!$D$14,MATCH(③各部被害関数計算結果!$C260,④結果出力!$C$14:$C$113,0)-1,2)</f>
        <v/>
      </c>
      <c r="J260" s="92"/>
    </row>
    <row r="261" spans="1:10" x14ac:dyDescent="0.15">
      <c r="A261" s="58">
        <f>ROW()</f>
        <v>261</v>
      </c>
      <c r="B261" s="85" t="str">
        <f t="shared" ca="1" si="4"/>
        <v/>
      </c>
      <c r="C261" s="85" t="s">
        <v>300</v>
      </c>
      <c r="D261" s="85" t="str">
        <f ca="1">OFFSET(④結果出力!$D$14,MATCH(③各部被害関数計算結果!$C261,④結果出力!$C$14:$C$113,0)-1,0)</f>
        <v/>
      </c>
      <c r="E261" s="85" t="s">
        <v>118</v>
      </c>
      <c r="F261" s="86" t="str">
        <f ca="1">OFFSET(④結果出力!$D$14,MATCH(③各部被害関数計算結果!$C261,④結果出力!$C$14:$C$1133,0)-1,13)</f>
        <v/>
      </c>
      <c r="G261" s="86" t="str">
        <f ca="1">OFFSET(④結果出力!$D$14,MATCH(③各部被害関数計算結果!$C261,④結果出力!$C$14:$C$113,0)-1,1)</f>
        <v/>
      </c>
      <c r="H261" s="92"/>
      <c r="I261" s="86" t="str">
        <f ca="1">OFFSET(④結果出力!$D$14,MATCH(③各部被害関数計算結果!$C261,④結果出力!$C$14:$C$113,0)-1,2)</f>
        <v/>
      </c>
      <c r="J261" s="92"/>
    </row>
    <row r="262" spans="1:10" x14ac:dyDescent="0.15">
      <c r="A262" s="58">
        <f>ROW()</f>
        <v>262</v>
      </c>
      <c r="B262" s="85" t="str">
        <f t="shared" ca="1" si="4"/>
        <v/>
      </c>
      <c r="C262" s="85" t="s">
        <v>300</v>
      </c>
      <c r="D262" s="85" t="str">
        <f ca="1">OFFSET(④結果出力!$D$14,MATCH(③各部被害関数計算結果!$C262,④結果出力!$C$14:$C$113,0)-1,0)</f>
        <v/>
      </c>
      <c r="E262" s="85" t="s">
        <v>53</v>
      </c>
      <c r="F262" s="86" t="str">
        <f ca="1">OFFSET(④結果出力!$D$14,MATCH(③各部被害関数計算結果!$C262,④結果出力!$C$14:$C$113,0)-1,18)</f>
        <v/>
      </c>
      <c r="G262" s="86" t="str">
        <f ca="1">OFFSET(④結果出力!$D$14,MATCH(③各部被害関数計算結果!$C262,④結果出力!$C$14:$C$113,0)-1,1)</f>
        <v/>
      </c>
      <c r="H262" s="92"/>
      <c r="I262" s="86" t="str">
        <f ca="1">OFFSET(④結果出力!$D$14,MATCH(③各部被害関数計算結果!$C262,④結果出力!$C$14:$C$113,0)-1,2)</f>
        <v/>
      </c>
      <c r="J262" s="92"/>
    </row>
    <row r="263" spans="1:10" x14ac:dyDescent="0.15">
      <c r="A263" s="58">
        <f>ROW()</f>
        <v>263</v>
      </c>
      <c r="B263" s="85" t="str">
        <f t="shared" ca="1" si="4"/>
        <v/>
      </c>
      <c r="C263" s="85" t="s">
        <v>301</v>
      </c>
      <c r="D263" s="85" t="str">
        <f ca="1">OFFSET(④結果出力!$D$14,MATCH(③各部被害関数計算結果!$C263,④結果出力!$C$14:$C$113,0)-1,0)</f>
        <v/>
      </c>
      <c r="E263" s="85" t="s">
        <v>30</v>
      </c>
      <c r="F263" s="86" t="str">
        <f ca="1">OFFSET(④結果出力!$D$14,MATCH(③各部被害関数計算結果!$C263,④結果出力!$C$14:$C$113,0)-1,3)</f>
        <v/>
      </c>
      <c r="G263" s="86" t="str">
        <f ca="1">OFFSET(④結果出力!$D$14,MATCH(③各部被害関数計算結果!$C263,④結果出力!$C$14:$C$113,0)-1,1)</f>
        <v/>
      </c>
      <c r="H263" s="92"/>
      <c r="I263" s="86" t="str">
        <f ca="1">OFFSET(④結果出力!$D$14,MATCH(③各部被害関数計算結果!$C263,④結果出力!$C$14:$C$113,0)-1,2)</f>
        <v/>
      </c>
      <c r="J263" s="92"/>
    </row>
    <row r="264" spans="1:10" x14ac:dyDescent="0.15">
      <c r="A264" s="58">
        <f>ROW()</f>
        <v>264</v>
      </c>
      <c r="B264" s="85" t="str">
        <f t="shared" ca="1" si="4"/>
        <v/>
      </c>
      <c r="C264" s="85" t="s">
        <v>301</v>
      </c>
      <c r="D264" s="85" t="str">
        <f ca="1">OFFSET(④結果出力!$D$14,MATCH(③各部被害関数計算結果!$C264,④結果出力!$C$14:$C$113,0)-1,0)</f>
        <v/>
      </c>
      <c r="E264" s="85" t="s">
        <v>33</v>
      </c>
      <c r="F264" s="86" t="str">
        <f ca="1">OFFSET(④結果出力!$D$14,MATCH(③各部被害関数計算結果!$C264,④結果出力!$C$14:$C$113,0)-1,8)</f>
        <v/>
      </c>
      <c r="G264" s="86" t="str">
        <f ca="1">OFFSET(④結果出力!$D$14,MATCH(③各部被害関数計算結果!$C264,④結果出力!$C$14:$C$113,0)-1,1)</f>
        <v/>
      </c>
      <c r="H264" s="92"/>
      <c r="I264" s="86" t="str">
        <f ca="1">OFFSET(④結果出力!$D$14,MATCH(③各部被害関数計算結果!$C264,④結果出力!$C$14:$C$113,0)-1,2)</f>
        <v/>
      </c>
      <c r="J264" s="92"/>
    </row>
    <row r="265" spans="1:10" x14ac:dyDescent="0.15">
      <c r="A265" s="58">
        <f>ROW()</f>
        <v>265</v>
      </c>
      <c r="B265" s="85" t="str">
        <f t="shared" ca="1" si="4"/>
        <v/>
      </c>
      <c r="C265" s="85" t="s">
        <v>301</v>
      </c>
      <c r="D265" s="85" t="str">
        <f ca="1">OFFSET(④結果出力!$D$14,MATCH(③各部被害関数計算結果!$C265,④結果出力!$C$14:$C$113,0)-1,0)</f>
        <v/>
      </c>
      <c r="E265" s="85" t="s">
        <v>118</v>
      </c>
      <c r="F265" s="86" t="str">
        <f ca="1">OFFSET(④結果出力!$D$14,MATCH(③各部被害関数計算結果!$C265,④結果出力!$C$14:$C$1133,0)-1,13)</f>
        <v/>
      </c>
      <c r="G265" s="86" t="str">
        <f ca="1">OFFSET(④結果出力!$D$14,MATCH(③各部被害関数計算結果!$C265,④結果出力!$C$14:$C$113,0)-1,1)</f>
        <v/>
      </c>
      <c r="H265" s="92"/>
      <c r="I265" s="86" t="str">
        <f ca="1">OFFSET(④結果出力!$D$14,MATCH(③各部被害関数計算結果!$C265,④結果出力!$C$14:$C$113,0)-1,2)</f>
        <v/>
      </c>
      <c r="J265" s="92"/>
    </row>
    <row r="266" spans="1:10" x14ac:dyDescent="0.15">
      <c r="A266" s="58">
        <f>ROW()</f>
        <v>266</v>
      </c>
      <c r="B266" s="85" t="str">
        <f t="shared" ca="1" si="4"/>
        <v/>
      </c>
      <c r="C266" s="85" t="s">
        <v>301</v>
      </c>
      <c r="D266" s="85" t="str">
        <f ca="1">OFFSET(④結果出力!$D$14,MATCH(③各部被害関数計算結果!$C266,④結果出力!$C$14:$C$113,0)-1,0)</f>
        <v/>
      </c>
      <c r="E266" s="85" t="s">
        <v>53</v>
      </c>
      <c r="F266" s="86" t="str">
        <f ca="1">OFFSET(④結果出力!$D$14,MATCH(③各部被害関数計算結果!$C266,④結果出力!$C$14:$C$113,0)-1,18)</f>
        <v/>
      </c>
      <c r="G266" s="86" t="str">
        <f ca="1">OFFSET(④結果出力!$D$14,MATCH(③各部被害関数計算結果!$C266,④結果出力!$C$14:$C$113,0)-1,1)</f>
        <v/>
      </c>
      <c r="H266" s="92"/>
      <c r="I266" s="86" t="str">
        <f ca="1">OFFSET(④結果出力!$D$14,MATCH(③各部被害関数計算結果!$C266,④結果出力!$C$14:$C$113,0)-1,2)</f>
        <v/>
      </c>
      <c r="J266" s="92"/>
    </row>
    <row r="267" spans="1:10" x14ac:dyDescent="0.15">
      <c r="A267" s="58">
        <f>ROW()</f>
        <v>267</v>
      </c>
      <c r="B267" s="85" t="str">
        <f t="shared" ca="1" si="4"/>
        <v/>
      </c>
      <c r="C267" s="85" t="s">
        <v>302</v>
      </c>
      <c r="D267" s="85" t="str">
        <f ca="1">OFFSET(④結果出力!$D$14,MATCH(③各部被害関数計算結果!$C267,④結果出力!$C$14:$C$113,0)-1,0)</f>
        <v/>
      </c>
      <c r="E267" s="85" t="s">
        <v>30</v>
      </c>
      <c r="F267" s="86" t="str">
        <f ca="1">OFFSET(④結果出力!$D$14,MATCH(③各部被害関数計算結果!$C267,④結果出力!$C$14:$C$113,0)-1,3)</f>
        <v/>
      </c>
      <c r="G267" s="86" t="str">
        <f ca="1">OFFSET(④結果出力!$D$14,MATCH(③各部被害関数計算結果!$C267,④結果出力!$C$14:$C$113,0)-1,1)</f>
        <v/>
      </c>
      <c r="H267" s="92"/>
      <c r="I267" s="86" t="str">
        <f ca="1">OFFSET(④結果出力!$D$14,MATCH(③各部被害関数計算結果!$C267,④結果出力!$C$14:$C$113,0)-1,2)</f>
        <v/>
      </c>
      <c r="J267" s="92"/>
    </row>
    <row r="268" spans="1:10" x14ac:dyDescent="0.15">
      <c r="A268" s="58">
        <f>ROW()</f>
        <v>268</v>
      </c>
      <c r="B268" s="85" t="str">
        <f t="shared" ca="1" si="4"/>
        <v/>
      </c>
      <c r="C268" s="85" t="s">
        <v>302</v>
      </c>
      <c r="D268" s="85" t="str">
        <f ca="1">OFFSET(④結果出力!$D$14,MATCH(③各部被害関数計算結果!$C268,④結果出力!$C$14:$C$113,0)-1,0)</f>
        <v/>
      </c>
      <c r="E268" s="85" t="s">
        <v>33</v>
      </c>
      <c r="F268" s="86" t="str">
        <f ca="1">OFFSET(④結果出力!$D$14,MATCH(③各部被害関数計算結果!$C268,④結果出力!$C$14:$C$113,0)-1,8)</f>
        <v/>
      </c>
      <c r="G268" s="86" t="str">
        <f ca="1">OFFSET(④結果出力!$D$14,MATCH(③各部被害関数計算結果!$C268,④結果出力!$C$14:$C$113,0)-1,1)</f>
        <v/>
      </c>
      <c r="H268" s="92"/>
      <c r="I268" s="86" t="str">
        <f ca="1">OFFSET(④結果出力!$D$14,MATCH(③各部被害関数計算結果!$C268,④結果出力!$C$14:$C$113,0)-1,2)</f>
        <v/>
      </c>
      <c r="J268" s="92"/>
    </row>
    <row r="269" spans="1:10" x14ac:dyDescent="0.15">
      <c r="A269" s="58">
        <f>ROW()</f>
        <v>269</v>
      </c>
      <c r="B269" s="85" t="str">
        <f t="shared" ca="1" si="4"/>
        <v/>
      </c>
      <c r="C269" s="85" t="s">
        <v>302</v>
      </c>
      <c r="D269" s="85" t="str">
        <f ca="1">OFFSET(④結果出力!$D$14,MATCH(③各部被害関数計算結果!$C269,④結果出力!$C$14:$C$113,0)-1,0)</f>
        <v/>
      </c>
      <c r="E269" s="85" t="s">
        <v>118</v>
      </c>
      <c r="F269" s="86" t="str">
        <f ca="1">OFFSET(④結果出力!$D$14,MATCH(③各部被害関数計算結果!$C269,④結果出力!$C$14:$C$1133,0)-1,13)</f>
        <v/>
      </c>
      <c r="G269" s="86" t="str">
        <f ca="1">OFFSET(④結果出力!$D$14,MATCH(③各部被害関数計算結果!$C269,④結果出力!$C$14:$C$113,0)-1,1)</f>
        <v/>
      </c>
      <c r="H269" s="92"/>
      <c r="I269" s="86" t="str">
        <f ca="1">OFFSET(④結果出力!$D$14,MATCH(③各部被害関数計算結果!$C269,④結果出力!$C$14:$C$113,0)-1,2)</f>
        <v/>
      </c>
      <c r="J269" s="92"/>
    </row>
    <row r="270" spans="1:10" x14ac:dyDescent="0.15">
      <c r="A270" s="58">
        <f>ROW()</f>
        <v>270</v>
      </c>
      <c r="B270" s="85" t="str">
        <f t="shared" ca="1" si="4"/>
        <v/>
      </c>
      <c r="C270" s="85" t="s">
        <v>302</v>
      </c>
      <c r="D270" s="85" t="str">
        <f ca="1">OFFSET(④結果出力!$D$14,MATCH(③各部被害関数計算結果!$C270,④結果出力!$C$14:$C$113,0)-1,0)</f>
        <v/>
      </c>
      <c r="E270" s="85" t="s">
        <v>53</v>
      </c>
      <c r="F270" s="86" t="str">
        <f ca="1">OFFSET(④結果出力!$D$14,MATCH(③各部被害関数計算結果!$C270,④結果出力!$C$14:$C$113,0)-1,18)</f>
        <v/>
      </c>
      <c r="G270" s="86" t="str">
        <f ca="1">OFFSET(④結果出力!$D$14,MATCH(③各部被害関数計算結果!$C270,④結果出力!$C$14:$C$113,0)-1,1)</f>
        <v/>
      </c>
      <c r="H270" s="92"/>
      <c r="I270" s="86" t="str">
        <f ca="1">OFFSET(④結果出力!$D$14,MATCH(③各部被害関数計算結果!$C270,④結果出力!$C$14:$C$113,0)-1,2)</f>
        <v/>
      </c>
      <c r="J270" s="92"/>
    </row>
    <row r="271" spans="1:10" x14ac:dyDescent="0.15">
      <c r="A271" s="58">
        <f>ROW()</f>
        <v>271</v>
      </c>
      <c r="B271" s="85" t="str">
        <f t="shared" ca="1" si="4"/>
        <v/>
      </c>
      <c r="C271" s="85" t="s">
        <v>303</v>
      </c>
      <c r="D271" s="85" t="str">
        <f ca="1">OFFSET(④結果出力!$D$14,MATCH(③各部被害関数計算結果!$C271,④結果出力!$C$14:$C$113,0)-1,0)</f>
        <v/>
      </c>
      <c r="E271" s="85" t="s">
        <v>30</v>
      </c>
      <c r="F271" s="86" t="str">
        <f ca="1">OFFSET(④結果出力!$D$14,MATCH(③各部被害関数計算結果!$C271,④結果出力!$C$14:$C$113,0)-1,3)</f>
        <v/>
      </c>
      <c r="G271" s="86" t="str">
        <f ca="1">OFFSET(④結果出力!$D$14,MATCH(③各部被害関数計算結果!$C271,④結果出力!$C$14:$C$113,0)-1,1)</f>
        <v/>
      </c>
      <c r="H271" s="92"/>
      <c r="I271" s="86" t="str">
        <f ca="1">OFFSET(④結果出力!$D$14,MATCH(③各部被害関数計算結果!$C271,④結果出力!$C$14:$C$113,0)-1,2)</f>
        <v/>
      </c>
      <c r="J271" s="92"/>
    </row>
    <row r="272" spans="1:10" x14ac:dyDescent="0.15">
      <c r="A272" s="58">
        <f>ROW()</f>
        <v>272</v>
      </c>
      <c r="B272" s="85" t="str">
        <f t="shared" ca="1" si="4"/>
        <v/>
      </c>
      <c r="C272" s="85" t="s">
        <v>303</v>
      </c>
      <c r="D272" s="85" t="str">
        <f ca="1">OFFSET(④結果出力!$D$14,MATCH(③各部被害関数計算結果!$C272,④結果出力!$C$14:$C$113,0)-1,0)</f>
        <v/>
      </c>
      <c r="E272" s="85" t="s">
        <v>33</v>
      </c>
      <c r="F272" s="86" t="str">
        <f ca="1">OFFSET(④結果出力!$D$14,MATCH(③各部被害関数計算結果!$C272,④結果出力!$C$14:$C$113,0)-1,8)</f>
        <v/>
      </c>
      <c r="G272" s="86" t="str">
        <f ca="1">OFFSET(④結果出力!$D$14,MATCH(③各部被害関数計算結果!$C272,④結果出力!$C$14:$C$113,0)-1,1)</f>
        <v/>
      </c>
      <c r="H272" s="92"/>
      <c r="I272" s="86" t="str">
        <f ca="1">OFFSET(④結果出力!$D$14,MATCH(③各部被害関数計算結果!$C272,④結果出力!$C$14:$C$113,0)-1,2)</f>
        <v/>
      </c>
      <c r="J272" s="92"/>
    </row>
    <row r="273" spans="1:10" x14ac:dyDescent="0.15">
      <c r="A273" s="58">
        <f>ROW()</f>
        <v>273</v>
      </c>
      <c r="B273" s="85" t="str">
        <f t="shared" ca="1" si="4"/>
        <v/>
      </c>
      <c r="C273" s="85" t="s">
        <v>303</v>
      </c>
      <c r="D273" s="85" t="str">
        <f ca="1">OFFSET(④結果出力!$D$14,MATCH(③各部被害関数計算結果!$C273,④結果出力!$C$14:$C$113,0)-1,0)</f>
        <v/>
      </c>
      <c r="E273" s="85" t="s">
        <v>118</v>
      </c>
      <c r="F273" s="86" t="str">
        <f ca="1">OFFSET(④結果出力!$D$14,MATCH(③各部被害関数計算結果!$C273,④結果出力!$C$14:$C$1133,0)-1,13)</f>
        <v/>
      </c>
      <c r="G273" s="86" t="str">
        <f ca="1">OFFSET(④結果出力!$D$14,MATCH(③各部被害関数計算結果!$C273,④結果出力!$C$14:$C$113,0)-1,1)</f>
        <v/>
      </c>
      <c r="H273" s="92"/>
      <c r="I273" s="86" t="str">
        <f ca="1">OFFSET(④結果出力!$D$14,MATCH(③各部被害関数計算結果!$C273,④結果出力!$C$14:$C$113,0)-1,2)</f>
        <v/>
      </c>
      <c r="J273" s="92"/>
    </row>
    <row r="274" spans="1:10" x14ac:dyDescent="0.15">
      <c r="A274" s="58">
        <f>ROW()</f>
        <v>274</v>
      </c>
      <c r="B274" s="85" t="str">
        <f t="shared" ca="1" si="4"/>
        <v/>
      </c>
      <c r="C274" s="85" t="s">
        <v>303</v>
      </c>
      <c r="D274" s="85" t="str">
        <f ca="1">OFFSET(④結果出力!$D$14,MATCH(③各部被害関数計算結果!$C274,④結果出力!$C$14:$C$113,0)-1,0)</f>
        <v/>
      </c>
      <c r="E274" s="85" t="s">
        <v>53</v>
      </c>
      <c r="F274" s="86" t="str">
        <f ca="1">OFFSET(④結果出力!$D$14,MATCH(③各部被害関数計算結果!$C274,④結果出力!$C$14:$C$113,0)-1,18)</f>
        <v/>
      </c>
      <c r="G274" s="86" t="str">
        <f ca="1">OFFSET(④結果出力!$D$14,MATCH(③各部被害関数計算結果!$C274,④結果出力!$C$14:$C$113,0)-1,1)</f>
        <v/>
      </c>
      <c r="H274" s="92"/>
      <c r="I274" s="86" t="str">
        <f ca="1">OFFSET(④結果出力!$D$14,MATCH(③各部被害関数計算結果!$C274,④結果出力!$C$14:$C$113,0)-1,2)</f>
        <v/>
      </c>
      <c r="J274" s="92"/>
    </row>
    <row r="275" spans="1:10" x14ac:dyDescent="0.15">
      <c r="A275" s="58">
        <f>ROW()</f>
        <v>275</v>
      </c>
      <c r="B275" s="85" t="str">
        <f t="shared" ca="1" si="4"/>
        <v/>
      </c>
      <c r="C275" s="85" t="s">
        <v>304</v>
      </c>
      <c r="D275" s="85" t="str">
        <f ca="1">OFFSET(④結果出力!$D$14,MATCH(③各部被害関数計算結果!$C275,④結果出力!$C$14:$C$113,0)-1,0)</f>
        <v/>
      </c>
      <c r="E275" s="85" t="s">
        <v>30</v>
      </c>
      <c r="F275" s="86" t="str">
        <f ca="1">OFFSET(④結果出力!$D$14,MATCH(③各部被害関数計算結果!$C275,④結果出力!$C$14:$C$113,0)-1,3)</f>
        <v/>
      </c>
      <c r="G275" s="86" t="str">
        <f ca="1">OFFSET(④結果出力!$D$14,MATCH(③各部被害関数計算結果!$C275,④結果出力!$C$14:$C$113,0)-1,1)</f>
        <v/>
      </c>
      <c r="H275" s="92"/>
      <c r="I275" s="86" t="str">
        <f ca="1">OFFSET(④結果出力!$D$14,MATCH(③各部被害関数計算結果!$C275,④結果出力!$C$14:$C$113,0)-1,2)</f>
        <v/>
      </c>
      <c r="J275" s="92"/>
    </row>
    <row r="276" spans="1:10" x14ac:dyDescent="0.15">
      <c r="A276" s="58">
        <f>ROW()</f>
        <v>276</v>
      </c>
      <c r="B276" s="85" t="str">
        <f t="shared" ca="1" si="4"/>
        <v/>
      </c>
      <c r="C276" s="85" t="s">
        <v>304</v>
      </c>
      <c r="D276" s="85" t="str">
        <f ca="1">OFFSET(④結果出力!$D$14,MATCH(③各部被害関数計算結果!$C276,④結果出力!$C$14:$C$113,0)-1,0)</f>
        <v/>
      </c>
      <c r="E276" s="85" t="s">
        <v>33</v>
      </c>
      <c r="F276" s="86" t="str">
        <f ca="1">OFFSET(④結果出力!$D$14,MATCH(③各部被害関数計算結果!$C276,④結果出力!$C$14:$C$113,0)-1,8)</f>
        <v/>
      </c>
      <c r="G276" s="86" t="str">
        <f ca="1">OFFSET(④結果出力!$D$14,MATCH(③各部被害関数計算結果!$C276,④結果出力!$C$14:$C$113,0)-1,1)</f>
        <v/>
      </c>
      <c r="H276" s="92"/>
      <c r="I276" s="86" t="str">
        <f ca="1">OFFSET(④結果出力!$D$14,MATCH(③各部被害関数計算結果!$C276,④結果出力!$C$14:$C$113,0)-1,2)</f>
        <v/>
      </c>
      <c r="J276" s="92"/>
    </row>
    <row r="277" spans="1:10" x14ac:dyDescent="0.15">
      <c r="A277" s="58">
        <f>ROW()</f>
        <v>277</v>
      </c>
      <c r="B277" s="85" t="str">
        <f t="shared" ca="1" si="4"/>
        <v/>
      </c>
      <c r="C277" s="85" t="s">
        <v>304</v>
      </c>
      <c r="D277" s="85" t="str">
        <f ca="1">OFFSET(④結果出力!$D$14,MATCH(③各部被害関数計算結果!$C277,④結果出力!$C$14:$C$113,0)-1,0)</f>
        <v/>
      </c>
      <c r="E277" s="85" t="s">
        <v>118</v>
      </c>
      <c r="F277" s="86" t="str">
        <f ca="1">OFFSET(④結果出力!$D$14,MATCH(③各部被害関数計算結果!$C277,④結果出力!$C$14:$C$1133,0)-1,13)</f>
        <v/>
      </c>
      <c r="G277" s="86" t="str">
        <f ca="1">OFFSET(④結果出力!$D$14,MATCH(③各部被害関数計算結果!$C277,④結果出力!$C$14:$C$113,0)-1,1)</f>
        <v/>
      </c>
      <c r="H277" s="92"/>
      <c r="I277" s="86" t="str">
        <f ca="1">OFFSET(④結果出力!$D$14,MATCH(③各部被害関数計算結果!$C277,④結果出力!$C$14:$C$113,0)-1,2)</f>
        <v/>
      </c>
      <c r="J277" s="92"/>
    </row>
    <row r="278" spans="1:10" x14ac:dyDescent="0.15">
      <c r="A278" s="58">
        <f>ROW()</f>
        <v>278</v>
      </c>
      <c r="B278" s="85" t="str">
        <f t="shared" ca="1" si="4"/>
        <v/>
      </c>
      <c r="C278" s="85" t="s">
        <v>304</v>
      </c>
      <c r="D278" s="85" t="str">
        <f ca="1">OFFSET(④結果出力!$D$14,MATCH(③各部被害関数計算結果!$C278,④結果出力!$C$14:$C$113,0)-1,0)</f>
        <v/>
      </c>
      <c r="E278" s="85" t="s">
        <v>53</v>
      </c>
      <c r="F278" s="86" t="str">
        <f ca="1">OFFSET(④結果出力!$D$14,MATCH(③各部被害関数計算結果!$C278,④結果出力!$C$14:$C$113,0)-1,18)</f>
        <v/>
      </c>
      <c r="G278" s="86" t="str">
        <f ca="1">OFFSET(④結果出力!$D$14,MATCH(③各部被害関数計算結果!$C278,④結果出力!$C$14:$C$113,0)-1,1)</f>
        <v/>
      </c>
      <c r="H278" s="92"/>
      <c r="I278" s="86" t="str">
        <f ca="1">OFFSET(④結果出力!$D$14,MATCH(③各部被害関数計算結果!$C278,④結果出力!$C$14:$C$113,0)-1,2)</f>
        <v/>
      </c>
      <c r="J278" s="92"/>
    </row>
    <row r="279" spans="1:10" x14ac:dyDescent="0.15">
      <c r="A279" s="58">
        <f>ROW()</f>
        <v>279</v>
      </c>
      <c r="B279" s="85" t="str">
        <f t="shared" ca="1" si="4"/>
        <v/>
      </c>
      <c r="C279" s="85" t="s">
        <v>305</v>
      </c>
      <c r="D279" s="85" t="str">
        <f ca="1">OFFSET(④結果出力!$D$14,MATCH(③各部被害関数計算結果!$C279,④結果出力!$C$14:$C$113,0)-1,0)</f>
        <v/>
      </c>
      <c r="E279" s="85" t="s">
        <v>30</v>
      </c>
      <c r="F279" s="86" t="str">
        <f ca="1">OFFSET(④結果出力!$D$14,MATCH(③各部被害関数計算結果!$C279,④結果出力!$C$14:$C$113,0)-1,3)</f>
        <v/>
      </c>
      <c r="G279" s="86" t="str">
        <f ca="1">OFFSET(④結果出力!$D$14,MATCH(③各部被害関数計算結果!$C279,④結果出力!$C$14:$C$113,0)-1,1)</f>
        <v/>
      </c>
      <c r="H279" s="92"/>
      <c r="I279" s="86" t="str">
        <f ca="1">OFFSET(④結果出力!$D$14,MATCH(③各部被害関数計算結果!$C279,④結果出力!$C$14:$C$113,0)-1,2)</f>
        <v/>
      </c>
      <c r="J279" s="92"/>
    </row>
    <row r="280" spans="1:10" x14ac:dyDescent="0.15">
      <c r="A280" s="58">
        <f>ROW()</f>
        <v>280</v>
      </c>
      <c r="B280" s="85" t="str">
        <f t="shared" ca="1" si="4"/>
        <v/>
      </c>
      <c r="C280" s="85" t="s">
        <v>305</v>
      </c>
      <c r="D280" s="85" t="str">
        <f ca="1">OFFSET(④結果出力!$D$14,MATCH(③各部被害関数計算結果!$C280,④結果出力!$C$14:$C$113,0)-1,0)</f>
        <v/>
      </c>
      <c r="E280" s="85" t="s">
        <v>33</v>
      </c>
      <c r="F280" s="86" t="str">
        <f ca="1">OFFSET(④結果出力!$D$14,MATCH(③各部被害関数計算結果!$C280,④結果出力!$C$14:$C$113,0)-1,8)</f>
        <v/>
      </c>
      <c r="G280" s="86" t="str">
        <f ca="1">OFFSET(④結果出力!$D$14,MATCH(③各部被害関数計算結果!$C280,④結果出力!$C$14:$C$113,0)-1,1)</f>
        <v/>
      </c>
      <c r="H280" s="92"/>
      <c r="I280" s="86" t="str">
        <f ca="1">OFFSET(④結果出力!$D$14,MATCH(③各部被害関数計算結果!$C280,④結果出力!$C$14:$C$113,0)-1,2)</f>
        <v/>
      </c>
      <c r="J280" s="92"/>
    </row>
    <row r="281" spans="1:10" x14ac:dyDescent="0.15">
      <c r="A281" s="58">
        <f>ROW()</f>
        <v>281</v>
      </c>
      <c r="B281" s="85" t="str">
        <f t="shared" ca="1" si="4"/>
        <v/>
      </c>
      <c r="C281" s="85" t="s">
        <v>305</v>
      </c>
      <c r="D281" s="85" t="str">
        <f ca="1">OFFSET(④結果出力!$D$14,MATCH(③各部被害関数計算結果!$C281,④結果出力!$C$14:$C$113,0)-1,0)</f>
        <v/>
      </c>
      <c r="E281" s="85" t="s">
        <v>118</v>
      </c>
      <c r="F281" s="86" t="str">
        <f ca="1">OFFSET(④結果出力!$D$14,MATCH(③各部被害関数計算結果!$C281,④結果出力!$C$14:$C$1133,0)-1,13)</f>
        <v/>
      </c>
      <c r="G281" s="86" t="str">
        <f ca="1">OFFSET(④結果出力!$D$14,MATCH(③各部被害関数計算結果!$C281,④結果出力!$C$14:$C$113,0)-1,1)</f>
        <v/>
      </c>
      <c r="H281" s="92"/>
      <c r="I281" s="86" t="str">
        <f ca="1">OFFSET(④結果出力!$D$14,MATCH(③各部被害関数計算結果!$C281,④結果出力!$C$14:$C$113,0)-1,2)</f>
        <v/>
      </c>
      <c r="J281" s="92"/>
    </row>
    <row r="282" spans="1:10" x14ac:dyDescent="0.15">
      <c r="A282" s="58">
        <f>ROW()</f>
        <v>282</v>
      </c>
      <c r="B282" s="85" t="str">
        <f t="shared" ca="1" si="4"/>
        <v/>
      </c>
      <c r="C282" s="85" t="s">
        <v>305</v>
      </c>
      <c r="D282" s="85" t="str">
        <f ca="1">OFFSET(④結果出力!$D$14,MATCH(③各部被害関数計算結果!$C282,④結果出力!$C$14:$C$113,0)-1,0)</f>
        <v/>
      </c>
      <c r="E282" s="85" t="s">
        <v>53</v>
      </c>
      <c r="F282" s="86" t="str">
        <f ca="1">OFFSET(④結果出力!$D$14,MATCH(③各部被害関数計算結果!$C282,④結果出力!$C$14:$C$113,0)-1,18)</f>
        <v/>
      </c>
      <c r="G282" s="86" t="str">
        <f ca="1">OFFSET(④結果出力!$D$14,MATCH(③各部被害関数計算結果!$C282,④結果出力!$C$14:$C$113,0)-1,1)</f>
        <v/>
      </c>
      <c r="H282" s="92"/>
      <c r="I282" s="86" t="str">
        <f ca="1">OFFSET(④結果出力!$D$14,MATCH(③各部被害関数計算結果!$C282,④結果出力!$C$14:$C$113,0)-1,2)</f>
        <v/>
      </c>
      <c r="J282" s="92"/>
    </row>
    <row r="283" spans="1:10" x14ac:dyDescent="0.15">
      <c r="A283" s="58">
        <f>ROW()</f>
        <v>283</v>
      </c>
      <c r="B283" s="85" t="str">
        <f t="shared" ca="1" si="4"/>
        <v/>
      </c>
      <c r="C283" s="85" t="s">
        <v>306</v>
      </c>
      <c r="D283" s="85" t="str">
        <f ca="1">OFFSET(④結果出力!$D$14,MATCH(③各部被害関数計算結果!$C283,④結果出力!$C$14:$C$113,0)-1,0)</f>
        <v/>
      </c>
      <c r="E283" s="85" t="s">
        <v>30</v>
      </c>
      <c r="F283" s="86" t="str">
        <f ca="1">OFFSET(④結果出力!$D$14,MATCH(③各部被害関数計算結果!$C283,④結果出力!$C$14:$C$113,0)-1,3)</f>
        <v/>
      </c>
      <c r="G283" s="86" t="str">
        <f ca="1">OFFSET(④結果出力!$D$14,MATCH(③各部被害関数計算結果!$C283,④結果出力!$C$14:$C$113,0)-1,1)</f>
        <v/>
      </c>
      <c r="H283" s="92"/>
      <c r="I283" s="86" t="str">
        <f ca="1">OFFSET(④結果出力!$D$14,MATCH(③各部被害関数計算結果!$C283,④結果出力!$C$14:$C$113,0)-1,2)</f>
        <v/>
      </c>
      <c r="J283" s="92"/>
    </row>
    <row r="284" spans="1:10" x14ac:dyDescent="0.15">
      <c r="A284" s="58">
        <f>ROW()</f>
        <v>284</v>
      </c>
      <c r="B284" s="85" t="str">
        <f t="shared" ca="1" si="4"/>
        <v/>
      </c>
      <c r="C284" s="85" t="s">
        <v>306</v>
      </c>
      <c r="D284" s="85" t="str">
        <f ca="1">OFFSET(④結果出力!$D$14,MATCH(③各部被害関数計算結果!$C284,④結果出力!$C$14:$C$113,0)-1,0)</f>
        <v/>
      </c>
      <c r="E284" s="85" t="s">
        <v>33</v>
      </c>
      <c r="F284" s="86" t="str">
        <f ca="1">OFFSET(④結果出力!$D$14,MATCH(③各部被害関数計算結果!$C284,④結果出力!$C$14:$C$113,0)-1,8)</f>
        <v/>
      </c>
      <c r="G284" s="86" t="str">
        <f ca="1">OFFSET(④結果出力!$D$14,MATCH(③各部被害関数計算結果!$C284,④結果出力!$C$14:$C$113,0)-1,1)</f>
        <v/>
      </c>
      <c r="H284" s="92"/>
      <c r="I284" s="86" t="str">
        <f ca="1">OFFSET(④結果出力!$D$14,MATCH(③各部被害関数計算結果!$C284,④結果出力!$C$14:$C$113,0)-1,2)</f>
        <v/>
      </c>
      <c r="J284" s="92"/>
    </row>
    <row r="285" spans="1:10" x14ac:dyDescent="0.15">
      <c r="A285" s="58">
        <f>ROW()</f>
        <v>285</v>
      </c>
      <c r="B285" s="85" t="str">
        <f t="shared" ca="1" si="4"/>
        <v/>
      </c>
      <c r="C285" s="85" t="s">
        <v>306</v>
      </c>
      <c r="D285" s="85" t="str">
        <f ca="1">OFFSET(④結果出力!$D$14,MATCH(③各部被害関数計算結果!$C285,④結果出力!$C$14:$C$113,0)-1,0)</f>
        <v/>
      </c>
      <c r="E285" s="85" t="s">
        <v>118</v>
      </c>
      <c r="F285" s="86" t="str">
        <f ca="1">OFFSET(④結果出力!$D$14,MATCH(③各部被害関数計算結果!$C285,④結果出力!$C$14:$C$1133,0)-1,13)</f>
        <v/>
      </c>
      <c r="G285" s="86" t="str">
        <f ca="1">OFFSET(④結果出力!$D$14,MATCH(③各部被害関数計算結果!$C285,④結果出力!$C$14:$C$113,0)-1,1)</f>
        <v/>
      </c>
      <c r="H285" s="92"/>
      <c r="I285" s="86" t="str">
        <f ca="1">OFFSET(④結果出力!$D$14,MATCH(③各部被害関数計算結果!$C285,④結果出力!$C$14:$C$113,0)-1,2)</f>
        <v/>
      </c>
      <c r="J285" s="92"/>
    </row>
    <row r="286" spans="1:10" x14ac:dyDescent="0.15">
      <c r="A286" s="58">
        <f>ROW()</f>
        <v>286</v>
      </c>
      <c r="B286" s="85" t="str">
        <f t="shared" ca="1" si="4"/>
        <v/>
      </c>
      <c r="C286" s="85" t="s">
        <v>306</v>
      </c>
      <c r="D286" s="85" t="str">
        <f ca="1">OFFSET(④結果出力!$D$14,MATCH(③各部被害関数計算結果!$C286,④結果出力!$C$14:$C$113,0)-1,0)</f>
        <v/>
      </c>
      <c r="E286" s="85" t="s">
        <v>53</v>
      </c>
      <c r="F286" s="86" t="str">
        <f ca="1">OFFSET(④結果出力!$D$14,MATCH(③各部被害関数計算結果!$C286,④結果出力!$C$14:$C$113,0)-1,18)</f>
        <v/>
      </c>
      <c r="G286" s="86" t="str">
        <f ca="1">OFFSET(④結果出力!$D$14,MATCH(③各部被害関数計算結果!$C286,④結果出力!$C$14:$C$113,0)-1,1)</f>
        <v/>
      </c>
      <c r="H286" s="92"/>
      <c r="I286" s="86" t="str">
        <f ca="1">OFFSET(④結果出力!$D$14,MATCH(③各部被害関数計算結果!$C286,④結果出力!$C$14:$C$113,0)-1,2)</f>
        <v/>
      </c>
      <c r="J286" s="92"/>
    </row>
    <row r="287" spans="1:10" x14ac:dyDescent="0.15">
      <c r="A287" s="58">
        <f>ROW()</f>
        <v>287</v>
      </c>
      <c r="B287" s="85" t="str">
        <f t="shared" ca="1" si="4"/>
        <v/>
      </c>
      <c r="C287" s="85" t="s">
        <v>307</v>
      </c>
      <c r="D287" s="85" t="str">
        <f ca="1">OFFSET(④結果出力!$D$14,MATCH(③各部被害関数計算結果!$C287,④結果出力!$C$14:$C$113,0)-1,0)</f>
        <v/>
      </c>
      <c r="E287" s="85" t="s">
        <v>30</v>
      </c>
      <c r="F287" s="86" t="str">
        <f ca="1">OFFSET(④結果出力!$D$14,MATCH(③各部被害関数計算結果!$C287,④結果出力!$C$14:$C$113,0)-1,3)</f>
        <v/>
      </c>
      <c r="G287" s="86" t="str">
        <f ca="1">OFFSET(④結果出力!$D$14,MATCH(③各部被害関数計算結果!$C287,④結果出力!$C$14:$C$113,0)-1,1)</f>
        <v/>
      </c>
      <c r="H287" s="92"/>
      <c r="I287" s="86" t="str">
        <f ca="1">OFFSET(④結果出力!$D$14,MATCH(③各部被害関数計算結果!$C287,④結果出力!$C$14:$C$113,0)-1,2)</f>
        <v/>
      </c>
      <c r="J287" s="92"/>
    </row>
    <row r="288" spans="1:10" x14ac:dyDescent="0.15">
      <c r="A288" s="58">
        <f>ROW()</f>
        <v>288</v>
      </c>
      <c r="B288" s="85" t="str">
        <f t="shared" ca="1" si="4"/>
        <v/>
      </c>
      <c r="C288" s="85" t="s">
        <v>307</v>
      </c>
      <c r="D288" s="85" t="str">
        <f ca="1">OFFSET(④結果出力!$D$14,MATCH(③各部被害関数計算結果!$C288,④結果出力!$C$14:$C$113,0)-1,0)</f>
        <v/>
      </c>
      <c r="E288" s="85" t="s">
        <v>33</v>
      </c>
      <c r="F288" s="86" t="str">
        <f ca="1">OFFSET(④結果出力!$D$14,MATCH(③各部被害関数計算結果!$C288,④結果出力!$C$14:$C$113,0)-1,8)</f>
        <v/>
      </c>
      <c r="G288" s="86" t="str">
        <f ca="1">OFFSET(④結果出力!$D$14,MATCH(③各部被害関数計算結果!$C288,④結果出力!$C$14:$C$113,0)-1,1)</f>
        <v/>
      </c>
      <c r="H288" s="92"/>
      <c r="I288" s="86" t="str">
        <f ca="1">OFFSET(④結果出力!$D$14,MATCH(③各部被害関数計算結果!$C288,④結果出力!$C$14:$C$113,0)-1,2)</f>
        <v/>
      </c>
      <c r="J288" s="92"/>
    </row>
    <row r="289" spans="1:10" x14ac:dyDescent="0.15">
      <c r="A289" s="58">
        <f>ROW()</f>
        <v>289</v>
      </c>
      <c r="B289" s="85" t="str">
        <f t="shared" ca="1" si="4"/>
        <v/>
      </c>
      <c r="C289" s="85" t="s">
        <v>307</v>
      </c>
      <c r="D289" s="85" t="str">
        <f ca="1">OFFSET(④結果出力!$D$14,MATCH(③各部被害関数計算結果!$C289,④結果出力!$C$14:$C$113,0)-1,0)</f>
        <v/>
      </c>
      <c r="E289" s="85" t="s">
        <v>118</v>
      </c>
      <c r="F289" s="86" t="str">
        <f ca="1">OFFSET(④結果出力!$D$14,MATCH(③各部被害関数計算結果!$C289,④結果出力!$C$14:$C$1133,0)-1,13)</f>
        <v/>
      </c>
      <c r="G289" s="86" t="str">
        <f ca="1">OFFSET(④結果出力!$D$14,MATCH(③各部被害関数計算結果!$C289,④結果出力!$C$14:$C$113,0)-1,1)</f>
        <v/>
      </c>
      <c r="H289" s="92"/>
      <c r="I289" s="86" t="str">
        <f ca="1">OFFSET(④結果出力!$D$14,MATCH(③各部被害関数計算結果!$C289,④結果出力!$C$14:$C$113,0)-1,2)</f>
        <v/>
      </c>
      <c r="J289" s="92"/>
    </row>
    <row r="290" spans="1:10" x14ac:dyDescent="0.15">
      <c r="A290" s="58">
        <f>ROW()</f>
        <v>290</v>
      </c>
      <c r="B290" s="85" t="str">
        <f t="shared" ca="1" si="4"/>
        <v/>
      </c>
      <c r="C290" s="85" t="s">
        <v>307</v>
      </c>
      <c r="D290" s="85" t="str">
        <f ca="1">OFFSET(④結果出力!$D$14,MATCH(③各部被害関数計算結果!$C290,④結果出力!$C$14:$C$113,0)-1,0)</f>
        <v/>
      </c>
      <c r="E290" s="85" t="s">
        <v>53</v>
      </c>
      <c r="F290" s="86" t="str">
        <f ca="1">OFFSET(④結果出力!$D$14,MATCH(③各部被害関数計算結果!$C290,④結果出力!$C$14:$C$113,0)-1,18)</f>
        <v/>
      </c>
      <c r="G290" s="86" t="str">
        <f ca="1">OFFSET(④結果出力!$D$14,MATCH(③各部被害関数計算結果!$C290,④結果出力!$C$14:$C$113,0)-1,1)</f>
        <v/>
      </c>
      <c r="H290" s="92"/>
      <c r="I290" s="86" t="str">
        <f ca="1">OFFSET(④結果出力!$D$14,MATCH(③各部被害関数計算結果!$C290,④結果出力!$C$14:$C$113,0)-1,2)</f>
        <v/>
      </c>
      <c r="J290" s="92"/>
    </row>
    <row r="291" spans="1:10" x14ac:dyDescent="0.15">
      <c r="A291" s="58">
        <f>ROW()</f>
        <v>291</v>
      </c>
      <c r="B291" s="85" t="str">
        <f t="shared" ca="1" si="4"/>
        <v/>
      </c>
      <c r="C291" s="85" t="s">
        <v>308</v>
      </c>
      <c r="D291" s="85" t="str">
        <f ca="1">OFFSET(④結果出力!$D$14,MATCH(③各部被害関数計算結果!$C291,④結果出力!$C$14:$C$113,0)-1,0)</f>
        <v/>
      </c>
      <c r="E291" s="85" t="s">
        <v>30</v>
      </c>
      <c r="F291" s="86" t="str">
        <f ca="1">OFFSET(④結果出力!$D$14,MATCH(③各部被害関数計算結果!$C291,④結果出力!$C$14:$C$113,0)-1,3)</f>
        <v/>
      </c>
      <c r="G291" s="86" t="str">
        <f ca="1">OFFSET(④結果出力!$D$14,MATCH(③各部被害関数計算結果!$C291,④結果出力!$C$14:$C$113,0)-1,1)</f>
        <v/>
      </c>
      <c r="H291" s="92"/>
      <c r="I291" s="86" t="str">
        <f ca="1">OFFSET(④結果出力!$D$14,MATCH(③各部被害関数計算結果!$C291,④結果出力!$C$14:$C$113,0)-1,2)</f>
        <v/>
      </c>
      <c r="J291" s="92"/>
    </row>
    <row r="292" spans="1:10" x14ac:dyDescent="0.15">
      <c r="A292" s="58">
        <f>ROW()</f>
        <v>292</v>
      </c>
      <c r="B292" s="85" t="str">
        <f t="shared" ca="1" si="4"/>
        <v/>
      </c>
      <c r="C292" s="85" t="s">
        <v>308</v>
      </c>
      <c r="D292" s="85" t="str">
        <f ca="1">OFFSET(④結果出力!$D$14,MATCH(③各部被害関数計算結果!$C292,④結果出力!$C$14:$C$113,0)-1,0)</f>
        <v/>
      </c>
      <c r="E292" s="85" t="s">
        <v>33</v>
      </c>
      <c r="F292" s="86" t="str">
        <f ca="1">OFFSET(④結果出力!$D$14,MATCH(③各部被害関数計算結果!$C292,④結果出力!$C$14:$C$113,0)-1,8)</f>
        <v/>
      </c>
      <c r="G292" s="86" t="str">
        <f ca="1">OFFSET(④結果出力!$D$14,MATCH(③各部被害関数計算結果!$C292,④結果出力!$C$14:$C$113,0)-1,1)</f>
        <v/>
      </c>
      <c r="H292" s="92"/>
      <c r="I292" s="86" t="str">
        <f ca="1">OFFSET(④結果出力!$D$14,MATCH(③各部被害関数計算結果!$C292,④結果出力!$C$14:$C$113,0)-1,2)</f>
        <v/>
      </c>
      <c r="J292" s="92"/>
    </row>
    <row r="293" spans="1:10" x14ac:dyDescent="0.15">
      <c r="A293" s="58">
        <f>ROW()</f>
        <v>293</v>
      </c>
      <c r="B293" s="85" t="str">
        <f t="shared" ca="1" si="4"/>
        <v/>
      </c>
      <c r="C293" s="85" t="s">
        <v>308</v>
      </c>
      <c r="D293" s="85" t="str">
        <f ca="1">OFFSET(④結果出力!$D$14,MATCH(③各部被害関数計算結果!$C293,④結果出力!$C$14:$C$113,0)-1,0)</f>
        <v/>
      </c>
      <c r="E293" s="85" t="s">
        <v>118</v>
      </c>
      <c r="F293" s="86" t="str">
        <f ca="1">OFFSET(④結果出力!$D$14,MATCH(③各部被害関数計算結果!$C293,④結果出力!$C$14:$C$1133,0)-1,13)</f>
        <v/>
      </c>
      <c r="G293" s="86" t="str">
        <f ca="1">OFFSET(④結果出力!$D$14,MATCH(③各部被害関数計算結果!$C293,④結果出力!$C$14:$C$113,0)-1,1)</f>
        <v/>
      </c>
      <c r="H293" s="92"/>
      <c r="I293" s="86" t="str">
        <f ca="1">OFFSET(④結果出力!$D$14,MATCH(③各部被害関数計算結果!$C293,④結果出力!$C$14:$C$113,0)-1,2)</f>
        <v/>
      </c>
      <c r="J293" s="92"/>
    </row>
    <row r="294" spans="1:10" x14ac:dyDescent="0.15">
      <c r="A294" s="58">
        <f>ROW()</f>
        <v>294</v>
      </c>
      <c r="B294" s="85" t="str">
        <f t="shared" ca="1" si="4"/>
        <v/>
      </c>
      <c r="C294" s="85" t="s">
        <v>308</v>
      </c>
      <c r="D294" s="85" t="str">
        <f ca="1">OFFSET(④結果出力!$D$14,MATCH(③各部被害関数計算結果!$C294,④結果出力!$C$14:$C$113,0)-1,0)</f>
        <v/>
      </c>
      <c r="E294" s="85" t="s">
        <v>53</v>
      </c>
      <c r="F294" s="86" t="str">
        <f ca="1">OFFSET(④結果出力!$D$14,MATCH(③各部被害関数計算結果!$C294,④結果出力!$C$14:$C$113,0)-1,18)</f>
        <v/>
      </c>
      <c r="G294" s="86" t="str">
        <f ca="1">OFFSET(④結果出力!$D$14,MATCH(③各部被害関数計算結果!$C294,④結果出力!$C$14:$C$113,0)-1,1)</f>
        <v/>
      </c>
      <c r="H294" s="92"/>
      <c r="I294" s="86" t="str">
        <f ca="1">OFFSET(④結果出力!$D$14,MATCH(③各部被害関数計算結果!$C294,④結果出力!$C$14:$C$113,0)-1,2)</f>
        <v/>
      </c>
      <c r="J294" s="92"/>
    </row>
    <row r="295" spans="1:10" x14ac:dyDescent="0.15">
      <c r="A295" s="58">
        <f>ROW()</f>
        <v>295</v>
      </c>
      <c r="B295" s="85" t="str">
        <f t="shared" ca="1" si="4"/>
        <v/>
      </c>
      <c r="C295" s="85" t="s">
        <v>309</v>
      </c>
      <c r="D295" s="85" t="str">
        <f ca="1">OFFSET(④結果出力!$D$14,MATCH(③各部被害関数計算結果!$C295,④結果出力!$C$14:$C$113,0)-1,0)</f>
        <v/>
      </c>
      <c r="E295" s="85" t="s">
        <v>30</v>
      </c>
      <c r="F295" s="86" t="str">
        <f ca="1">OFFSET(④結果出力!$D$14,MATCH(③各部被害関数計算結果!$C295,④結果出力!$C$14:$C$113,0)-1,3)</f>
        <v/>
      </c>
      <c r="G295" s="86" t="str">
        <f ca="1">OFFSET(④結果出力!$D$14,MATCH(③各部被害関数計算結果!$C295,④結果出力!$C$14:$C$113,0)-1,1)</f>
        <v/>
      </c>
      <c r="H295" s="92"/>
      <c r="I295" s="86" t="str">
        <f ca="1">OFFSET(④結果出力!$D$14,MATCH(③各部被害関数計算結果!$C295,④結果出力!$C$14:$C$113,0)-1,2)</f>
        <v/>
      </c>
      <c r="J295" s="92"/>
    </row>
    <row r="296" spans="1:10" x14ac:dyDescent="0.15">
      <c r="A296" s="58">
        <f>ROW()</f>
        <v>296</v>
      </c>
      <c r="B296" s="85" t="str">
        <f t="shared" ca="1" si="4"/>
        <v/>
      </c>
      <c r="C296" s="85" t="s">
        <v>309</v>
      </c>
      <c r="D296" s="85" t="str">
        <f ca="1">OFFSET(④結果出力!$D$14,MATCH(③各部被害関数計算結果!$C296,④結果出力!$C$14:$C$113,0)-1,0)</f>
        <v/>
      </c>
      <c r="E296" s="85" t="s">
        <v>33</v>
      </c>
      <c r="F296" s="86" t="str">
        <f ca="1">OFFSET(④結果出力!$D$14,MATCH(③各部被害関数計算結果!$C296,④結果出力!$C$14:$C$113,0)-1,8)</f>
        <v/>
      </c>
      <c r="G296" s="86" t="str">
        <f ca="1">OFFSET(④結果出力!$D$14,MATCH(③各部被害関数計算結果!$C296,④結果出力!$C$14:$C$113,0)-1,1)</f>
        <v/>
      </c>
      <c r="H296" s="92"/>
      <c r="I296" s="86" t="str">
        <f ca="1">OFFSET(④結果出力!$D$14,MATCH(③各部被害関数計算結果!$C296,④結果出力!$C$14:$C$113,0)-1,2)</f>
        <v/>
      </c>
      <c r="J296" s="92"/>
    </row>
    <row r="297" spans="1:10" x14ac:dyDescent="0.15">
      <c r="A297" s="58">
        <f>ROW()</f>
        <v>297</v>
      </c>
      <c r="B297" s="85" t="str">
        <f t="shared" ca="1" si="4"/>
        <v/>
      </c>
      <c r="C297" s="85" t="s">
        <v>309</v>
      </c>
      <c r="D297" s="85" t="str">
        <f ca="1">OFFSET(④結果出力!$D$14,MATCH(③各部被害関数計算結果!$C297,④結果出力!$C$14:$C$113,0)-1,0)</f>
        <v/>
      </c>
      <c r="E297" s="85" t="s">
        <v>118</v>
      </c>
      <c r="F297" s="86" t="str">
        <f ca="1">OFFSET(④結果出力!$D$14,MATCH(③各部被害関数計算結果!$C297,④結果出力!$C$14:$C$1133,0)-1,13)</f>
        <v/>
      </c>
      <c r="G297" s="86" t="str">
        <f ca="1">OFFSET(④結果出力!$D$14,MATCH(③各部被害関数計算結果!$C297,④結果出力!$C$14:$C$113,0)-1,1)</f>
        <v/>
      </c>
      <c r="H297" s="92"/>
      <c r="I297" s="86" t="str">
        <f ca="1">OFFSET(④結果出力!$D$14,MATCH(③各部被害関数計算結果!$C297,④結果出力!$C$14:$C$113,0)-1,2)</f>
        <v/>
      </c>
      <c r="J297" s="92"/>
    </row>
    <row r="298" spans="1:10" x14ac:dyDescent="0.15">
      <c r="A298" s="58">
        <f>ROW()</f>
        <v>298</v>
      </c>
      <c r="B298" s="85" t="str">
        <f t="shared" ca="1" si="4"/>
        <v/>
      </c>
      <c r="C298" s="85" t="s">
        <v>309</v>
      </c>
      <c r="D298" s="85" t="str">
        <f ca="1">OFFSET(④結果出力!$D$14,MATCH(③各部被害関数計算結果!$C298,④結果出力!$C$14:$C$113,0)-1,0)</f>
        <v/>
      </c>
      <c r="E298" s="85" t="s">
        <v>53</v>
      </c>
      <c r="F298" s="86" t="str">
        <f ca="1">OFFSET(④結果出力!$D$14,MATCH(③各部被害関数計算結果!$C298,④結果出力!$C$14:$C$113,0)-1,18)</f>
        <v/>
      </c>
      <c r="G298" s="86" t="str">
        <f ca="1">OFFSET(④結果出力!$D$14,MATCH(③各部被害関数計算結果!$C298,④結果出力!$C$14:$C$113,0)-1,1)</f>
        <v/>
      </c>
      <c r="H298" s="92"/>
      <c r="I298" s="86" t="str">
        <f ca="1">OFFSET(④結果出力!$D$14,MATCH(③各部被害関数計算結果!$C298,④結果出力!$C$14:$C$113,0)-1,2)</f>
        <v/>
      </c>
      <c r="J298" s="92"/>
    </row>
    <row r="299" spans="1:10" x14ac:dyDescent="0.15">
      <c r="A299" s="58">
        <f>ROW()</f>
        <v>299</v>
      </c>
      <c r="B299" s="85" t="str">
        <f t="shared" ca="1" si="4"/>
        <v/>
      </c>
      <c r="C299" s="85" t="s">
        <v>310</v>
      </c>
      <c r="D299" s="85" t="str">
        <f ca="1">OFFSET(④結果出力!$D$14,MATCH(③各部被害関数計算結果!$C299,④結果出力!$C$14:$C$113,0)-1,0)</f>
        <v/>
      </c>
      <c r="E299" s="85" t="s">
        <v>30</v>
      </c>
      <c r="F299" s="86" t="str">
        <f ca="1">OFFSET(④結果出力!$D$14,MATCH(③各部被害関数計算結果!$C299,④結果出力!$C$14:$C$113,0)-1,3)</f>
        <v/>
      </c>
      <c r="G299" s="86" t="str">
        <f ca="1">OFFSET(④結果出力!$D$14,MATCH(③各部被害関数計算結果!$C299,④結果出力!$C$14:$C$113,0)-1,1)</f>
        <v/>
      </c>
      <c r="H299" s="92"/>
      <c r="I299" s="86" t="str">
        <f ca="1">OFFSET(④結果出力!$D$14,MATCH(③各部被害関数計算結果!$C299,④結果出力!$C$14:$C$113,0)-1,2)</f>
        <v/>
      </c>
      <c r="J299" s="92"/>
    </row>
    <row r="300" spans="1:10" x14ac:dyDescent="0.15">
      <c r="A300" s="58">
        <f>ROW()</f>
        <v>300</v>
      </c>
      <c r="B300" s="85" t="str">
        <f t="shared" ca="1" si="4"/>
        <v/>
      </c>
      <c r="C300" s="85" t="s">
        <v>310</v>
      </c>
      <c r="D300" s="85" t="str">
        <f ca="1">OFFSET(④結果出力!$D$14,MATCH(③各部被害関数計算結果!$C300,④結果出力!$C$14:$C$113,0)-1,0)</f>
        <v/>
      </c>
      <c r="E300" s="85" t="s">
        <v>33</v>
      </c>
      <c r="F300" s="86" t="str">
        <f ca="1">OFFSET(④結果出力!$D$14,MATCH(③各部被害関数計算結果!$C300,④結果出力!$C$14:$C$113,0)-1,8)</f>
        <v/>
      </c>
      <c r="G300" s="86" t="str">
        <f ca="1">OFFSET(④結果出力!$D$14,MATCH(③各部被害関数計算結果!$C300,④結果出力!$C$14:$C$113,0)-1,1)</f>
        <v/>
      </c>
      <c r="H300" s="92"/>
      <c r="I300" s="86" t="str">
        <f ca="1">OFFSET(④結果出力!$D$14,MATCH(③各部被害関数計算結果!$C300,④結果出力!$C$14:$C$113,0)-1,2)</f>
        <v/>
      </c>
      <c r="J300" s="92"/>
    </row>
    <row r="301" spans="1:10" x14ac:dyDescent="0.15">
      <c r="A301" s="58">
        <f>ROW()</f>
        <v>301</v>
      </c>
      <c r="B301" s="85" t="str">
        <f t="shared" ca="1" si="4"/>
        <v/>
      </c>
      <c r="C301" s="85" t="s">
        <v>310</v>
      </c>
      <c r="D301" s="85" t="str">
        <f ca="1">OFFSET(④結果出力!$D$14,MATCH(③各部被害関数計算結果!$C301,④結果出力!$C$14:$C$113,0)-1,0)</f>
        <v/>
      </c>
      <c r="E301" s="85" t="s">
        <v>118</v>
      </c>
      <c r="F301" s="86" t="str">
        <f ca="1">OFFSET(④結果出力!$D$14,MATCH(③各部被害関数計算結果!$C301,④結果出力!$C$14:$C$1133,0)-1,13)</f>
        <v/>
      </c>
      <c r="G301" s="86" t="str">
        <f ca="1">OFFSET(④結果出力!$D$14,MATCH(③各部被害関数計算結果!$C301,④結果出力!$C$14:$C$113,0)-1,1)</f>
        <v/>
      </c>
      <c r="H301" s="92"/>
      <c r="I301" s="86" t="str">
        <f ca="1">OFFSET(④結果出力!$D$14,MATCH(③各部被害関数計算結果!$C301,④結果出力!$C$14:$C$113,0)-1,2)</f>
        <v/>
      </c>
      <c r="J301" s="92"/>
    </row>
    <row r="302" spans="1:10" x14ac:dyDescent="0.15">
      <c r="A302" s="58">
        <f>ROW()</f>
        <v>302</v>
      </c>
      <c r="B302" s="85" t="str">
        <f t="shared" ca="1" si="4"/>
        <v/>
      </c>
      <c r="C302" s="85" t="s">
        <v>310</v>
      </c>
      <c r="D302" s="85" t="str">
        <f ca="1">OFFSET(④結果出力!$D$14,MATCH(③各部被害関数計算結果!$C302,④結果出力!$C$14:$C$113,0)-1,0)</f>
        <v/>
      </c>
      <c r="E302" s="85" t="s">
        <v>53</v>
      </c>
      <c r="F302" s="86" t="str">
        <f ca="1">OFFSET(④結果出力!$D$14,MATCH(③各部被害関数計算結果!$C302,④結果出力!$C$14:$C$113,0)-1,18)</f>
        <v/>
      </c>
      <c r="G302" s="86" t="str">
        <f ca="1">OFFSET(④結果出力!$D$14,MATCH(③各部被害関数計算結果!$C302,④結果出力!$C$14:$C$113,0)-1,1)</f>
        <v/>
      </c>
      <c r="H302" s="92"/>
      <c r="I302" s="86" t="str">
        <f ca="1">OFFSET(④結果出力!$D$14,MATCH(③各部被害関数計算結果!$C302,④結果出力!$C$14:$C$113,0)-1,2)</f>
        <v/>
      </c>
      <c r="J302" s="92"/>
    </row>
    <row r="303" spans="1:10" x14ac:dyDescent="0.15">
      <c r="A303" s="58">
        <f>ROW()</f>
        <v>303</v>
      </c>
      <c r="B303" s="85" t="str">
        <f t="shared" ca="1" si="4"/>
        <v/>
      </c>
      <c r="C303" s="85" t="s">
        <v>311</v>
      </c>
      <c r="D303" s="85" t="str">
        <f ca="1">OFFSET(④結果出力!$D$14,MATCH(③各部被害関数計算結果!$C303,④結果出力!$C$14:$C$113,0)-1,0)</f>
        <v/>
      </c>
      <c r="E303" s="85" t="s">
        <v>30</v>
      </c>
      <c r="F303" s="86" t="str">
        <f ca="1">OFFSET(④結果出力!$D$14,MATCH(③各部被害関数計算結果!$C303,④結果出力!$C$14:$C$113,0)-1,3)</f>
        <v/>
      </c>
      <c r="G303" s="86" t="str">
        <f ca="1">OFFSET(④結果出力!$D$14,MATCH(③各部被害関数計算結果!$C303,④結果出力!$C$14:$C$113,0)-1,1)</f>
        <v/>
      </c>
      <c r="H303" s="92"/>
      <c r="I303" s="86" t="str">
        <f ca="1">OFFSET(④結果出力!$D$14,MATCH(③各部被害関数計算結果!$C303,④結果出力!$C$14:$C$113,0)-1,2)</f>
        <v/>
      </c>
      <c r="J303" s="92"/>
    </row>
    <row r="304" spans="1:10" x14ac:dyDescent="0.15">
      <c r="A304" s="58">
        <f>ROW()</f>
        <v>304</v>
      </c>
      <c r="B304" s="85" t="str">
        <f t="shared" ca="1" si="4"/>
        <v/>
      </c>
      <c r="C304" s="85" t="s">
        <v>311</v>
      </c>
      <c r="D304" s="85" t="str">
        <f ca="1">OFFSET(④結果出力!$D$14,MATCH(③各部被害関数計算結果!$C304,④結果出力!$C$14:$C$113,0)-1,0)</f>
        <v/>
      </c>
      <c r="E304" s="85" t="s">
        <v>33</v>
      </c>
      <c r="F304" s="86" t="str">
        <f ca="1">OFFSET(④結果出力!$D$14,MATCH(③各部被害関数計算結果!$C304,④結果出力!$C$14:$C$113,0)-1,8)</f>
        <v/>
      </c>
      <c r="G304" s="86" t="str">
        <f ca="1">OFFSET(④結果出力!$D$14,MATCH(③各部被害関数計算結果!$C304,④結果出力!$C$14:$C$113,0)-1,1)</f>
        <v/>
      </c>
      <c r="H304" s="92"/>
      <c r="I304" s="86" t="str">
        <f ca="1">OFFSET(④結果出力!$D$14,MATCH(③各部被害関数計算結果!$C304,④結果出力!$C$14:$C$113,0)-1,2)</f>
        <v/>
      </c>
      <c r="J304" s="92"/>
    </row>
    <row r="305" spans="1:10" x14ac:dyDescent="0.15">
      <c r="A305" s="58">
        <f>ROW()</f>
        <v>305</v>
      </c>
      <c r="B305" s="85" t="str">
        <f t="shared" ca="1" si="4"/>
        <v/>
      </c>
      <c r="C305" s="85" t="s">
        <v>311</v>
      </c>
      <c r="D305" s="85" t="str">
        <f ca="1">OFFSET(④結果出力!$D$14,MATCH(③各部被害関数計算結果!$C305,④結果出力!$C$14:$C$113,0)-1,0)</f>
        <v/>
      </c>
      <c r="E305" s="85" t="s">
        <v>118</v>
      </c>
      <c r="F305" s="86" t="str">
        <f ca="1">OFFSET(④結果出力!$D$14,MATCH(③各部被害関数計算結果!$C305,④結果出力!$C$14:$C$1133,0)-1,13)</f>
        <v/>
      </c>
      <c r="G305" s="86" t="str">
        <f ca="1">OFFSET(④結果出力!$D$14,MATCH(③各部被害関数計算結果!$C305,④結果出力!$C$14:$C$113,0)-1,1)</f>
        <v/>
      </c>
      <c r="H305" s="92"/>
      <c r="I305" s="86" t="str">
        <f ca="1">OFFSET(④結果出力!$D$14,MATCH(③各部被害関数計算結果!$C305,④結果出力!$C$14:$C$113,0)-1,2)</f>
        <v/>
      </c>
      <c r="J305" s="92"/>
    </row>
    <row r="306" spans="1:10" x14ac:dyDescent="0.15">
      <c r="A306" s="58">
        <f>ROW()</f>
        <v>306</v>
      </c>
      <c r="B306" s="85" t="str">
        <f t="shared" ca="1" si="4"/>
        <v/>
      </c>
      <c r="C306" s="85" t="s">
        <v>311</v>
      </c>
      <c r="D306" s="85" t="str">
        <f ca="1">OFFSET(④結果出力!$D$14,MATCH(③各部被害関数計算結果!$C306,④結果出力!$C$14:$C$113,0)-1,0)</f>
        <v/>
      </c>
      <c r="E306" s="85" t="s">
        <v>53</v>
      </c>
      <c r="F306" s="86" t="str">
        <f ca="1">OFFSET(④結果出力!$D$14,MATCH(③各部被害関数計算結果!$C306,④結果出力!$C$14:$C$113,0)-1,18)</f>
        <v/>
      </c>
      <c r="G306" s="86" t="str">
        <f ca="1">OFFSET(④結果出力!$D$14,MATCH(③各部被害関数計算結果!$C306,④結果出力!$C$14:$C$113,0)-1,1)</f>
        <v/>
      </c>
      <c r="H306" s="92"/>
      <c r="I306" s="86" t="str">
        <f ca="1">OFFSET(④結果出力!$D$14,MATCH(③各部被害関数計算結果!$C306,④結果出力!$C$14:$C$113,0)-1,2)</f>
        <v/>
      </c>
      <c r="J306" s="92"/>
    </row>
    <row r="307" spans="1:10" x14ac:dyDescent="0.15">
      <c r="A307" s="58">
        <f>ROW()</f>
        <v>307</v>
      </c>
      <c r="B307" s="85" t="str">
        <f t="shared" ca="1" si="4"/>
        <v/>
      </c>
      <c r="C307" s="85" t="s">
        <v>312</v>
      </c>
      <c r="D307" s="85" t="str">
        <f ca="1">OFFSET(④結果出力!$D$14,MATCH(③各部被害関数計算結果!$C307,④結果出力!$C$14:$C$113,0)-1,0)</f>
        <v/>
      </c>
      <c r="E307" s="85" t="s">
        <v>30</v>
      </c>
      <c r="F307" s="86" t="str">
        <f ca="1">OFFSET(④結果出力!$D$14,MATCH(③各部被害関数計算結果!$C307,④結果出力!$C$14:$C$113,0)-1,3)</f>
        <v/>
      </c>
      <c r="G307" s="86" t="str">
        <f ca="1">OFFSET(④結果出力!$D$14,MATCH(③各部被害関数計算結果!$C307,④結果出力!$C$14:$C$113,0)-1,1)</f>
        <v/>
      </c>
      <c r="H307" s="92"/>
      <c r="I307" s="86" t="str">
        <f ca="1">OFFSET(④結果出力!$D$14,MATCH(③各部被害関数計算結果!$C307,④結果出力!$C$14:$C$113,0)-1,2)</f>
        <v/>
      </c>
      <c r="J307" s="92"/>
    </row>
    <row r="308" spans="1:10" x14ac:dyDescent="0.15">
      <c r="A308" s="58">
        <f>ROW()</f>
        <v>308</v>
      </c>
      <c r="B308" s="85" t="str">
        <f t="shared" ca="1" si="4"/>
        <v/>
      </c>
      <c r="C308" s="85" t="s">
        <v>312</v>
      </c>
      <c r="D308" s="85" t="str">
        <f ca="1">OFFSET(④結果出力!$D$14,MATCH(③各部被害関数計算結果!$C308,④結果出力!$C$14:$C$113,0)-1,0)</f>
        <v/>
      </c>
      <c r="E308" s="85" t="s">
        <v>33</v>
      </c>
      <c r="F308" s="86" t="str">
        <f ca="1">OFFSET(④結果出力!$D$14,MATCH(③各部被害関数計算結果!$C308,④結果出力!$C$14:$C$113,0)-1,8)</f>
        <v/>
      </c>
      <c r="G308" s="86" t="str">
        <f ca="1">OFFSET(④結果出力!$D$14,MATCH(③各部被害関数計算結果!$C308,④結果出力!$C$14:$C$113,0)-1,1)</f>
        <v/>
      </c>
      <c r="H308" s="92"/>
      <c r="I308" s="86" t="str">
        <f ca="1">OFFSET(④結果出力!$D$14,MATCH(③各部被害関数計算結果!$C308,④結果出力!$C$14:$C$113,0)-1,2)</f>
        <v/>
      </c>
      <c r="J308" s="92"/>
    </row>
    <row r="309" spans="1:10" x14ac:dyDescent="0.15">
      <c r="A309" s="58">
        <f>ROW()</f>
        <v>309</v>
      </c>
      <c r="B309" s="85" t="str">
        <f t="shared" ca="1" si="4"/>
        <v/>
      </c>
      <c r="C309" s="85" t="s">
        <v>312</v>
      </c>
      <c r="D309" s="85" t="str">
        <f ca="1">OFFSET(④結果出力!$D$14,MATCH(③各部被害関数計算結果!$C309,④結果出力!$C$14:$C$113,0)-1,0)</f>
        <v/>
      </c>
      <c r="E309" s="85" t="s">
        <v>118</v>
      </c>
      <c r="F309" s="86" t="str">
        <f ca="1">OFFSET(④結果出力!$D$14,MATCH(③各部被害関数計算結果!$C309,④結果出力!$C$14:$C$1133,0)-1,13)</f>
        <v/>
      </c>
      <c r="G309" s="86" t="str">
        <f ca="1">OFFSET(④結果出力!$D$14,MATCH(③各部被害関数計算結果!$C309,④結果出力!$C$14:$C$113,0)-1,1)</f>
        <v/>
      </c>
      <c r="H309" s="92"/>
      <c r="I309" s="86" t="str">
        <f ca="1">OFFSET(④結果出力!$D$14,MATCH(③各部被害関数計算結果!$C309,④結果出力!$C$14:$C$113,0)-1,2)</f>
        <v/>
      </c>
      <c r="J309" s="92"/>
    </row>
    <row r="310" spans="1:10" x14ac:dyDescent="0.15">
      <c r="A310" s="58">
        <f>ROW()</f>
        <v>310</v>
      </c>
      <c r="B310" s="85" t="str">
        <f t="shared" ca="1" si="4"/>
        <v/>
      </c>
      <c r="C310" s="85" t="s">
        <v>312</v>
      </c>
      <c r="D310" s="85" t="str">
        <f ca="1">OFFSET(④結果出力!$D$14,MATCH(③各部被害関数計算結果!$C310,④結果出力!$C$14:$C$113,0)-1,0)</f>
        <v/>
      </c>
      <c r="E310" s="85" t="s">
        <v>53</v>
      </c>
      <c r="F310" s="86" t="str">
        <f ca="1">OFFSET(④結果出力!$D$14,MATCH(③各部被害関数計算結果!$C310,④結果出力!$C$14:$C$113,0)-1,18)</f>
        <v/>
      </c>
      <c r="G310" s="86" t="str">
        <f ca="1">OFFSET(④結果出力!$D$14,MATCH(③各部被害関数計算結果!$C310,④結果出力!$C$14:$C$113,0)-1,1)</f>
        <v/>
      </c>
      <c r="H310" s="92"/>
      <c r="I310" s="86" t="str">
        <f ca="1">OFFSET(④結果出力!$D$14,MATCH(③各部被害関数計算結果!$C310,④結果出力!$C$14:$C$113,0)-1,2)</f>
        <v/>
      </c>
      <c r="J310" s="92"/>
    </row>
    <row r="311" spans="1:10" x14ac:dyDescent="0.15">
      <c r="A311" s="58">
        <f>ROW()</f>
        <v>311</v>
      </c>
      <c r="B311" s="85" t="str">
        <f t="shared" ca="1" si="4"/>
        <v/>
      </c>
      <c r="C311" s="85" t="s">
        <v>313</v>
      </c>
      <c r="D311" s="85" t="str">
        <f ca="1">OFFSET(④結果出力!$D$14,MATCH(③各部被害関数計算結果!$C311,④結果出力!$C$14:$C$113,0)-1,0)</f>
        <v/>
      </c>
      <c r="E311" s="85" t="s">
        <v>30</v>
      </c>
      <c r="F311" s="86" t="str">
        <f ca="1">OFFSET(④結果出力!$D$14,MATCH(③各部被害関数計算結果!$C311,④結果出力!$C$14:$C$113,0)-1,3)</f>
        <v/>
      </c>
      <c r="G311" s="86" t="str">
        <f ca="1">OFFSET(④結果出力!$D$14,MATCH(③各部被害関数計算結果!$C311,④結果出力!$C$14:$C$113,0)-1,1)</f>
        <v/>
      </c>
      <c r="H311" s="92"/>
      <c r="I311" s="86" t="str">
        <f ca="1">OFFSET(④結果出力!$D$14,MATCH(③各部被害関数計算結果!$C311,④結果出力!$C$14:$C$113,0)-1,2)</f>
        <v/>
      </c>
      <c r="J311" s="92"/>
    </row>
    <row r="312" spans="1:10" x14ac:dyDescent="0.15">
      <c r="A312" s="58">
        <f>ROW()</f>
        <v>312</v>
      </c>
      <c r="B312" s="85" t="str">
        <f t="shared" ca="1" si="4"/>
        <v/>
      </c>
      <c r="C312" s="85" t="s">
        <v>313</v>
      </c>
      <c r="D312" s="85" t="str">
        <f ca="1">OFFSET(④結果出力!$D$14,MATCH(③各部被害関数計算結果!$C312,④結果出力!$C$14:$C$113,0)-1,0)</f>
        <v/>
      </c>
      <c r="E312" s="85" t="s">
        <v>33</v>
      </c>
      <c r="F312" s="86" t="str">
        <f ca="1">OFFSET(④結果出力!$D$14,MATCH(③各部被害関数計算結果!$C312,④結果出力!$C$14:$C$113,0)-1,8)</f>
        <v/>
      </c>
      <c r="G312" s="86" t="str">
        <f ca="1">OFFSET(④結果出力!$D$14,MATCH(③各部被害関数計算結果!$C312,④結果出力!$C$14:$C$113,0)-1,1)</f>
        <v/>
      </c>
      <c r="H312" s="92"/>
      <c r="I312" s="86" t="str">
        <f ca="1">OFFSET(④結果出力!$D$14,MATCH(③各部被害関数計算結果!$C312,④結果出力!$C$14:$C$113,0)-1,2)</f>
        <v/>
      </c>
      <c r="J312" s="92"/>
    </row>
    <row r="313" spans="1:10" x14ac:dyDescent="0.15">
      <c r="A313" s="58">
        <f>ROW()</f>
        <v>313</v>
      </c>
      <c r="B313" s="85" t="str">
        <f t="shared" ca="1" si="4"/>
        <v/>
      </c>
      <c r="C313" s="85" t="s">
        <v>313</v>
      </c>
      <c r="D313" s="85" t="str">
        <f ca="1">OFFSET(④結果出力!$D$14,MATCH(③各部被害関数計算結果!$C313,④結果出力!$C$14:$C$113,0)-1,0)</f>
        <v/>
      </c>
      <c r="E313" s="85" t="s">
        <v>118</v>
      </c>
      <c r="F313" s="86" t="str">
        <f ca="1">OFFSET(④結果出力!$D$14,MATCH(③各部被害関数計算結果!$C313,④結果出力!$C$14:$C$1133,0)-1,13)</f>
        <v/>
      </c>
      <c r="G313" s="86" t="str">
        <f ca="1">OFFSET(④結果出力!$D$14,MATCH(③各部被害関数計算結果!$C313,④結果出力!$C$14:$C$113,0)-1,1)</f>
        <v/>
      </c>
      <c r="H313" s="92"/>
      <c r="I313" s="86" t="str">
        <f ca="1">OFFSET(④結果出力!$D$14,MATCH(③各部被害関数計算結果!$C313,④結果出力!$C$14:$C$113,0)-1,2)</f>
        <v/>
      </c>
      <c r="J313" s="92"/>
    </row>
    <row r="314" spans="1:10" x14ac:dyDescent="0.15">
      <c r="A314" s="58">
        <f>ROW()</f>
        <v>314</v>
      </c>
      <c r="B314" s="85" t="str">
        <f t="shared" ca="1" si="4"/>
        <v/>
      </c>
      <c r="C314" s="85" t="s">
        <v>313</v>
      </c>
      <c r="D314" s="85" t="str">
        <f ca="1">OFFSET(④結果出力!$D$14,MATCH(③各部被害関数計算結果!$C314,④結果出力!$C$14:$C$113,0)-1,0)</f>
        <v/>
      </c>
      <c r="E314" s="85" t="s">
        <v>53</v>
      </c>
      <c r="F314" s="86" t="str">
        <f ca="1">OFFSET(④結果出力!$D$14,MATCH(③各部被害関数計算結果!$C314,④結果出力!$C$14:$C$113,0)-1,18)</f>
        <v/>
      </c>
      <c r="G314" s="86" t="str">
        <f ca="1">OFFSET(④結果出力!$D$14,MATCH(③各部被害関数計算結果!$C314,④結果出力!$C$14:$C$113,0)-1,1)</f>
        <v/>
      </c>
      <c r="H314" s="92"/>
      <c r="I314" s="86" t="str">
        <f ca="1">OFFSET(④結果出力!$D$14,MATCH(③各部被害関数計算結果!$C314,④結果出力!$C$14:$C$113,0)-1,2)</f>
        <v/>
      </c>
      <c r="J314" s="92"/>
    </row>
    <row r="315" spans="1:10" x14ac:dyDescent="0.15">
      <c r="A315" s="58">
        <f>ROW()</f>
        <v>315</v>
      </c>
      <c r="B315" s="85" t="str">
        <f t="shared" ca="1" si="4"/>
        <v/>
      </c>
      <c r="C315" s="85" t="s">
        <v>314</v>
      </c>
      <c r="D315" s="85" t="str">
        <f ca="1">OFFSET(④結果出力!$D$14,MATCH(③各部被害関数計算結果!$C315,④結果出力!$C$14:$C$113,0)-1,0)</f>
        <v/>
      </c>
      <c r="E315" s="85" t="s">
        <v>30</v>
      </c>
      <c r="F315" s="86" t="str">
        <f ca="1">OFFSET(④結果出力!$D$14,MATCH(③各部被害関数計算結果!$C315,④結果出力!$C$14:$C$113,0)-1,3)</f>
        <v/>
      </c>
      <c r="G315" s="86" t="str">
        <f ca="1">OFFSET(④結果出力!$D$14,MATCH(③各部被害関数計算結果!$C315,④結果出力!$C$14:$C$113,0)-1,1)</f>
        <v/>
      </c>
      <c r="H315" s="92"/>
      <c r="I315" s="86" t="str">
        <f ca="1">OFFSET(④結果出力!$D$14,MATCH(③各部被害関数計算結果!$C315,④結果出力!$C$14:$C$113,0)-1,2)</f>
        <v/>
      </c>
      <c r="J315" s="92"/>
    </row>
    <row r="316" spans="1:10" x14ac:dyDescent="0.15">
      <c r="A316" s="58">
        <f>ROW()</f>
        <v>316</v>
      </c>
      <c r="B316" s="85" t="str">
        <f t="shared" ca="1" si="4"/>
        <v/>
      </c>
      <c r="C316" s="85" t="s">
        <v>314</v>
      </c>
      <c r="D316" s="85" t="str">
        <f ca="1">OFFSET(④結果出力!$D$14,MATCH(③各部被害関数計算結果!$C316,④結果出力!$C$14:$C$113,0)-1,0)</f>
        <v/>
      </c>
      <c r="E316" s="85" t="s">
        <v>33</v>
      </c>
      <c r="F316" s="86" t="str">
        <f ca="1">OFFSET(④結果出力!$D$14,MATCH(③各部被害関数計算結果!$C316,④結果出力!$C$14:$C$113,0)-1,8)</f>
        <v/>
      </c>
      <c r="G316" s="86" t="str">
        <f ca="1">OFFSET(④結果出力!$D$14,MATCH(③各部被害関数計算結果!$C316,④結果出力!$C$14:$C$113,0)-1,1)</f>
        <v/>
      </c>
      <c r="H316" s="92"/>
      <c r="I316" s="86" t="str">
        <f ca="1">OFFSET(④結果出力!$D$14,MATCH(③各部被害関数計算結果!$C316,④結果出力!$C$14:$C$113,0)-1,2)</f>
        <v/>
      </c>
      <c r="J316" s="92"/>
    </row>
    <row r="317" spans="1:10" x14ac:dyDescent="0.15">
      <c r="A317" s="58">
        <f>ROW()</f>
        <v>317</v>
      </c>
      <c r="B317" s="85" t="str">
        <f t="shared" ca="1" si="4"/>
        <v/>
      </c>
      <c r="C317" s="85" t="s">
        <v>314</v>
      </c>
      <c r="D317" s="85" t="str">
        <f ca="1">OFFSET(④結果出力!$D$14,MATCH(③各部被害関数計算結果!$C317,④結果出力!$C$14:$C$113,0)-1,0)</f>
        <v/>
      </c>
      <c r="E317" s="85" t="s">
        <v>118</v>
      </c>
      <c r="F317" s="86" t="str">
        <f ca="1">OFFSET(④結果出力!$D$14,MATCH(③各部被害関数計算結果!$C317,④結果出力!$C$14:$C$1133,0)-1,13)</f>
        <v/>
      </c>
      <c r="G317" s="86" t="str">
        <f ca="1">OFFSET(④結果出力!$D$14,MATCH(③各部被害関数計算結果!$C317,④結果出力!$C$14:$C$113,0)-1,1)</f>
        <v/>
      </c>
      <c r="H317" s="92"/>
      <c r="I317" s="86" t="str">
        <f ca="1">OFFSET(④結果出力!$D$14,MATCH(③各部被害関数計算結果!$C317,④結果出力!$C$14:$C$113,0)-1,2)</f>
        <v/>
      </c>
      <c r="J317" s="92"/>
    </row>
    <row r="318" spans="1:10" x14ac:dyDescent="0.15">
      <c r="A318" s="58">
        <f>ROW()</f>
        <v>318</v>
      </c>
      <c r="B318" s="85" t="str">
        <f t="shared" ca="1" si="4"/>
        <v/>
      </c>
      <c r="C318" s="85" t="s">
        <v>314</v>
      </c>
      <c r="D318" s="85" t="str">
        <f ca="1">OFFSET(④結果出力!$D$14,MATCH(③各部被害関数計算結果!$C318,④結果出力!$C$14:$C$113,0)-1,0)</f>
        <v/>
      </c>
      <c r="E318" s="85" t="s">
        <v>53</v>
      </c>
      <c r="F318" s="86" t="str">
        <f ca="1">OFFSET(④結果出力!$D$14,MATCH(③各部被害関数計算結果!$C318,④結果出力!$C$14:$C$113,0)-1,18)</f>
        <v/>
      </c>
      <c r="G318" s="86" t="str">
        <f ca="1">OFFSET(④結果出力!$D$14,MATCH(③各部被害関数計算結果!$C318,④結果出力!$C$14:$C$113,0)-1,1)</f>
        <v/>
      </c>
      <c r="H318" s="92"/>
      <c r="I318" s="86" t="str">
        <f ca="1">OFFSET(④結果出力!$D$14,MATCH(③各部被害関数計算結果!$C318,④結果出力!$C$14:$C$113,0)-1,2)</f>
        <v/>
      </c>
      <c r="J318" s="92"/>
    </row>
    <row r="319" spans="1:10" x14ac:dyDescent="0.15">
      <c r="A319" s="58">
        <f>ROW()</f>
        <v>319</v>
      </c>
      <c r="B319" s="85" t="str">
        <f t="shared" ca="1" si="4"/>
        <v/>
      </c>
      <c r="C319" s="85" t="s">
        <v>315</v>
      </c>
      <c r="D319" s="85" t="str">
        <f ca="1">OFFSET(④結果出力!$D$14,MATCH(③各部被害関数計算結果!$C319,④結果出力!$C$14:$C$113,0)-1,0)</f>
        <v/>
      </c>
      <c r="E319" s="85" t="s">
        <v>30</v>
      </c>
      <c r="F319" s="86" t="str">
        <f ca="1">OFFSET(④結果出力!$D$14,MATCH(③各部被害関数計算結果!$C319,④結果出力!$C$14:$C$113,0)-1,3)</f>
        <v/>
      </c>
      <c r="G319" s="86" t="str">
        <f ca="1">OFFSET(④結果出力!$D$14,MATCH(③各部被害関数計算結果!$C319,④結果出力!$C$14:$C$113,0)-1,1)</f>
        <v/>
      </c>
      <c r="H319" s="92"/>
      <c r="I319" s="86" t="str">
        <f ca="1">OFFSET(④結果出力!$D$14,MATCH(③各部被害関数計算結果!$C319,④結果出力!$C$14:$C$113,0)-1,2)</f>
        <v/>
      </c>
      <c r="J319" s="92"/>
    </row>
    <row r="320" spans="1:10" x14ac:dyDescent="0.15">
      <c r="A320" s="58">
        <f>ROW()</f>
        <v>320</v>
      </c>
      <c r="B320" s="85" t="str">
        <f t="shared" ca="1" si="4"/>
        <v/>
      </c>
      <c r="C320" s="85" t="s">
        <v>315</v>
      </c>
      <c r="D320" s="85" t="str">
        <f ca="1">OFFSET(④結果出力!$D$14,MATCH(③各部被害関数計算結果!$C320,④結果出力!$C$14:$C$113,0)-1,0)</f>
        <v/>
      </c>
      <c r="E320" s="85" t="s">
        <v>33</v>
      </c>
      <c r="F320" s="86" t="str">
        <f ca="1">OFFSET(④結果出力!$D$14,MATCH(③各部被害関数計算結果!$C320,④結果出力!$C$14:$C$113,0)-1,8)</f>
        <v/>
      </c>
      <c r="G320" s="86" t="str">
        <f ca="1">OFFSET(④結果出力!$D$14,MATCH(③各部被害関数計算結果!$C320,④結果出力!$C$14:$C$113,0)-1,1)</f>
        <v/>
      </c>
      <c r="H320" s="92"/>
      <c r="I320" s="86" t="str">
        <f ca="1">OFFSET(④結果出力!$D$14,MATCH(③各部被害関数計算結果!$C320,④結果出力!$C$14:$C$113,0)-1,2)</f>
        <v/>
      </c>
      <c r="J320" s="92"/>
    </row>
    <row r="321" spans="1:10" x14ac:dyDescent="0.15">
      <c r="A321" s="58">
        <f>ROW()</f>
        <v>321</v>
      </c>
      <c r="B321" s="85" t="str">
        <f t="shared" ca="1" si="4"/>
        <v/>
      </c>
      <c r="C321" s="85" t="s">
        <v>315</v>
      </c>
      <c r="D321" s="85" t="str">
        <f ca="1">OFFSET(④結果出力!$D$14,MATCH(③各部被害関数計算結果!$C321,④結果出力!$C$14:$C$113,0)-1,0)</f>
        <v/>
      </c>
      <c r="E321" s="85" t="s">
        <v>118</v>
      </c>
      <c r="F321" s="86" t="str">
        <f ca="1">OFFSET(④結果出力!$D$14,MATCH(③各部被害関数計算結果!$C321,④結果出力!$C$14:$C$1133,0)-1,13)</f>
        <v/>
      </c>
      <c r="G321" s="86" t="str">
        <f ca="1">OFFSET(④結果出力!$D$14,MATCH(③各部被害関数計算結果!$C321,④結果出力!$C$14:$C$113,0)-1,1)</f>
        <v/>
      </c>
      <c r="H321" s="92"/>
      <c r="I321" s="86" t="str">
        <f ca="1">OFFSET(④結果出力!$D$14,MATCH(③各部被害関数計算結果!$C321,④結果出力!$C$14:$C$113,0)-1,2)</f>
        <v/>
      </c>
      <c r="J321" s="92"/>
    </row>
    <row r="322" spans="1:10" x14ac:dyDescent="0.15">
      <c r="A322" s="58">
        <f>ROW()</f>
        <v>322</v>
      </c>
      <c r="B322" s="85" t="str">
        <f t="shared" ca="1" si="4"/>
        <v/>
      </c>
      <c r="C322" s="85" t="s">
        <v>315</v>
      </c>
      <c r="D322" s="85" t="str">
        <f ca="1">OFFSET(④結果出力!$D$14,MATCH(③各部被害関数計算結果!$C322,④結果出力!$C$14:$C$113,0)-1,0)</f>
        <v/>
      </c>
      <c r="E322" s="85" t="s">
        <v>53</v>
      </c>
      <c r="F322" s="86" t="str">
        <f ca="1">OFFSET(④結果出力!$D$14,MATCH(③各部被害関数計算結果!$C322,④結果出力!$C$14:$C$113,0)-1,18)</f>
        <v/>
      </c>
      <c r="G322" s="86" t="str">
        <f ca="1">OFFSET(④結果出力!$D$14,MATCH(③各部被害関数計算結果!$C322,④結果出力!$C$14:$C$113,0)-1,1)</f>
        <v/>
      </c>
      <c r="H322" s="92"/>
      <c r="I322" s="86" t="str">
        <f ca="1">OFFSET(④結果出力!$D$14,MATCH(③各部被害関数計算結果!$C322,④結果出力!$C$14:$C$113,0)-1,2)</f>
        <v/>
      </c>
      <c r="J322" s="92"/>
    </row>
    <row r="323" spans="1:10" x14ac:dyDescent="0.15">
      <c r="A323" s="58">
        <f>ROW()</f>
        <v>323</v>
      </c>
      <c r="B323" s="85" t="str">
        <f t="shared" ref="B323:B386" ca="1" si="5">IF(D323&lt;&gt;"","●","")</f>
        <v/>
      </c>
      <c r="C323" s="85" t="s">
        <v>316</v>
      </c>
      <c r="D323" s="85" t="str">
        <f ca="1">OFFSET(④結果出力!$D$14,MATCH(③各部被害関数計算結果!$C323,④結果出力!$C$14:$C$113,0)-1,0)</f>
        <v/>
      </c>
      <c r="E323" s="85" t="s">
        <v>30</v>
      </c>
      <c r="F323" s="86" t="str">
        <f ca="1">OFFSET(④結果出力!$D$14,MATCH(③各部被害関数計算結果!$C323,④結果出力!$C$14:$C$113,0)-1,3)</f>
        <v/>
      </c>
      <c r="G323" s="86" t="str">
        <f ca="1">OFFSET(④結果出力!$D$14,MATCH(③各部被害関数計算結果!$C323,④結果出力!$C$14:$C$113,0)-1,1)</f>
        <v/>
      </c>
      <c r="H323" s="92"/>
      <c r="I323" s="86" t="str">
        <f ca="1">OFFSET(④結果出力!$D$14,MATCH(③各部被害関数計算結果!$C323,④結果出力!$C$14:$C$113,0)-1,2)</f>
        <v/>
      </c>
      <c r="J323" s="92"/>
    </row>
    <row r="324" spans="1:10" x14ac:dyDescent="0.15">
      <c r="A324" s="58">
        <f>ROW()</f>
        <v>324</v>
      </c>
      <c r="B324" s="85" t="str">
        <f t="shared" ca="1" si="5"/>
        <v/>
      </c>
      <c r="C324" s="85" t="s">
        <v>316</v>
      </c>
      <c r="D324" s="85" t="str">
        <f ca="1">OFFSET(④結果出力!$D$14,MATCH(③各部被害関数計算結果!$C324,④結果出力!$C$14:$C$113,0)-1,0)</f>
        <v/>
      </c>
      <c r="E324" s="85" t="s">
        <v>33</v>
      </c>
      <c r="F324" s="86" t="str">
        <f ca="1">OFFSET(④結果出力!$D$14,MATCH(③各部被害関数計算結果!$C324,④結果出力!$C$14:$C$113,0)-1,8)</f>
        <v/>
      </c>
      <c r="G324" s="86" t="str">
        <f ca="1">OFFSET(④結果出力!$D$14,MATCH(③各部被害関数計算結果!$C324,④結果出力!$C$14:$C$113,0)-1,1)</f>
        <v/>
      </c>
      <c r="H324" s="92"/>
      <c r="I324" s="86" t="str">
        <f ca="1">OFFSET(④結果出力!$D$14,MATCH(③各部被害関数計算結果!$C324,④結果出力!$C$14:$C$113,0)-1,2)</f>
        <v/>
      </c>
      <c r="J324" s="92"/>
    </row>
    <row r="325" spans="1:10" x14ac:dyDescent="0.15">
      <c r="A325" s="58">
        <f>ROW()</f>
        <v>325</v>
      </c>
      <c r="B325" s="85" t="str">
        <f t="shared" ca="1" si="5"/>
        <v/>
      </c>
      <c r="C325" s="85" t="s">
        <v>316</v>
      </c>
      <c r="D325" s="85" t="str">
        <f ca="1">OFFSET(④結果出力!$D$14,MATCH(③各部被害関数計算結果!$C325,④結果出力!$C$14:$C$113,0)-1,0)</f>
        <v/>
      </c>
      <c r="E325" s="85" t="s">
        <v>118</v>
      </c>
      <c r="F325" s="86" t="str">
        <f ca="1">OFFSET(④結果出力!$D$14,MATCH(③各部被害関数計算結果!$C325,④結果出力!$C$14:$C$1133,0)-1,13)</f>
        <v/>
      </c>
      <c r="G325" s="86" t="str">
        <f ca="1">OFFSET(④結果出力!$D$14,MATCH(③各部被害関数計算結果!$C325,④結果出力!$C$14:$C$113,0)-1,1)</f>
        <v/>
      </c>
      <c r="H325" s="92"/>
      <c r="I325" s="86" t="str">
        <f ca="1">OFFSET(④結果出力!$D$14,MATCH(③各部被害関数計算結果!$C325,④結果出力!$C$14:$C$113,0)-1,2)</f>
        <v/>
      </c>
      <c r="J325" s="92"/>
    </row>
    <row r="326" spans="1:10" x14ac:dyDescent="0.15">
      <c r="A326" s="58">
        <f>ROW()</f>
        <v>326</v>
      </c>
      <c r="B326" s="85" t="str">
        <f t="shared" ca="1" si="5"/>
        <v/>
      </c>
      <c r="C326" s="85" t="s">
        <v>316</v>
      </c>
      <c r="D326" s="85" t="str">
        <f ca="1">OFFSET(④結果出力!$D$14,MATCH(③各部被害関数計算結果!$C326,④結果出力!$C$14:$C$113,0)-1,0)</f>
        <v/>
      </c>
      <c r="E326" s="85" t="s">
        <v>53</v>
      </c>
      <c r="F326" s="86" t="str">
        <f ca="1">OFFSET(④結果出力!$D$14,MATCH(③各部被害関数計算結果!$C326,④結果出力!$C$14:$C$113,0)-1,18)</f>
        <v/>
      </c>
      <c r="G326" s="86" t="str">
        <f ca="1">OFFSET(④結果出力!$D$14,MATCH(③各部被害関数計算結果!$C326,④結果出力!$C$14:$C$113,0)-1,1)</f>
        <v/>
      </c>
      <c r="H326" s="92"/>
      <c r="I326" s="86" t="str">
        <f ca="1">OFFSET(④結果出力!$D$14,MATCH(③各部被害関数計算結果!$C326,④結果出力!$C$14:$C$113,0)-1,2)</f>
        <v/>
      </c>
      <c r="J326" s="92"/>
    </row>
    <row r="327" spans="1:10" x14ac:dyDescent="0.15">
      <c r="A327" s="58">
        <f>ROW()</f>
        <v>327</v>
      </c>
      <c r="B327" s="85" t="str">
        <f t="shared" ca="1" si="5"/>
        <v/>
      </c>
      <c r="C327" s="85" t="s">
        <v>317</v>
      </c>
      <c r="D327" s="85" t="str">
        <f ca="1">OFFSET(④結果出力!$D$14,MATCH(③各部被害関数計算結果!$C327,④結果出力!$C$14:$C$113,0)-1,0)</f>
        <v/>
      </c>
      <c r="E327" s="85" t="s">
        <v>30</v>
      </c>
      <c r="F327" s="86" t="str">
        <f ca="1">OFFSET(④結果出力!$D$14,MATCH(③各部被害関数計算結果!$C327,④結果出力!$C$14:$C$113,0)-1,3)</f>
        <v/>
      </c>
      <c r="G327" s="86" t="str">
        <f ca="1">OFFSET(④結果出力!$D$14,MATCH(③各部被害関数計算結果!$C327,④結果出力!$C$14:$C$113,0)-1,1)</f>
        <v/>
      </c>
      <c r="H327" s="92"/>
      <c r="I327" s="86" t="str">
        <f ca="1">OFFSET(④結果出力!$D$14,MATCH(③各部被害関数計算結果!$C327,④結果出力!$C$14:$C$113,0)-1,2)</f>
        <v/>
      </c>
      <c r="J327" s="92"/>
    </row>
    <row r="328" spans="1:10" x14ac:dyDescent="0.15">
      <c r="A328" s="58">
        <f>ROW()</f>
        <v>328</v>
      </c>
      <c r="B328" s="85" t="str">
        <f t="shared" ca="1" si="5"/>
        <v/>
      </c>
      <c r="C328" s="85" t="s">
        <v>317</v>
      </c>
      <c r="D328" s="85" t="str">
        <f ca="1">OFFSET(④結果出力!$D$14,MATCH(③各部被害関数計算結果!$C328,④結果出力!$C$14:$C$113,0)-1,0)</f>
        <v/>
      </c>
      <c r="E328" s="85" t="s">
        <v>33</v>
      </c>
      <c r="F328" s="86" t="str">
        <f ca="1">OFFSET(④結果出力!$D$14,MATCH(③各部被害関数計算結果!$C328,④結果出力!$C$14:$C$113,0)-1,8)</f>
        <v/>
      </c>
      <c r="G328" s="86" t="str">
        <f ca="1">OFFSET(④結果出力!$D$14,MATCH(③各部被害関数計算結果!$C328,④結果出力!$C$14:$C$113,0)-1,1)</f>
        <v/>
      </c>
      <c r="H328" s="92"/>
      <c r="I328" s="86" t="str">
        <f ca="1">OFFSET(④結果出力!$D$14,MATCH(③各部被害関数計算結果!$C328,④結果出力!$C$14:$C$113,0)-1,2)</f>
        <v/>
      </c>
      <c r="J328" s="92"/>
    </row>
    <row r="329" spans="1:10" x14ac:dyDescent="0.15">
      <c r="A329" s="58">
        <f>ROW()</f>
        <v>329</v>
      </c>
      <c r="B329" s="85" t="str">
        <f t="shared" ca="1" si="5"/>
        <v/>
      </c>
      <c r="C329" s="85" t="s">
        <v>317</v>
      </c>
      <c r="D329" s="85" t="str">
        <f ca="1">OFFSET(④結果出力!$D$14,MATCH(③各部被害関数計算結果!$C329,④結果出力!$C$14:$C$113,0)-1,0)</f>
        <v/>
      </c>
      <c r="E329" s="85" t="s">
        <v>118</v>
      </c>
      <c r="F329" s="86" t="str">
        <f ca="1">OFFSET(④結果出力!$D$14,MATCH(③各部被害関数計算結果!$C329,④結果出力!$C$14:$C$1133,0)-1,13)</f>
        <v/>
      </c>
      <c r="G329" s="86" t="str">
        <f ca="1">OFFSET(④結果出力!$D$14,MATCH(③各部被害関数計算結果!$C329,④結果出力!$C$14:$C$113,0)-1,1)</f>
        <v/>
      </c>
      <c r="H329" s="92"/>
      <c r="I329" s="86" t="str">
        <f ca="1">OFFSET(④結果出力!$D$14,MATCH(③各部被害関数計算結果!$C329,④結果出力!$C$14:$C$113,0)-1,2)</f>
        <v/>
      </c>
      <c r="J329" s="92"/>
    </row>
    <row r="330" spans="1:10" x14ac:dyDescent="0.15">
      <c r="A330" s="58">
        <f>ROW()</f>
        <v>330</v>
      </c>
      <c r="B330" s="85" t="str">
        <f t="shared" ca="1" si="5"/>
        <v/>
      </c>
      <c r="C330" s="85" t="s">
        <v>317</v>
      </c>
      <c r="D330" s="85" t="str">
        <f ca="1">OFFSET(④結果出力!$D$14,MATCH(③各部被害関数計算結果!$C330,④結果出力!$C$14:$C$113,0)-1,0)</f>
        <v/>
      </c>
      <c r="E330" s="85" t="s">
        <v>53</v>
      </c>
      <c r="F330" s="86" t="str">
        <f ca="1">OFFSET(④結果出力!$D$14,MATCH(③各部被害関数計算結果!$C330,④結果出力!$C$14:$C$113,0)-1,18)</f>
        <v/>
      </c>
      <c r="G330" s="86" t="str">
        <f ca="1">OFFSET(④結果出力!$D$14,MATCH(③各部被害関数計算結果!$C330,④結果出力!$C$14:$C$113,0)-1,1)</f>
        <v/>
      </c>
      <c r="H330" s="92"/>
      <c r="I330" s="86" t="str">
        <f ca="1">OFFSET(④結果出力!$D$14,MATCH(③各部被害関数計算結果!$C330,④結果出力!$C$14:$C$113,0)-1,2)</f>
        <v/>
      </c>
      <c r="J330" s="92"/>
    </row>
    <row r="331" spans="1:10" x14ac:dyDescent="0.15">
      <c r="A331" s="58">
        <f>ROW()</f>
        <v>331</v>
      </c>
      <c r="B331" s="85" t="str">
        <f t="shared" ca="1" si="5"/>
        <v/>
      </c>
      <c r="C331" s="85" t="s">
        <v>318</v>
      </c>
      <c r="D331" s="85" t="str">
        <f ca="1">OFFSET(④結果出力!$D$14,MATCH(③各部被害関数計算結果!$C331,④結果出力!$C$14:$C$113,0)-1,0)</f>
        <v/>
      </c>
      <c r="E331" s="85" t="s">
        <v>30</v>
      </c>
      <c r="F331" s="86" t="str">
        <f ca="1">OFFSET(④結果出力!$D$14,MATCH(③各部被害関数計算結果!$C331,④結果出力!$C$14:$C$113,0)-1,3)</f>
        <v/>
      </c>
      <c r="G331" s="86" t="str">
        <f ca="1">OFFSET(④結果出力!$D$14,MATCH(③各部被害関数計算結果!$C331,④結果出力!$C$14:$C$113,0)-1,1)</f>
        <v/>
      </c>
      <c r="H331" s="92"/>
      <c r="I331" s="86" t="str">
        <f ca="1">OFFSET(④結果出力!$D$14,MATCH(③各部被害関数計算結果!$C331,④結果出力!$C$14:$C$113,0)-1,2)</f>
        <v/>
      </c>
      <c r="J331" s="92"/>
    </row>
    <row r="332" spans="1:10" x14ac:dyDescent="0.15">
      <c r="A332" s="58">
        <f>ROW()</f>
        <v>332</v>
      </c>
      <c r="B332" s="85" t="str">
        <f t="shared" ca="1" si="5"/>
        <v/>
      </c>
      <c r="C332" s="85" t="s">
        <v>318</v>
      </c>
      <c r="D332" s="85" t="str">
        <f ca="1">OFFSET(④結果出力!$D$14,MATCH(③各部被害関数計算結果!$C332,④結果出力!$C$14:$C$113,0)-1,0)</f>
        <v/>
      </c>
      <c r="E332" s="85" t="s">
        <v>33</v>
      </c>
      <c r="F332" s="86" t="str">
        <f ca="1">OFFSET(④結果出力!$D$14,MATCH(③各部被害関数計算結果!$C332,④結果出力!$C$14:$C$113,0)-1,8)</f>
        <v/>
      </c>
      <c r="G332" s="86" t="str">
        <f ca="1">OFFSET(④結果出力!$D$14,MATCH(③各部被害関数計算結果!$C332,④結果出力!$C$14:$C$113,0)-1,1)</f>
        <v/>
      </c>
      <c r="H332" s="92"/>
      <c r="I332" s="86" t="str">
        <f ca="1">OFFSET(④結果出力!$D$14,MATCH(③各部被害関数計算結果!$C332,④結果出力!$C$14:$C$113,0)-1,2)</f>
        <v/>
      </c>
      <c r="J332" s="92"/>
    </row>
    <row r="333" spans="1:10" x14ac:dyDescent="0.15">
      <c r="A333" s="58">
        <f>ROW()</f>
        <v>333</v>
      </c>
      <c r="B333" s="85" t="str">
        <f t="shared" ca="1" si="5"/>
        <v/>
      </c>
      <c r="C333" s="85" t="s">
        <v>318</v>
      </c>
      <c r="D333" s="85" t="str">
        <f ca="1">OFFSET(④結果出力!$D$14,MATCH(③各部被害関数計算結果!$C333,④結果出力!$C$14:$C$113,0)-1,0)</f>
        <v/>
      </c>
      <c r="E333" s="85" t="s">
        <v>118</v>
      </c>
      <c r="F333" s="86" t="str">
        <f ca="1">OFFSET(④結果出力!$D$14,MATCH(③各部被害関数計算結果!$C333,④結果出力!$C$14:$C$1133,0)-1,13)</f>
        <v/>
      </c>
      <c r="G333" s="86" t="str">
        <f ca="1">OFFSET(④結果出力!$D$14,MATCH(③各部被害関数計算結果!$C333,④結果出力!$C$14:$C$113,0)-1,1)</f>
        <v/>
      </c>
      <c r="H333" s="92"/>
      <c r="I333" s="86" t="str">
        <f ca="1">OFFSET(④結果出力!$D$14,MATCH(③各部被害関数計算結果!$C333,④結果出力!$C$14:$C$113,0)-1,2)</f>
        <v/>
      </c>
      <c r="J333" s="92"/>
    </row>
    <row r="334" spans="1:10" x14ac:dyDescent="0.15">
      <c r="A334" s="58">
        <f>ROW()</f>
        <v>334</v>
      </c>
      <c r="B334" s="85" t="str">
        <f t="shared" ca="1" si="5"/>
        <v/>
      </c>
      <c r="C334" s="85" t="s">
        <v>318</v>
      </c>
      <c r="D334" s="85" t="str">
        <f ca="1">OFFSET(④結果出力!$D$14,MATCH(③各部被害関数計算結果!$C334,④結果出力!$C$14:$C$113,0)-1,0)</f>
        <v/>
      </c>
      <c r="E334" s="85" t="s">
        <v>53</v>
      </c>
      <c r="F334" s="86" t="str">
        <f ca="1">OFFSET(④結果出力!$D$14,MATCH(③各部被害関数計算結果!$C334,④結果出力!$C$14:$C$113,0)-1,18)</f>
        <v/>
      </c>
      <c r="G334" s="86" t="str">
        <f ca="1">OFFSET(④結果出力!$D$14,MATCH(③各部被害関数計算結果!$C334,④結果出力!$C$14:$C$113,0)-1,1)</f>
        <v/>
      </c>
      <c r="H334" s="92"/>
      <c r="I334" s="86" t="str">
        <f ca="1">OFFSET(④結果出力!$D$14,MATCH(③各部被害関数計算結果!$C334,④結果出力!$C$14:$C$113,0)-1,2)</f>
        <v/>
      </c>
      <c r="J334" s="92"/>
    </row>
    <row r="335" spans="1:10" x14ac:dyDescent="0.15">
      <c r="A335" s="58">
        <f>ROW()</f>
        <v>335</v>
      </c>
      <c r="B335" s="85" t="str">
        <f t="shared" ca="1" si="5"/>
        <v/>
      </c>
      <c r="C335" s="85" t="s">
        <v>319</v>
      </c>
      <c r="D335" s="85" t="str">
        <f ca="1">OFFSET(④結果出力!$D$14,MATCH(③各部被害関数計算結果!$C335,④結果出力!$C$14:$C$113,0)-1,0)</f>
        <v/>
      </c>
      <c r="E335" s="85" t="s">
        <v>30</v>
      </c>
      <c r="F335" s="86" t="str">
        <f ca="1">OFFSET(④結果出力!$D$14,MATCH(③各部被害関数計算結果!$C335,④結果出力!$C$14:$C$113,0)-1,3)</f>
        <v/>
      </c>
      <c r="G335" s="86" t="str">
        <f ca="1">OFFSET(④結果出力!$D$14,MATCH(③各部被害関数計算結果!$C335,④結果出力!$C$14:$C$113,0)-1,1)</f>
        <v/>
      </c>
      <c r="H335" s="92"/>
      <c r="I335" s="86" t="str">
        <f ca="1">OFFSET(④結果出力!$D$14,MATCH(③各部被害関数計算結果!$C335,④結果出力!$C$14:$C$113,0)-1,2)</f>
        <v/>
      </c>
      <c r="J335" s="92"/>
    </row>
    <row r="336" spans="1:10" x14ac:dyDescent="0.15">
      <c r="A336" s="58">
        <f>ROW()</f>
        <v>336</v>
      </c>
      <c r="B336" s="85" t="str">
        <f t="shared" ca="1" si="5"/>
        <v/>
      </c>
      <c r="C336" s="85" t="s">
        <v>319</v>
      </c>
      <c r="D336" s="85" t="str">
        <f ca="1">OFFSET(④結果出力!$D$14,MATCH(③各部被害関数計算結果!$C336,④結果出力!$C$14:$C$113,0)-1,0)</f>
        <v/>
      </c>
      <c r="E336" s="85" t="s">
        <v>33</v>
      </c>
      <c r="F336" s="86" t="str">
        <f ca="1">OFFSET(④結果出力!$D$14,MATCH(③各部被害関数計算結果!$C336,④結果出力!$C$14:$C$113,0)-1,8)</f>
        <v/>
      </c>
      <c r="G336" s="86" t="str">
        <f ca="1">OFFSET(④結果出力!$D$14,MATCH(③各部被害関数計算結果!$C336,④結果出力!$C$14:$C$113,0)-1,1)</f>
        <v/>
      </c>
      <c r="H336" s="92"/>
      <c r="I336" s="86" t="str">
        <f ca="1">OFFSET(④結果出力!$D$14,MATCH(③各部被害関数計算結果!$C336,④結果出力!$C$14:$C$113,0)-1,2)</f>
        <v/>
      </c>
      <c r="J336" s="92"/>
    </row>
    <row r="337" spans="1:10" x14ac:dyDescent="0.15">
      <c r="A337" s="58">
        <f>ROW()</f>
        <v>337</v>
      </c>
      <c r="B337" s="85" t="str">
        <f t="shared" ca="1" si="5"/>
        <v/>
      </c>
      <c r="C337" s="85" t="s">
        <v>319</v>
      </c>
      <c r="D337" s="85" t="str">
        <f ca="1">OFFSET(④結果出力!$D$14,MATCH(③各部被害関数計算結果!$C337,④結果出力!$C$14:$C$113,0)-1,0)</f>
        <v/>
      </c>
      <c r="E337" s="85" t="s">
        <v>118</v>
      </c>
      <c r="F337" s="86" t="str">
        <f ca="1">OFFSET(④結果出力!$D$14,MATCH(③各部被害関数計算結果!$C337,④結果出力!$C$14:$C$1133,0)-1,13)</f>
        <v/>
      </c>
      <c r="G337" s="86" t="str">
        <f ca="1">OFFSET(④結果出力!$D$14,MATCH(③各部被害関数計算結果!$C337,④結果出力!$C$14:$C$113,0)-1,1)</f>
        <v/>
      </c>
      <c r="H337" s="92"/>
      <c r="I337" s="86" t="str">
        <f ca="1">OFFSET(④結果出力!$D$14,MATCH(③各部被害関数計算結果!$C337,④結果出力!$C$14:$C$113,0)-1,2)</f>
        <v/>
      </c>
      <c r="J337" s="92"/>
    </row>
    <row r="338" spans="1:10" x14ac:dyDescent="0.15">
      <c r="A338" s="58">
        <f>ROW()</f>
        <v>338</v>
      </c>
      <c r="B338" s="85" t="str">
        <f t="shared" ca="1" si="5"/>
        <v/>
      </c>
      <c r="C338" s="85" t="s">
        <v>319</v>
      </c>
      <c r="D338" s="85" t="str">
        <f ca="1">OFFSET(④結果出力!$D$14,MATCH(③各部被害関数計算結果!$C338,④結果出力!$C$14:$C$113,0)-1,0)</f>
        <v/>
      </c>
      <c r="E338" s="85" t="s">
        <v>53</v>
      </c>
      <c r="F338" s="86" t="str">
        <f ca="1">OFFSET(④結果出力!$D$14,MATCH(③各部被害関数計算結果!$C338,④結果出力!$C$14:$C$113,0)-1,18)</f>
        <v/>
      </c>
      <c r="G338" s="86" t="str">
        <f ca="1">OFFSET(④結果出力!$D$14,MATCH(③各部被害関数計算結果!$C338,④結果出力!$C$14:$C$113,0)-1,1)</f>
        <v/>
      </c>
      <c r="H338" s="92"/>
      <c r="I338" s="86" t="str">
        <f ca="1">OFFSET(④結果出力!$D$14,MATCH(③各部被害関数計算結果!$C338,④結果出力!$C$14:$C$113,0)-1,2)</f>
        <v/>
      </c>
      <c r="J338" s="92"/>
    </row>
    <row r="339" spans="1:10" x14ac:dyDescent="0.15">
      <c r="A339" s="58">
        <f>ROW()</f>
        <v>339</v>
      </c>
      <c r="B339" s="85" t="str">
        <f t="shared" ca="1" si="5"/>
        <v/>
      </c>
      <c r="C339" s="85" t="s">
        <v>320</v>
      </c>
      <c r="D339" s="85" t="str">
        <f ca="1">OFFSET(④結果出力!$D$14,MATCH(③各部被害関数計算結果!$C339,④結果出力!$C$14:$C$113,0)-1,0)</f>
        <v/>
      </c>
      <c r="E339" s="85" t="s">
        <v>30</v>
      </c>
      <c r="F339" s="86" t="str">
        <f ca="1">OFFSET(④結果出力!$D$14,MATCH(③各部被害関数計算結果!$C339,④結果出力!$C$14:$C$113,0)-1,3)</f>
        <v/>
      </c>
      <c r="G339" s="86" t="str">
        <f ca="1">OFFSET(④結果出力!$D$14,MATCH(③各部被害関数計算結果!$C339,④結果出力!$C$14:$C$113,0)-1,1)</f>
        <v/>
      </c>
      <c r="H339" s="92"/>
      <c r="I339" s="86" t="str">
        <f ca="1">OFFSET(④結果出力!$D$14,MATCH(③各部被害関数計算結果!$C339,④結果出力!$C$14:$C$113,0)-1,2)</f>
        <v/>
      </c>
      <c r="J339" s="92"/>
    </row>
    <row r="340" spans="1:10" x14ac:dyDescent="0.15">
      <c r="A340" s="58">
        <f>ROW()</f>
        <v>340</v>
      </c>
      <c r="B340" s="85" t="str">
        <f t="shared" ca="1" si="5"/>
        <v/>
      </c>
      <c r="C340" s="85" t="s">
        <v>320</v>
      </c>
      <c r="D340" s="85" t="str">
        <f ca="1">OFFSET(④結果出力!$D$14,MATCH(③各部被害関数計算結果!$C340,④結果出力!$C$14:$C$113,0)-1,0)</f>
        <v/>
      </c>
      <c r="E340" s="85" t="s">
        <v>33</v>
      </c>
      <c r="F340" s="86" t="str">
        <f ca="1">OFFSET(④結果出力!$D$14,MATCH(③各部被害関数計算結果!$C340,④結果出力!$C$14:$C$113,0)-1,8)</f>
        <v/>
      </c>
      <c r="G340" s="86" t="str">
        <f ca="1">OFFSET(④結果出力!$D$14,MATCH(③各部被害関数計算結果!$C340,④結果出力!$C$14:$C$113,0)-1,1)</f>
        <v/>
      </c>
      <c r="H340" s="92"/>
      <c r="I340" s="86" t="str">
        <f ca="1">OFFSET(④結果出力!$D$14,MATCH(③各部被害関数計算結果!$C340,④結果出力!$C$14:$C$113,0)-1,2)</f>
        <v/>
      </c>
      <c r="J340" s="92"/>
    </row>
    <row r="341" spans="1:10" x14ac:dyDescent="0.15">
      <c r="A341" s="58">
        <f>ROW()</f>
        <v>341</v>
      </c>
      <c r="B341" s="85" t="str">
        <f t="shared" ca="1" si="5"/>
        <v/>
      </c>
      <c r="C341" s="85" t="s">
        <v>320</v>
      </c>
      <c r="D341" s="85" t="str">
        <f ca="1">OFFSET(④結果出力!$D$14,MATCH(③各部被害関数計算結果!$C341,④結果出力!$C$14:$C$113,0)-1,0)</f>
        <v/>
      </c>
      <c r="E341" s="85" t="s">
        <v>118</v>
      </c>
      <c r="F341" s="86" t="str">
        <f ca="1">OFFSET(④結果出力!$D$14,MATCH(③各部被害関数計算結果!$C341,④結果出力!$C$14:$C$1133,0)-1,13)</f>
        <v/>
      </c>
      <c r="G341" s="86" t="str">
        <f ca="1">OFFSET(④結果出力!$D$14,MATCH(③各部被害関数計算結果!$C341,④結果出力!$C$14:$C$113,0)-1,1)</f>
        <v/>
      </c>
      <c r="H341" s="92"/>
      <c r="I341" s="86" t="str">
        <f ca="1">OFFSET(④結果出力!$D$14,MATCH(③各部被害関数計算結果!$C341,④結果出力!$C$14:$C$113,0)-1,2)</f>
        <v/>
      </c>
      <c r="J341" s="92"/>
    </row>
    <row r="342" spans="1:10" x14ac:dyDescent="0.15">
      <c r="A342" s="58">
        <f>ROW()</f>
        <v>342</v>
      </c>
      <c r="B342" s="85" t="str">
        <f t="shared" ca="1" si="5"/>
        <v/>
      </c>
      <c r="C342" s="85" t="s">
        <v>320</v>
      </c>
      <c r="D342" s="85" t="str">
        <f ca="1">OFFSET(④結果出力!$D$14,MATCH(③各部被害関数計算結果!$C342,④結果出力!$C$14:$C$113,0)-1,0)</f>
        <v/>
      </c>
      <c r="E342" s="85" t="s">
        <v>53</v>
      </c>
      <c r="F342" s="86" t="str">
        <f ca="1">OFFSET(④結果出力!$D$14,MATCH(③各部被害関数計算結果!$C342,④結果出力!$C$14:$C$113,0)-1,18)</f>
        <v/>
      </c>
      <c r="G342" s="86" t="str">
        <f ca="1">OFFSET(④結果出力!$D$14,MATCH(③各部被害関数計算結果!$C342,④結果出力!$C$14:$C$113,0)-1,1)</f>
        <v/>
      </c>
      <c r="H342" s="92"/>
      <c r="I342" s="86" t="str">
        <f ca="1">OFFSET(④結果出力!$D$14,MATCH(③各部被害関数計算結果!$C342,④結果出力!$C$14:$C$113,0)-1,2)</f>
        <v/>
      </c>
      <c r="J342" s="92"/>
    </row>
    <row r="343" spans="1:10" x14ac:dyDescent="0.15">
      <c r="A343" s="58">
        <f>ROW()</f>
        <v>343</v>
      </c>
      <c r="B343" s="85" t="str">
        <f t="shared" ca="1" si="5"/>
        <v/>
      </c>
      <c r="C343" s="85" t="s">
        <v>321</v>
      </c>
      <c r="D343" s="85" t="str">
        <f ca="1">OFFSET(④結果出力!$D$14,MATCH(③各部被害関数計算結果!$C343,④結果出力!$C$14:$C$113,0)-1,0)</f>
        <v/>
      </c>
      <c r="E343" s="85" t="s">
        <v>30</v>
      </c>
      <c r="F343" s="86" t="str">
        <f ca="1">OFFSET(④結果出力!$D$14,MATCH(③各部被害関数計算結果!$C343,④結果出力!$C$14:$C$113,0)-1,3)</f>
        <v/>
      </c>
      <c r="G343" s="86" t="str">
        <f ca="1">OFFSET(④結果出力!$D$14,MATCH(③各部被害関数計算結果!$C343,④結果出力!$C$14:$C$113,0)-1,1)</f>
        <v/>
      </c>
      <c r="H343" s="92"/>
      <c r="I343" s="86" t="str">
        <f ca="1">OFFSET(④結果出力!$D$14,MATCH(③各部被害関数計算結果!$C343,④結果出力!$C$14:$C$113,0)-1,2)</f>
        <v/>
      </c>
      <c r="J343" s="92"/>
    </row>
    <row r="344" spans="1:10" x14ac:dyDescent="0.15">
      <c r="A344" s="58">
        <f>ROW()</f>
        <v>344</v>
      </c>
      <c r="B344" s="85" t="str">
        <f t="shared" ca="1" si="5"/>
        <v/>
      </c>
      <c r="C344" s="85" t="s">
        <v>321</v>
      </c>
      <c r="D344" s="85" t="str">
        <f ca="1">OFFSET(④結果出力!$D$14,MATCH(③各部被害関数計算結果!$C344,④結果出力!$C$14:$C$113,0)-1,0)</f>
        <v/>
      </c>
      <c r="E344" s="85" t="s">
        <v>33</v>
      </c>
      <c r="F344" s="86" t="str">
        <f ca="1">OFFSET(④結果出力!$D$14,MATCH(③各部被害関数計算結果!$C344,④結果出力!$C$14:$C$113,0)-1,8)</f>
        <v/>
      </c>
      <c r="G344" s="86" t="str">
        <f ca="1">OFFSET(④結果出力!$D$14,MATCH(③各部被害関数計算結果!$C344,④結果出力!$C$14:$C$113,0)-1,1)</f>
        <v/>
      </c>
      <c r="H344" s="92"/>
      <c r="I344" s="86" t="str">
        <f ca="1">OFFSET(④結果出力!$D$14,MATCH(③各部被害関数計算結果!$C344,④結果出力!$C$14:$C$113,0)-1,2)</f>
        <v/>
      </c>
      <c r="J344" s="92"/>
    </row>
    <row r="345" spans="1:10" x14ac:dyDescent="0.15">
      <c r="A345" s="58">
        <f>ROW()</f>
        <v>345</v>
      </c>
      <c r="B345" s="85" t="str">
        <f t="shared" ca="1" si="5"/>
        <v/>
      </c>
      <c r="C345" s="85" t="s">
        <v>321</v>
      </c>
      <c r="D345" s="85" t="str">
        <f ca="1">OFFSET(④結果出力!$D$14,MATCH(③各部被害関数計算結果!$C345,④結果出力!$C$14:$C$113,0)-1,0)</f>
        <v/>
      </c>
      <c r="E345" s="85" t="s">
        <v>118</v>
      </c>
      <c r="F345" s="86" t="str">
        <f ca="1">OFFSET(④結果出力!$D$14,MATCH(③各部被害関数計算結果!$C345,④結果出力!$C$14:$C$1133,0)-1,13)</f>
        <v/>
      </c>
      <c r="G345" s="86" t="str">
        <f ca="1">OFFSET(④結果出力!$D$14,MATCH(③各部被害関数計算結果!$C345,④結果出力!$C$14:$C$113,0)-1,1)</f>
        <v/>
      </c>
      <c r="H345" s="92"/>
      <c r="I345" s="86" t="str">
        <f ca="1">OFFSET(④結果出力!$D$14,MATCH(③各部被害関数計算結果!$C345,④結果出力!$C$14:$C$113,0)-1,2)</f>
        <v/>
      </c>
      <c r="J345" s="92"/>
    </row>
    <row r="346" spans="1:10" x14ac:dyDescent="0.15">
      <c r="A346" s="58">
        <f>ROW()</f>
        <v>346</v>
      </c>
      <c r="B346" s="85" t="str">
        <f t="shared" ca="1" si="5"/>
        <v/>
      </c>
      <c r="C346" s="85" t="s">
        <v>321</v>
      </c>
      <c r="D346" s="85" t="str">
        <f ca="1">OFFSET(④結果出力!$D$14,MATCH(③各部被害関数計算結果!$C346,④結果出力!$C$14:$C$113,0)-1,0)</f>
        <v/>
      </c>
      <c r="E346" s="85" t="s">
        <v>53</v>
      </c>
      <c r="F346" s="86" t="str">
        <f ca="1">OFFSET(④結果出力!$D$14,MATCH(③各部被害関数計算結果!$C346,④結果出力!$C$14:$C$113,0)-1,18)</f>
        <v/>
      </c>
      <c r="G346" s="86" t="str">
        <f ca="1">OFFSET(④結果出力!$D$14,MATCH(③各部被害関数計算結果!$C346,④結果出力!$C$14:$C$113,0)-1,1)</f>
        <v/>
      </c>
      <c r="H346" s="92"/>
      <c r="I346" s="86" t="str">
        <f ca="1">OFFSET(④結果出力!$D$14,MATCH(③各部被害関数計算結果!$C346,④結果出力!$C$14:$C$113,0)-1,2)</f>
        <v/>
      </c>
      <c r="J346" s="92"/>
    </row>
    <row r="347" spans="1:10" x14ac:dyDescent="0.15">
      <c r="A347" s="58">
        <f>ROW()</f>
        <v>347</v>
      </c>
      <c r="B347" s="85" t="str">
        <f t="shared" ca="1" si="5"/>
        <v/>
      </c>
      <c r="C347" s="85" t="s">
        <v>322</v>
      </c>
      <c r="D347" s="85" t="str">
        <f ca="1">OFFSET(④結果出力!$D$14,MATCH(③各部被害関数計算結果!$C347,④結果出力!$C$14:$C$113,0)-1,0)</f>
        <v/>
      </c>
      <c r="E347" s="85" t="s">
        <v>30</v>
      </c>
      <c r="F347" s="86" t="str">
        <f ca="1">OFFSET(④結果出力!$D$14,MATCH(③各部被害関数計算結果!$C347,④結果出力!$C$14:$C$113,0)-1,3)</f>
        <v/>
      </c>
      <c r="G347" s="86" t="str">
        <f ca="1">OFFSET(④結果出力!$D$14,MATCH(③各部被害関数計算結果!$C347,④結果出力!$C$14:$C$113,0)-1,1)</f>
        <v/>
      </c>
      <c r="H347" s="92"/>
      <c r="I347" s="86" t="str">
        <f ca="1">OFFSET(④結果出力!$D$14,MATCH(③各部被害関数計算結果!$C347,④結果出力!$C$14:$C$113,0)-1,2)</f>
        <v/>
      </c>
      <c r="J347" s="92"/>
    </row>
    <row r="348" spans="1:10" x14ac:dyDescent="0.15">
      <c r="A348" s="58">
        <f>ROW()</f>
        <v>348</v>
      </c>
      <c r="B348" s="85" t="str">
        <f t="shared" ca="1" si="5"/>
        <v/>
      </c>
      <c r="C348" s="85" t="s">
        <v>322</v>
      </c>
      <c r="D348" s="85" t="str">
        <f ca="1">OFFSET(④結果出力!$D$14,MATCH(③各部被害関数計算結果!$C348,④結果出力!$C$14:$C$113,0)-1,0)</f>
        <v/>
      </c>
      <c r="E348" s="85" t="s">
        <v>33</v>
      </c>
      <c r="F348" s="86" t="str">
        <f ca="1">OFFSET(④結果出力!$D$14,MATCH(③各部被害関数計算結果!$C348,④結果出力!$C$14:$C$113,0)-1,8)</f>
        <v/>
      </c>
      <c r="G348" s="86" t="str">
        <f ca="1">OFFSET(④結果出力!$D$14,MATCH(③各部被害関数計算結果!$C348,④結果出力!$C$14:$C$113,0)-1,1)</f>
        <v/>
      </c>
      <c r="H348" s="92"/>
      <c r="I348" s="86" t="str">
        <f ca="1">OFFSET(④結果出力!$D$14,MATCH(③各部被害関数計算結果!$C348,④結果出力!$C$14:$C$113,0)-1,2)</f>
        <v/>
      </c>
      <c r="J348" s="92"/>
    </row>
    <row r="349" spans="1:10" x14ac:dyDescent="0.15">
      <c r="A349" s="58">
        <f>ROW()</f>
        <v>349</v>
      </c>
      <c r="B349" s="85" t="str">
        <f t="shared" ca="1" si="5"/>
        <v/>
      </c>
      <c r="C349" s="85" t="s">
        <v>322</v>
      </c>
      <c r="D349" s="85" t="str">
        <f ca="1">OFFSET(④結果出力!$D$14,MATCH(③各部被害関数計算結果!$C349,④結果出力!$C$14:$C$113,0)-1,0)</f>
        <v/>
      </c>
      <c r="E349" s="85" t="s">
        <v>118</v>
      </c>
      <c r="F349" s="86" t="str">
        <f ca="1">OFFSET(④結果出力!$D$14,MATCH(③各部被害関数計算結果!$C349,④結果出力!$C$14:$C$1133,0)-1,13)</f>
        <v/>
      </c>
      <c r="G349" s="86" t="str">
        <f ca="1">OFFSET(④結果出力!$D$14,MATCH(③各部被害関数計算結果!$C349,④結果出力!$C$14:$C$113,0)-1,1)</f>
        <v/>
      </c>
      <c r="H349" s="92"/>
      <c r="I349" s="86" t="str">
        <f ca="1">OFFSET(④結果出力!$D$14,MATCH(③各部被害関数計算結果!$C349,④結果出力!$C$14:$C$113,0)-1,2)</f>
        <v/>
      </c>
      <c r="J349" s="92"/>
    </row>
    <row r="350" spans="1:10" x14ac:dyDescent="0.15">
      <c r="A350" s="58">
        <f>ROW()</f>
        <v>350</v>
      </c>
      <c r="B350" s="85" t="str">
        <f t="shared" ca="1" si="5"/>
        <v/>
      </c>
      <c r="C350" s="85" t="s">
        <v>322</v>
      </c>
      <c r="D350" s="85" t="str">
        <f ca="1">OFFSET(④結果出力!$D$14,MATCH(③各部被害関数計算結果!$C350,④結果出力!$C$14:$C$113,0)-1,0)</f>
        <v/>
      </c>
      <c r="E350" s="85" t="s">
        <v>53</v>
      </c>
      <c r="F350" s="86" t="str">
        <f ca="1">OFFSET(④結果出力!$D$14,MATCH(③各部被害関数計算結果!$C350,④結果出力!$C$14:$C$113,0)-1,18)</f>
        <v/>
      </c>
      <c r="G350" s="86" t="str">
        <f ca="1">OFFSET(④結果出力!$D$14,MATCH(③各部被害関数計算結果!$C350,④結果出力!$C$14:$C$113,0)-1,1)</f>
        <v/>
      </c>
      <c r="H350" s="92"/>
      <c r="I350" s="86" t="str">
        <f ca="1">OFFSET(④結果出力!$D$14,MATCH(③各部被害関数計算結果!$C350,④結果出力!$C$14:$C$113,0)-1,2)</f>
        <v/>
      </c>
      <c r="J350" s="92"/>
    </row>
    <row r="351" spans="1:10" x14ac:dyDescent="0.15">
      <c r="A351" s="58">
        <f>ROW()</f>
        <v>351</v>
      </c>
      <c r="B351" s="85" t="str">
        <f t="shared" ca="1" si="5"/>
        <v/>
      </c>
      <c r="C351" s="85" t="s">
        <v>323</v>
      </c>
      <c r="D351" s="85" t="str">
        <f ca="1">OFFSET(④結果出力!$D$14,MATCH(③各部被害関数計算結果!$C351,④結果出力!$C$14:$C$113,0)-1,0)</f>
        <v/>
      </c>
      <c r="E351" s="85" t="s">
        <v>30</v>
      </c>
      <c r="F351" s="86" t="str">
        <f ca="1">OFFSET(④結果出力!$D$14,MATCH(③各部被害関数計算結果!$C351,④結果出力!$C$14:$C$113,0)-1,3)</f>
        <v/>
      </c>
      <c r="G351" s="86" t="str">
        <f ca="1">OFFSET(④結果出力!$D$14,MATCH(③各部被害関数計算結果!$C351,④結果出力!$C$14:$C$113,0)-1,1)</f>
        <v/>
      </c>
      <c r="H351" s="92"/>
      <c r="I351" s="86" t="str">
        <f ca="1">OFFSET(④結果出力!$D$14,MATCH(③各部被害関数計算結果!$C351,④結果出力!$C$14:$C$113,0)-1,2)</f>
        <v/>
      </c>
      <c r="J351" s="92"/>
    </row>
    <row r="352" spans="1:10" x14ac:dyDescent="0.15">
      <c r="A352" s="58">
        <f>ROW()</f>
        <v>352</v>
      </c>
      <c r="B352" s="85" t="str">
        <f t="shared" ca="1" si="5"/>
        <v/>
      </c>
      <c r="C352" s="85" t="s">
        <v>323</v>
      </c>
      <c r="D352" s="85" t="str">
        <f ca="1">OFFSET(④結果出力!$D$14,MATCH(③各部被害関数計算結果!$C352,④結果出力!$C$14:$C$113,0)-1,0)</f>
        <v/>
      </c>
      <c r="E352" s="85" t="s">
        <v>33</v>
      </c>
      <c r="F352" s="86" t="str">
        <f ca="1">OFFSET(④結果出力!$D$14,MATCH(③各部被害関数計算結果!$C352,④結果出力!$C$14:$C$113,0)-1,8)</f>
        <v/>
      </c>
      <c r="G352" s="86" t="str">
        <f ca="1">OFFSET(④結果出力!$D$14,MATCH(③各部被害関数計算結果!$C352,④結果出力!$C$14:$C$113,0)-1,1)</f>
        <v/>
      </c>
      <c r="H352" s="92"/>
      <c r="I352" s="86" t="str">
        <f ca="1">OFFSET(④結果出力!$D$14,MATCH(③各部被害関数計算結果!$C352,④結果出力!$C$14:$C$113,0)-1,2)</f>
        <v/>
      </c>
      <c r="J352" s="92"/>
    </row>
    <row r="353" spans="1:10" x14ac:dyDescent="0.15">
      <c r="A353" s="58">
        <f>ROW()</f>
        <v>353</v>
      </c>
      <c r="B353" s="85" t="str">
        <f t="shared" ca="1" si="5"/>
        <v/>
      </c>
      <c r="C353" s="85" t="s">
        <v>323</v>
      </c>
      <c r="D353" s="85" t="str">
        <f ca="1">OFFSET(④結果出力!$D$14,MATCH(③各部被害関数計算結果!$C353,④結果出力!$C$14:$C$113,0)-1,0)</f>
        <v/>
      </c>
      <c r="E353" s="85" t="s">
        <v>118</v>
      </c>
      <c r="F353" s="86" t="str">
        <f ca="1">OFFSET(④結果出力!$D$14,MATCH(③各部被害関数計算結果!$C353,④結果出力!$C$14:$C$1133,0)-1,13)</f>
        <v/>
      </c>
      <c r="G353" s="86" t="str">
        <f ca="1">OFFSET(④結果出力!$D$14,MATCH(③各部被害関数計算結果!$C353,④結果出力!$C$14:$C$113,0)-1,1)</f>
        <v/>
      </c>
      <c r="H353" s="92"/>
      <c r="I353" s="86" t="str">
        <f ca="1">OFFSET(④結果出力!$D$14,MATCH(③各部被害関数計算結果!$C353,④結果出力!$C$14:$C$113,0)-1,2)</f>
        <v/>
      </c>
      <c r="J353" s="92"/>
    </row>
    <row r="354" spans="1:10" x14ac:dyDescent="0.15">
      <c r="A354" s="58">
        <f>ROW()</f>
        <v>354</v>
      </c>
      <c r="B354" s="85" t="str">
        <f t="shared" ca="1" si="5"/>
        <v/>
      </c>
      <c r="C354" s="85" t="s">
        <v>323</v>
      </c>
      <c r="D354" s="85" t="str">
        <f ca="1">OFFSET(④結果出力!$D$14,MATCH(③各部被害関数計算結果!$C354,④結果出力!$C$14:$C$113,0)-1,0)</f>
        <v/>
      </c>
      <c r="E354" s="85" t="s">
        <v>53</v>
      </c>
      <c r="F354" s="86" t="str">
        <f ca="1">OFFSET(④結果出力!$D$14,MATCH(③各部被害関数計算結果!$C354,④結果出力!$C$14:$C$113,0)-1,18)</f>
        <v/>
      </c>
      <c r="G354" s="86" t="str">
        <f ca="1">OFFSET(④結果出力!$D$14,MATCH(③各部被害関数計算結果!$C354,④結果出力!$C$14:$C$113,0)-1,1)</f>
        <v/>
      </c>
      <c r="H354" s="92"/>
      <c r="I354" s="86" t="str">
        <f ca="1">OFFSET(④結果出力!$D$14,MATCH(③各部被害関数計算結果!$C354,④結果出力!$C$14:$C$113,0)-1,2)</f>
        <v/>
      </c>
      <c r="J354" s="92"/>
    </row>
    <row r="355" spans="1:10" x14ac:dyDescent="0.15">
      <c r="A355" s="58">
        <f>ROW()</f>
        <v>355</v>
      </c>
      <c r="B355" s="85" t="str">
        <f t="shared" ca="1" si="5"/>
        <v/>
      </c>
      <c r="C355" s="85" t="s">
        <v>324</v>
      </c>
      <c r="D355" s="85" t="str">
        <f ca="1">OFFSET(④結果出力!$D$14,MATCH(③各部被害関数計算結果!$C355,④結果出力!$C$14:$C$113,0)-1,0)</f>
        <v/>
      </c>
      <c r="E355" s="85" t="s">
        <v>30</v>
      </c>
      <c r="F355" s="86" t="str">
        <f ca="1">OFFSET(④結果出力!$D$14,MATCH(③各部被害関数計算結果!$C355,④結果出力!$C$14:$C$113,0)-1,3)</f>
        <v/>
      </c>
      <c r="G355" s="86" t="str">
        <f ca="1">OFFSET(④結果出力!$D$14,MATCH(③各部被害関数計算結果!$C355,④結果出力!$C$14:$C$113,0)-1,1)</f>
        <v/>
      </c>
      <c r="H355" s="92"/>
      <c r="I355" s="86" t="str">
        <f ca="1">OFFSET(④結果出力!$D$14,MATCH(③各部被害関数計算結果!$C355,④結果出力!$C$14:$C$113,0)-1,2)</f>
        <v/>
      </c>
      <c r="J355" s="92"/>
    </row>
    <row r="356" spans="1:10" x14ac:dyDescent="0.15">
      <c r="A356" s="58">
        <f>ROW()</f>
        <v>356</v>
      </c>
      <c r="B356" s="85" t="str">
        <f t="shared" ca="1" si="5"/>
        <v/>
      </c>
      <c r="C356" s="85" t="s">
        <v>324</v>
      </c>
      <c r="D356" s="85" t="str">
        <f ca="1">OFFSET(④結果出力!$D$14,MATCH(③各部被害関数計算結果!$C356,④結果出力!$C$14:$C$113,0)-1,0)</f>
        <v/>
      </c>
      <c r="E356" s="85" t="s">
        <v>33</v>
      </c>
      <c r="F356" s="86" t="str">
        <f ca="1">OFFSET(④結果出力!$D$14,MATCH(③各部被害関数計算結果!$C356,④結果出力!$C$14:$C$113,0)-1,8)</f>
        <v/>
      </c>
      <c r="G356" s="86" t="str">
        <f ca="1">OFFSET(④結果出力!$D$14,MATCH(③各部被害関数計算結果!$C356,④結果出力!$C$14:$C$113,0)-1,1)</f>
        <v/>
      </c>
      <c r="H356" s="92"/>
      <c r="I356" s="86" t="str">
        <f ca="1">OFFSET(④結果出力!$D$14,MATCH(③各部被害関数計算結果!$C356,④結果出力!$C$14:$C$113,0)-1,2)</f>
        <v/>
      </c>
      <c r="J356" s="92"/>
    </row>
    <row r="357" spans="1:10" x14ac:dyDescent="0.15">
      <c r="A357" s="58">
        <f>ROW()</f>
        <v>357</v>
      </c>
      <c r="B357" s="85" t="str">
        <f t="shared" ca="1" si="5"/>
        <v/>
      </c>
      <c r="C357" s="85" t="s">
        <v>324</v>
      </c>
      <c r="D357" s="85" t="str">
        <f ca="1">OFFSET(④結果出力!$D$14,MATCH(③各部被害関数計算結果!$C357,④結果出力!$C$14:$C$113,0)-1,0)</f>
        <v/>
      </c>
      <c r="E357" s="85" t="s">
        <v>118</v>
      </c>
      <c r="F357" s="86" t="str">
        <f ca="1">OFFSET(④結果出力!$D$14,MATCH(③各部被害関数計算結果!$C357,④結果出力!$C$14:$C$1133,0)-1,13)</f>
        <v/>
      </c>
      <c r="G357" s="86" t="str">
        <f ca="1">OFFSET(④結果出力!$D$14,MATCH(③各部被害関数計算結果!$C357,④結果出力!$C$14:$C$113,0)-1,1)</f>
        <v/>
      </c>
      <c r="H357" s="92"/>
      <c r="I357" s="86" t="str">
        <f ca="1">OFFSET(④結果出力!$D$14,MATCH(③各部被害関数計算結果!$C357,④結果出力!$C$14:$C$113,0)-1,2)</f>
        <v/>
      </c>
      <c r="J357" s="92"/>
    </row>
    <row r="358" spans="1:10" x14ac:dyDescent="0.15">
      <c r="A358" s="58">
        <f>ROW()</f>
        <v>358</v>
      </c>
      <c r="B358" s="85" t="str">
        <f t="shared" ca="1" si="5"/>
        <v/>
      </c>
      <c r="C358" s="85" t="s">
        <v>324</v>
      </c>
      <c r="D358" s="85" t="str">
        <f ca="1">OFFSET(④結果出力!$D$14,MATCH(③各部被害関数計算結果!$C358,④結果出力!$C$14:$C$113,0)-1,0)</f>
        <v/>
      </c>
      <c r="E358" s="85" t="s">
        <v>53</v>
      </c>
      <c r="F358" s="86" t="str">
        <f ca="1">OFFSET(④結果出力!$D$14,MATCH(③各部被害関数計算結果!$C358,④結果出力!$C$14:$C$113,0)-1,18)</f>
        <v/>
      </c>
      <c r="G358" s="86" t="str">
        <f ca="1">OFFSET(④結果出力!$D$14,MATCH(③各部被害関数計算結果!$C358,④結果出力!$C$14:$C$113,0)-1,1)</f>
        <v/>
      </c>
      <c r="H358" s="92"/>
      <c r="I358" s="86" t="str">
        <f ca="1">OFFSET(④結果出力!$D$14,MATCH(③各部被害関数計算結果!$C358,④結果出力!$C$14:$C$113,0)-1,2)</f>
        <v/>
      </c>
      <c r="J358" s="92"/>
    </row>
    <row r="359" spans="1:10" x14ac:dyDescent="0.15">
      <c r="A359" s="58">
        <f>ROW()</f>
        <v>359</v>
      </c>
      <c r="B359" s="85" t="str">
        <f t="shared" ca="1" si="5"/>
        <v/>
      </c>
      <c r="C359" s="85" t="s">
        <v>325</v>
      </c>
      <c r="D359" s="85" t="str">
        <f ca="1">OFFSET(④結果出力!$D$14,MATCH(③各部被害関数計算結果!$C359,④結果出力!$C$14:$C$113,0)-1,0)</f>
        <v/>
      </c>
      <c r="E359" s="85" t="s">
        <v>30</v>
      </c>
      <c r="F359" s="86" t="str">
        <f ca="1">OFFSET(④結果出力!$D$14,MATCH(③各部被害関数計算結果!$C359,④結果出力!$C$14:$C$113,0)-1,3)</f>
        <v/>
      </c>
      <c r="G359" s="86" t="str">
        <f ca="1">OFFSET(④結果出力!$D$14,MATCH(③各部被害関数計算結果!$C359,④結果出力!$C$14:$C$113,0)-1,1)</f>
        <v/>
      </c>
      <c r="H359" s="92"/>
      <c r="I359" s="86" t="str">
        <f ca="1">OFFSET(④結果出力!$D$14,MATCH(③各部被害関数計算結果!$C359,④結果出力!$C$14:$C$113,0)-1,2)</f>
        <v/>
      </c>
      <c r="J359" s="92"/>
    </row>
    <row r="360" spans="1:10" x14ac:dyDescent="0.15">
      <c r="A360" s="58">
        <f>ROW()</f>
        <v>360</v>
      </c>
      <c r="B360" s="85" t="str">
        <f t="shared" ca="1" si="5"/>
        <v/>
      </c>
      <c r="C360" s="85" t="s">
        <v>325</v>
      </c>
      <c r="D360" s="85" t="str">
        <f ca="1">OFFSET(④結果出力!$D$14,MATCH(③各部被害関数計算結果!$C360,④結果出力!$C$14:$C$113,0)-1,0)</f>
        <v/>
      </c>
      <c r="E360" s="85" t="s">
        <v>33</v>
      </c>
      <c r="F360" s="86" t="str">
        <f ca="1">OFFSET(④結果出力!$D$14,MATCH(③各部被害関数計算結果!$C360,④結果出力!$C$14:$C$113,0)-1,8)</f>
        <v/>
      </c>
      <c r="G360" s="86" t="str">
        <f ca="1">OFFSET(④結果出力!$D$14,MATCH(③各部被害関数計算結果!$C360,④結果出力!$C$14:$C$113,0)-1,1)</f>
        <v/>
      </c>
      <c r="H360" s="92"/>
      <c r="I360" s="86" t="str">
        <f ca="1">OFFSET(④結果出力!$D$14,MATCH(③各部被害関数計算結果!$C360,④結果出力!$C$14:$C$113,0)-1,2)</f>
        <v/>
      </c>
      <c r="J360" s="92"/>
    </row>
    <row r="361" spans="1:10" x14ac:dyDescent="0.15">
      <c r="A361" s="58">
        <f>ROW()</f>
        <v>361</v>
      </c>
      <c r="B361" s="85" t="str">
        <f t="shared" ca="1" si="5"/>
        <v/>
      </c>
      <c r="C361" s="85" t="s">
        <v>325</v>
      </c>
      <c r="D361" s="85" t="str">
        <f ca="1">OFFSET(④結果出力!$D$14,MATCH(③各部被害関数計算結果!$C361,④結果出力!$C$14:$C$113,0)-1,0)</f>
        <v/>
      </c>
      <c r="E361" s="85" t="s">
        <v>118</v>
      </c>
      <c r="F361" s="86" t="str">
        <f ca="1">OFFSET(④結果出力!$D$14,MATCH(③各部被害関数計算結果!$C361,④結果出力!$C$14:$C$1133,0)-1,13)</f>
        <v/>
      </c>
      <c r="G361" s="86" t="str">
        <f ca="1">OFFSET(④結果出力!$D$14,MATCH(③各部被害関数計算結果!$C361,④結果出力!$C$14:$C$113,0)-1,1)</f>
        <v/>
      </c>
      <c r="H361" s="92"/>
      <c r="I361" s="86" t="str">
        <f ca="1">OFFSET(④結果出力!$D$14,MATCH(③各部被害関数計算結果!$C361,④結果出力!$C$14:$C$113,0)-1,2)</f>
        <v/>
      </c>
      <c r="J361" s="92"/>
    </row>
    <row r="362" spans="1:10" x14ac:dyDescent="0.15">
      <c r="A362" s="58">
        <f>ROW()</f>
        <v>362</v>
      </c>
      <c r="B362" s="85" t="str">
        <f t="shared" ca="1" si="5"/>
        <v/>
      </c>
      <c r="C362" s="85" t="s">
        <v>325</v>
      </c>
      <c r="D362" s="85" t="str">
        <f ca="1">OFFSET(④結果出力!$D$14,MATCH(③各部被害関数計算結果!$C362,④結果出力!$C$14:$C$113,0)-1,0)</f>
        <v/>
      </c>
      <c r="E362" s="85" t="s">
        <v>53</v>
      </c>
      <c r="F362" s="86" t="str">
        <f ca="1">OFFSET(④結果出力!$D$14,MATCH(③各部被害関数計算結果!$C362,④結果出力!$C$14:$C$113,0)-1,18)</f>
        <v/>
      </c>
      <c r="G362" s="86" t="str">
        <f ca="1">OFFSET(④結果出力!$D$14,MATCH(③各部被害関数計算結果!$C362,④結果出力!$C$14:$C$113,0)-1,1)</f>
        <v/>
      </c>
      <c r="H362" s="92"/>
      <c r="I362" s="86" t="str">
        <f ca="1">OFFSET(④結果出力!$D$14,MATCH(③各部被害関数計算結果!$C362,④結果出力!$C$14:$C$113,0)-1,2)</f>
        <v/>
      </c>
      <c r="J362" s="92"/>
    </row>
    <row r="363" spans="1:10" x14ac:dyDescent="0.15">
      <c r="A363" s="58">
        <f>ROW()</f>
        <v>363</v>
      </c>
      <c r="B363" s="85" t="str">
        <f t="shared" ca="1" si="5"/>
        <v/>
      </c>
      <c r="C363" s="85" t="s">
        <v>326</v>
      </c>
      <c r="D363" s="85" t="str">
        <f ca="1">OFFSET(④結果出力!$D$14,MATCH(③各部被害関数計算結果!$C363,④結果出力!$C$14:$C$113,0)-1,0)</f>
        <v/>
      </c>
      <c r="E363" s="85" t="s">
        <v>30</v>
      </c>
      <c r="F363" s="86" t="str">
        <f ca="1">OFFSET(④結果出力!$D$14,MATCH(③各部被害関数計算結果!$C363,④結果出力!$C$14:$C$113,0)-1,3)</f>
        <v/>
      </c>
      <c r="G363" s="86" t="str">
        <f ca="1">OFFSET(④結果出力!$D$14,MATCH(③各部被害関数計算結果!$C363,④結果出力!$C$14:$C$113,0)-1,1)</f>
        <v/>
      </c>
      <c r="H363" s="92"/>
      <c r="I363" s="86" t="str">
        <f ca="1">OFFSET(④結果出力!$D$14,MATCH(③各部被害関数計算結果!$C363,④結果出力!$C$14:$C$113,0)-1,2)</f>
        <v/>
      </c>
      <c r="J363" s="92"/>
    </row>
    <row r="364" spans="1:10" x14ac:dyDescent="0.15">
      <c r="A364" s="58">
        <f>ROW()</f>
        <v>364</v>
      </c>
      <c r="B364" s="85" t="str">
        <f t="shared" ca="1" si="5"/>
        <v/>
      </c>
      <c r="C364" s="85" t="s">
        <v>326</v>
      </c>
      <c r="D364" s="85" t="str">
        <f ca="1">OFFSET(④結果出力!$D$14,MATCH(③各部被害関数計算結果!$C364,④結果出力!$C$14:$C$113,0)-1,0)</f>
        <v/>
      </c>
      <c r="E364" s="85" t="s">
        <v>33</v>
      </c>
      <c r="F364" s="86" t="str">
        <f ca="1">OFFSET(④結果出力!$D$14,MATCH(③各部被害関数計算結果!$C364,④結果出力!$C$14:$C$113,0)-1,8)</f>
        <v/>
      </c>
      <c r="G364" s="86" t="str">
        <f ca="1">OFFSET(④結果出力!$D$14,MATCH(③各部被害関数計算結果!$C364,④結果出力!$C$14:$C$113,0)-1,1)</f>
        <v/>
      </c>
      <c r="H364" s="92"/>
      <c r="I364" s="86" t="str">
        <f ca="1">OFFSET(④結果出力!$D$14,MATCH(③各部被害関数計算結果!$C364,④結果出力!$C$14:$C$113,0)-1,2)</f>
        <v/>
      </c>
      <c r="J364" s="92"/>
    </row>
    <row r="365" spans="1:10" x14ac:dyDescent="0.15">
      <c r="A365" s="58">
        <f>ROW()</f>
        <v>365</v>
      </c>
      <c r="B365" s="85" t="str">
        <f t="shared" ca="1" si="5"/>
        <v/>
      </c>
      <c r="C365" s="85" t="s">
        <v>326</v>
      </c>
      <c r="D365" s="85" t="str">
        <f ca="1">OFFSET(④結果出力!$D$14,MATCH(③各部被害関数計算結果!$C365,④結果出力!$C$14:$C$113,0)-1,0)</f>
        <v/>
      </c>
      <c r="E365" s="85" t="s">
        <v>118</v>
      </c>
      <c r="F365" s="86" t="str">
        <f ca="1">OFFSET(④結果出力!$D$14,MATCH(③各部被害関数計算結果!$C365,④結果出力!$C$14:$C$1133,0)-1,13)</f>
        <v/>
      </c>
      <c r="G365" s="86" t="str">
        <f ca="1">OFFSET(④結果出力!$D$14,MATCH(③各部被害関数計算結果!$C365,④結果出力!$C$14:$C$113,0)-1,1)</f>
        <v/>
      </c>
      <c r="H365" s="92"/>
      <c r="I365" s="86" t="str">
        <f ca="1">OFFSET(④結果出力!$D$14,MATCH(③各部被害関数計算結果!$C365,④結果出力!$C$14:$C$113,0)-1,2)</f>
        <v/>
      </c>
      <c r="J365" s="92"/>
    </row>
    <row r="366" spans="1:10" x14ac:dyDescent="0.15">
      <c r="A366" s="58">
        <f>ROW()</f>
        <v>366</v>
      </c>
      <c r="B366" s="85" t="str">
        <f t="shared" ca="1" si="5"/>
        <v/>
      </c>
      <c r="C366" s="85" t="s">
        <v>326</v>
      </c>
      <c r="D366" s="85" t="str">
        <f ca="1">OFFSET(④結果出力!$D$14,MATCH(③各部被害関数計算結果!$C366,④結果出力!$C$14:$C$113,0)-1,0)</f>
        <v/>
      </c>
      <c r="E366" s="85" t="s">
        <v>53</v>
      </c>
      <c r="F366" s="86" t="str">
        <f ca="1">OFFSET(④結果出力!$D$14,MATCH(③各部被害関数計算結果!$C366,④結果出力!$C$14:$C$113,0)-1,18)</f>
        <v/>
      </c>
      <c r="G366" s="86" t="str">
        <f ca="1">OFFSET(④結果出力!$D$14,MATCH(③各部被害関数計算結果!$C366,④結果出力!$C$14:$C$113,0)-1,1)</f>
        <v/>
      </c>
      <c r="H366" s="92"/>
      <c r="I366" s="86" t="str">
        <f ca="1">OFFSET(④結果出力!$D$14,MATCH(③各部被害関数計算結果!$C366,④結果出力!$C$14:$C$113,0)-1,2)</f>
        <v/>
      </c>
      <c r="J366" s="92"/>
    </row>
    <row r="367" spans="1:10" x14ac:dyDescent="0.15">
      <c r="A367" s="58">
        <f>ROW()</f>
        <v>367</v>
      </c>
      <c r="B367" s="85" t="str">
        <f t="shared" ca="1" si="5"/>
        <v/>
      </c>
      <c r="C367" s="85" t="s">
        <v>327</v>
      </c>
      <c r="D367" s="85" t="str">
        <f ca="1">OFFSET(④結果出力!$D$14,MATCH(③各部被害関数計算結果!$C367,④結果出力!$C$14:$C$113,0)-1,0)</f>
        <v/>
      </c>
      <c r="E367" s="85" t="s">
        <v>30</v>
      </c>
      <c r="F367" s="86" t="str">
        <f ca="1">OFFSET(④結果出力!$D$14,MATCH(③各部被害関数計算結果!$C367,④結果出力!$C$14:$C$113,0)-1,3)</f>
        <v/>
      </c>
      <c r="G367" s="86" t="str">
        <f ca="1">OFFSET(④結果出力!$D$14,MATCH(③各部被害関数計算結果!$C367,④結果出力!$C$14:$C$113,0)-1,1)</f>
        <v/>
      </c>
      <c r="H367" s="92"/>
      <c r="I367" s="86" t="str">
        <f ca="1">OFFSET(④結果出力!$D$14,MATCH(③各部被害関数計算結果!$C367,④結果出力!$C$14:$C$113,0)-1,2)</f>
        <v/>
      </c>
      <c r="J367" s="92"/>
    </row>
    <row r="368" spans="1:10" x14ac:dyDescent="0.15">
      <c r="A368" s="58">
        <f>ROW()</f>
        <v>368</v>
      </c>
      <c r="B368" s="85" t="str">
        <f t="shared" ca="1" si="5"/>
        <v/>
      </c>
      <c r="C368" s="85" t="s">
        <v>327</v>
      </c>
      <c r="D368" s="85" t="str">
        <f ca="1">OFFSET(④結果出力!$D$14,MATCH(③各部被害関数計算結果!$C368,④結果出力!$C$14:$C$113,0)-1,0)</f>
        <v/>
      </c>
      <c r="E368" s="85" t="s">
        <v>33</v>
      </c>
      <c r="F368" s="86" t="str">
        <f ca="1">OFFSET(④結果出力!$D$14,MATCH(③各部被害関数計算結果!$C368,④結果出力!$C$14:$C$113,0)-1,8)</f>
        <v/>
      </c>
      <c r="G368" s="86" t="str">
        <f ca="1">OFFSET(④結果出力!$D$14,MATCH(③各部被害関数計算結果!$C368,④結果出力!$C$14:$C$113,0)-1,1)</f>
        <v/>
      </c>
      <c r="H368" s="92"/>
      <c r="I368" s="86" t="str">
        <f ca="1">OFFSET(④結果出力!$D$14,MATCH(③各部被害関数計算結果!$C368,④結果出力!$C$14:$C$113,0)-1,2)</f>
        <v/>
      </c>
      <c r="J368" s="92"/>
    </row>
    <row r="369" spans="1:10" x14ac:dyDescent="0.15">
      <c r="A369" s="58">
        <f>ROW()</f>
        <v>369</v>
      </c>
      <c r="B369" s="85" t="str">
        <f t="shared" ca="1" si="5"/>
        <v/>
      </c>
      <c r="C369" s="85" t="s">
        <v>327</v>
      </c>
      <c r="D369" s="85" t="str">
        <f ca="1">OFFSET(④結果出力!$D$14,MATCH(③各部被害関数計算結果!$C369,④結果出力!$C$14:$C$113,0)-1,0)</f>
        <v/>
      </c>
      <c r="E369" s="85" t="s">
        <v>118</v>
      </c>
      <c r="F369" s="86" t="str">
        <f ca="1">OFFSET(④結果出力!$D$14,MATCH(③各部被害関数計算結果!$C369,④結果出力!$C$14:$C$1133,0)-1,13)</f>
        <v/>
      </c>
      <c r="G369" s="86" t="str">
        <f ca="1">OFFSET(④結果出力!$D$14,MATCH(③各部被害関数計算結果!$C369,④結果出力!$C$14:$C$113,0)-1,1)</f>
        <v/>
      </c>
      <c r="H369" s="92"/>
      <c r="I369" s="86" t="str">
        <f ca="1">OFFSET(④結果出力!$D$14,MATCH(③各部被害関数計算結果!$C369,④結果出力!$C$14:$C$113,0)-1,2)</f>
        <v/>
      </c>
      <c r="J369" s="92"/>
    </row>
    <row r="370" spans="1:10" x14ac:dyDescent="0.15">
      <c r="A370" s="58">
        <f>ROW()</f>
        <v>370</v>
      </c>
      <c r="B370" s="85" t="str">
        <f t="shared" ca="1" si="5"/>
        <v/>
      </c>
      <c r="C370" s="85" t="s">
        <v>327</v>
      </c>
      <c r="D370" s="85" t="str">
        <f ca="1">OFFSET(④結果出力!$D$14,MATCH(③各部被害関数計算結果!$C370,④結果出力!$C$14:$C$113,0)-1,0)</f>
        <v/>
      </c>
      <c r="E370" s="85" t="s">
        <v>53</v>
      </c>
      <c r="F370" s="86" t="str">
        <f ca="1">OFFSET(④結果出力!$D$14,MATCH(③各部被害関数計算結果!$C370,④結果出力!$C$14:$C$113,0)-1,18)</f>
        <v/>
      </c>
      <c r="G370" s="86" t="str">
        <f ca="1">OFFSET(④結果出力!$D$14,MATCH(③各部被害関数計算結果!$C370,④結果出力!$C$14:$C$113,0)-1,1)</f>
        <v/>
      </c>
      <c r="H370" s="92"/>
      <c r="I370" s="86" t="str">
        <f ca="1">OFFSET(④結果出力!$D$14,MATCH(③各部被害関数計算結果!$C370,④結果出力!$C$14:$C$113,0)-1,2)</f>
        <v/>
      </c>
      <c r="J370" s="92"/>
    </row>
    <row r="371" spans="1:10" x14ac:dyDescent="0.15">
      <c r="A371" s="58">
        <f>ROW()</f>
        <v>371</v>
      </c>
      <c r="B371" s="85" t="str">
        <f t="shared" ca="1" si="5"/>
        <v/>
      </c>
      <c r="C371" s="85" t="s">
        <v>328</v>
      </c>
      <c r="D371" s="85" t="str">
        <f ca="1">OFFSET(④結果出力!$D$14,MATCH(③各部被害関数計算結果!$C371,④結果出力!$C$14:$C$113,0)-1,0)</f>
        <v/>
      </c>
      <c r="E371" s="85" t="s">
        <v>30</v>
      </c>
      <c r="F371" s="86" t="str">
        <f ca="1">OFFSET(④結果出力!$D$14,MATCH(③各部被害関数計算結果!$C371,④結果出力!$C$14:$C$113,0)-1,3)</f>
        <v/>
      </c>
      <c r="G371" s="86" t="str">
        <f ca="1">OFFSET(④結果出力!$D$14,MATCH(③各部被害関数計算結果!$C371,④結果出力!$C$14:$C$113,0)-1,1)</f>
        <v/>
      </c>
      <c r="H371" s="92"/>
      <c r="I371" s="86" t="str">
        <f ca="1">OFFSET(④結果出力!$D$14,MATCH(③各部被害関数計算結果!$C371,④結果出力!$C$14:$C$113,0)-1,2)</f>
        <v/>
      </c>
      <c r="J371" s="92"/>
    </row>
    <row r="372" spans="1:10" x14ac:dyDescent="0.15">
      <c r="A372" s="58">
        <f>ROW()</f>
        <v>372</v>
      </c>
      <c r="B372" s="85" t="str">
        <f t="shared" ca="1" si="5"/>
        <v/>
      </c>
      <c r="C372" s="85" t="s">
        <v>328</v>
      </c>
      <c r="D372" s="85" t="str">
        <f ca="1">OFFSET(④結果出力!$D$14,MATCH(③各部被害関数計算結果!$C372,④結果出力!$C$14:$C$113,0)-1,0)</f>
        <v/>
      </c>
      <c r="E372" s="85" t="s">
        <v>33</v>
      </c>
      <c r="F372" s="86" t="str">
        <f ca="1">OFFSET(④結果出力!$D$14,MATCH(③各部被害関数計算結果!$C372,④結果出力!$C$14:$C$113,0)-1,8)</f>
        <v/>
      </c>
      <c r="G372" s="86" t="str">
        <f ca="1">OFFSET(④結果出力!$D$14,MATCH(③各部被害関数計算結果!$C372,④結果出力!$C$14:$C$113,0)-1,1)</f>
        <v/>
      </c>
      <c r="H372" s="92"/>
      <c r="I372" s="86" t="str">
        <f ca="1">OFFSET(④結果出力!$D$14,MATCH(③各部被害関数計算結果!$C372,④結果出力!$C$14:$C$113,0)-1,2)</f>
        <v/>
      </c>
      <c r="J372" s="92"/>
    </row>
    <row r="373" spans="1:10" x14ac:dyDescent="0.15">
      <c r="A373" s="58">
        <f>ROW()</f>
        <v>373</v>
      </c>
      <c r="B373" s="85" t="str">
        <f t="shared" ca="1" si="5"/>
        <v/>
      </c>
      <c r="C373" s="85" t="s">
        <v>328</v>
      </c>
      <c r="D373" s="85" t="str">
        <f ca="1">OFFSET(④結果出力!$D$14,MATCH(③各部被害関数計算結果!$C373,④結果出力!$C$14:$C$113,0)-1,0)</f>
        <v/>
      </c>
      <c r="E373" s="85" t="s">
        <v>118</v>
      </c>
      <c r="F373" s="86" t="str">
        <f ca="1">OFFSET(④結果出力!$D$14,MATCH(③各部被害関数計算結果!$C373,④結果出力!$C$14:$C$1133,0)-1,13)</f>
        <v/>
      </c>
      <c r="G373" s="86" t="str">
        <f ca="1">OFFSET(④結果出力!$D$14,MATCH(③各部被害関数計算結果!$C373,④結果出力!$C$14:$C$113,0)-1,1)</f>
        <v/>
      </c>
      <c r="H373" s="92"/>
      <c r="I373" s="86" t="str">
        <f ca="1">OFFSET(④結果出力!$D$14,MATCH(③各部被害関数計算結果!$C373,④結果出力!$C$14:$C$113,0)-1,2)</f>
        <v/>
      </c>
      <c r="J373" s="92"/>
    </row>
    <row r="374" spans="1:10" x14ac:dyDescent="0.15">
      <c r="A374" s="58">
        <f>ROW()</f>
        <v>374</v>
      </c>
      <c r="B374" s="85" t="str">
        <f t="shared" ca="1" si="5"/>
        <v/>
      </c>
      <c r="C374" s="85" t="s">
        <v>328</v>
      </c>
      <c r="D374" s="85" t="str">
        <f ca="1">OFFSET(④結果出力!$D$14,MATCH(③各部被害関数計算結果!$C374,④結果出力!$C$14:$C$113,0)-1,0)</f>
        <v/>
      </c>
      <c r="E374" s="85" t="s">
        <v>53</v>
      </c>
      <c r="F374" s="86" t="str">
        <f ca="1">OFFSET(④結果出力!$D$14,MATCH(③各部被害関数計算結果!$C374,④結果出力!$C$14:$C$113,0)-1,18)</f>
        <v/>
      </c>
      <c r="G374" s="86" t="str">
        <f ca="1">OFFSET(④結果出力!$D$14,MATCH(③各部被害関数計算結果!$C374,④結果出力!$C$14:$C$113,0)-1,1)</f>
        <v/>
      </c>
      <c r="H374" s="92"/>
      <c r="I374" s="86" t="str">
        <f ca="1">OFFSET(④結果出力!$D$14,MATCH(③各部被害関数計算結果!$C374,④結果出力!$C$14:$C$113,0)-1,2)</f>
        <v/>
      </c>
      <c r="J374" s="92"/>
    </row>
    <row r="375" spans="1:10" x14ac:dyDescent="0.15">
      <c r="A375" s="58">
        <f>ROW()</f>
        <v>375</v>
      </c>
      <c r="B375" s="85" t="str">
        <f t="shared" ca="1" si="5"/>
        <v/>
      </c>
      <c r="C375" s="85" t="s">
        <v>329</v>
      </c>
      <c r="D375" s="85" t="str">
        <f ca="1">OFFSET(④結果出力!$D$14,MATCH(③各部被害関数計算結果!$C375,④結果出力!$C$14:$C$113,0)-1,0)</f>
        <v/>
      </c>
      <c r="E375" s="85" t="s">
        <v>30</v>
      </c>
      <c r="F375" s="86" t="str">
        <f ca="1">OFFSET(④結果出力!$D$14,MATCH(③各部被害関数計算結果!$C375,④結果出力!$C$14:$C$113,0)-1,3)</f>
        <v/>
      </c>
      <c r="G375" s="86" t="str">
        <f ca="1">OFFSET(④結果出力!$D$14,MATCH(③各部被害関数計算結果!$C375,④結果出力!$C$14:$C$113,0)-1,1)</f>
        <v/>
      </c>
      <c r="H375" s="92"/>
      <c r="I375" s="86" t="str">
        <f ca="1">OFFSET(④結果出力!$D$14,MATCH(③各部被害関数計算結果!$C375,④結果出力!$C$14:$C$113,0)-1,2)</f>
        <v/>
      </c>
      <c r="J375" s="92"/>
    </row>
    <row r="376" spans="1:10" x14ac:dyDescent="0.15">
      <c r="A376" s="58">
        <f>ROW()</f>
        <v>376</v>
      </c>
      <c r="B376" s="85" t="str">
        <f t="shared" ca="1" si="5"/>
        <v/>
      </c>
      <c r="C376" s="85" t="s">
        <v>329</v>
      </c>
      <c r="D376" s="85" t="str">
        <f ca="1">OFFSET(④結果出力!$D$14,MATCH(③各部被害関数計算結果!$C376,④結果出力!$C$14:$C$113,0)-1,0)</f>
        <v/>
      </c>
      <c r="E376" s="85" t="s">
        <v>33</v>
      </c>
      <c r="F376" s="86" t="str">
        <f ca="1">OFFSET(④結果出力!$D$14,MATCH(③各部被害関数計算結果!$C376,④結果出力!$C$14:$C$113,0)-1,8)</f>
        <v/>
      </c>
      <c r="G376" s="86" t="str">
        <f ca="1">OFFSET(④結果出力!$D$14,MATCH(③各部被害関数計算結果!$C376,④結果出力!$C$14:$C$113,0)-1,1)</f>
        <v/>
      </c>
      <c r="H376" s="92"/>
      <c r="I376" s="86" t="str">
        <f ca="1">OFFSET(④結果出力!$D$14,MATCH(③各部被害関数計算結果!$C376,④結果出力!$C$14:$C$113,0)-1,2)</f>
        <v/>
      </c>
      <c r="J376" s="92"/>
    </row>
    <row r="377" spans="1:10" x14ac:dyDescent="0.15">
      <c r="A377" s="58">
        <f>ROW()</f>
        <v>377</v>
      </c>
      <c r="B377" s="85" t="str">
        <f t="shared" ca="1" si="5"/>
        <v/>
      </c>
      <c r="C377" s="85" t="s">
        <v>329</v>
      </c>
      <c r="D377" s="85" t="str">
        <f ca="1">OFFSET(④結果出力!$D$14,MATCH(③各部被害関数計算結果!$C377,④結果出力!$C$14:$C$113,0)-1,0)</f>
        <v/>
      </c>
      <c r="E377" s="85" t="s">
        <v>118</v>
      </c>
      <c r="F377" s="86" t="str">
        <f ca="1">OFFSET(④結果出力!$D$14,MATCH(③各部被害関数計算結果!$C377,④結果出力!$C$14:$C$1133,0)-1,13)</f>
        <v/>
      </c>
      <c r="G377" s="86" t="str">
        <f ca="1">OFFSET(④結果出力!$D$14,MATCH(③各部被害関数計算結果!$C377,④結果出力!$C$14:$C$113,0)-1,1)</f>
        <v/>
      </c>
      <c r="H377" s="92"/>
      <c r="I377" s="86" t="str">
        <f ca="1">OFFSET(④結果出力!$D$14,MATCH(③各部被害関数計算結果!$C377,④結果出力!$C$14:$C$113,0)-1,2)</f>
        <v/>
      </c>
      <c r="J377" s="92"/>
    </row>
    <row r="378" spans="1:10" x14ac:dyDescent="0.15">
      <c r="A378" s="58">
        <f>ROW()</f>
        <v>378</v>
      </c>
      <c r="B378" s="85" t="str">
        <f t="shared" ca="1" si="5"/>
        <v/>
      </c>
      <c r="C378" s="85" t="s">
        <v>329</v>
      </c>
      <c r="D378" s="85" t="str">
        <f ca="1">OFFSET(④結果出力!$D$14,MATCH(③各部被害関数計算結果!$C378,④結果出力!$C$14:$C$113,0)-1,0)</f>
        <v/>
      </c>
      <c r="E378" s="85" t="s">
        <v>53</v>
      </c>
      <c r="F378" s="86" t="str">
        <f ca="1">OFFSET(④結果出力!$D$14,MATCH(③各部被害関数計算結果!$C378,④結果出力!$C$14:$C$113,0)-1,18)</f>
        <v/>
      </c>
      <c r="G378" s="86" t="str">
        <f ca="1">OFFSET(④結果出力!$D$14,MATCH(③各部被害関数計算結果!$C378,④結果出力!$C$14:$C$113,0)-1,1)</f>
        <v/>
      </c>
      <c r="H378" s="92"/>
      <c r="I378" s="86" t="str">
        <f ca="1">OFFSET(④結果出力!$D$14,MATCH(③各部被害関数計算結果!$C378,④結果出力!$C$14:$C$113,0)-1,2)</f>
        <v/>
      </c>
      <c r="J378" s="92"/>
    </row>
    <row r="379" spans="1:10" x14ac:dyDescent="0.15">
      <c r="A379" s="58">
        <f>ROW()</f>
        <v>379</v>
      </c>
      <c r="B379" s="85" t="str">
        <f t="shared" ca="1" si="5"/>
        <v/>
      </c>
      <c r="C379" s="85" t="s">
        <v>330</v>
      </c>
      <c r="D379" s="85" t="str">
        <f ca="1">OFFSET(④結果出力!$D$14,MATCH(③各部被害関数計算結果!$C379,④結果出力!$C$14:$C$113,0)-1,0)</f>
        <v/>
      </c>
      <c r="E379" s="85" t="s">
        <v>30</v>
      </c>
      <c r="F379" s="86" t="str">
        <f ca="1">OFFSET(④結果出力!$D$14,MATCH(③各部被害関数計算結果!$C379,④結果出力!$C$14:$C$113,0)-1,3)</f>
        <v/>
      </c>
      <c r="G379" s="86" t="str">
        <f ca="1">OFFSET(④結果出力!$D$14,MATCH(③各部被害関数計算結果!$C379,④結果出力!$C$14:$C$113,0)-1,1)</f>
        <v/>
      </c>
      <c r="H379" s="92"/>
      <c r="I379" s="86" t="str">
        <f ca="1">OFFSET(④結果出力!$D$14,MATCH(③各部被害関数計算結果!$C379,④結果出力!$C$14:$C$113,0)-1,2)</f>
        <v/>
      </c>
      <c r="J379" s="92"/>
    </row>
    <row r="380" spans="1:10" x14ac:dyDescent="0.15">
      <c r="A380" s="58">
        <f>ROW()</f>
        <v>380</v>
      </c>
      <c r="B380" s="85" t="str">
        <f t="shared" ca="1" si="5"/>
        <v/>
      </c>
      <c r="C380" s="85" t="s">
        <v>330</v>
      </c>
      <c r="D380" s="85" t="str">
        <f ca="1">OFFSET(④結果出力!$D$14,MATCH(③各部被害関数計算結果!$C380,④結果出力!$C$14:$C$113,0)-1,0)</f>
        <v/>
      </c>
      <c r="E380" s="85" t="s">
        <v>33</v>
      </c>
      <c r="F380" s="86" t="str">
        <f ca="1">OFFSET(④結果出力!$D$14,MATCH(③各部被害関数計算結果!$C380,④結果出力!$C$14:$C$113,0)-1,8)</f>
        <v/>
      </c>
      <c r="G380" s="86" t="str">
        <f ca="1">OFFSET(④結果出力!$D$14,MATCH(③各部被害関数計算結果!$C380,④結果出力!$C$14:$C$113,0)-1,1)</f>
        <v/>
      </c>
      <c r="H380" s="92"/>
      <c r="I380" s="86" t="str">
        <f ca="1">OFFSET(④結果出力!$D$14,MATCH(③各部被害関数計算結果!$C380,④結果出力!$C$14:$C$113,0)-1,2)</f>
        <v/>
      </c>
      <c r="J380" s="92"/>
    </row>
    <row r="381" spans="1:10" x14ac:dyDescent="0.15">
      <c r="A381" s="58">
        <f>ROW()</f>
        <v>381</v>
      </c>
      <c r="B381" s="85" t="str">
        <f t="shared" ca="1" si="5"/>
        <v/>
      </c>
      <c r="C381" s="85" t="s">
        <v>330</v>
      </c>
      <c r="D381" s="85" t="str">
        <f ca="1">OFFSET(④結果出力!$D$14,MATCH(③各部被害関数計算結果!$C381,④結果出力!$C$14:$C$113,0)-1,0)</f>
        <v/>
      </c>
      <c r="E381" s="85" t="s">
        <v>118</v>
      </c>
      <c r="F381" s="86" t="str">
        <f ca="1">OFFSET(④結果出力!$D$14,MATCH(③各部被害関数計算結果!$C381,④結果出力!$C$14:$C$1133,0)-1,13)</f>
        <v/>
      </c>
      <c r="G381" s="86" t="str">
        <f ca="1">OFFSET(④結果出力!$D$14,MATCH(③各部被害関数計算結果!$C381,④結果出力!$C$14:$C$113,0)-1,1)</f>
        <v/>
      </c>
      <c r="H381" s="92"/>
      <c r="I381" s="86" t="str">
        <f ca="1">OFFSET(④結果出力!$D$14,MATCH(③各部被害関数計算結果!$C381,④結果出力!$C$14:$C$113,0)-1,2)</f>
        <v/>
      </c>
      <c r="J381" s="92"/>
    </row>
    <row r="382" spans="1:10" x14ac:dyDescent="0.15">
      <c r="A382" s="58">
        <f>ROW()</f>
        <v>382</v>
      </c>
      <c r="B382" s="85" t="str">
        <f t="shared" ca="1" si="5"/>
        <v/>
      </c>
      <c r="C382" s="85" t="s">
        <v>330</v>
      </c>
      <c r="D382" s="85" t="str">
        <f ca="1">OFFSET(④結果出力!$D$14,MATCH(③各部被害関数計算結果!$C382,④結果出力!$C$14:$C$113,0)-1,0)</f>
        <v/>
      </c>
      <c r="E382" s="85" t="s">
        <v>53</v>
      </c>
      <c r="F382" s="86" t="str">
        <f ca="1">OFFSET(④結果出力!$D$14,MATCH(③各部被害関数計算結果!$C382,④結果出力!$C$14:$C$113,0)-1,18)</f>
        <v/>
      </c>
      <c r="G382" s="86" t="str">
        <f ca="1">OFFSET(④結果出力!$D$14,MATCH(③各部被害関数計算結果!$C382,④結果出力!$C$14:$C$113,0)-1,1)</f>
        <v/>
      </c>
      <c r="H382" s="92"/>
      <c r="I382" s="86" t="str">
        <f ca="1">OFFSET(④結果出力!$D$14,MATCH(③各部被害関数計算結果!$C382,④結果出力!$C$14:$C$113,0)-1,2)</f>
        <v/>
      </c>
      <c r="J382" s="92"/>
    </row>
    <row r="383" spans="1:10" x14ac:dyDescent="0.15">
      <c r="A383" s="58">
        <f>ROW()</f>
        <v>383</v>
      </c>
      <c r="B383" s="85" t="str">
        <f t="shared" ca="1" si="5"/>
        <v/>
      </c>
      <c r="C383" s="85" t="s">
        <v>331</v>
      </c>
      <c r="D383" s="85" t="str">
        <f ca="1">OFFSET(④結果出力!$D$14,MATCH(③各部被害関数計算結果!$C383,④結果出力!$C$14:$C$113,0)-1,0)</f>
        <v/>
      </c>
      <c r="E383" s="85" t="s">
        <v>30</v>
      </c>
      <c r="F383" s="86" t="str">
        <f ca="1">OFFSET(④結果出力!$D$14,MATCH(③各部被害関数計算結果!$C383,④結果出力!$C$14:$C$113,0)-1,3)</f>
        <v/>
      </c>
      <c r="G383" s="86" t="str">
        <f ca="1">OFFSET(④結果出力!$D$14,MATCH(③各部被害関数計算結果!$C383,④結果出力!$C$14:$C$113,0)-1,1)</f>
        <v/>
      </c>
      <c r="H383" s="92"/>
      <c r="I383" s="86" t="str">
        <f ca="1">OFFSET(④結果出力!$D$14,MATCH(③各部被害関数計算結果!$C383,④結果出力!$C$14:$C$113,0)-1,2)</f>
        <v/>
      </c>
      <c r="J383" s="92"/>
    </row>
    <row r="384" spans="1:10" x14ac:dyDescent="0.15">
      <c r="A384" s="58">
        <f>ROW()</f>
        <v>384</v>
      </c>
      <c r="B384" s="85" t="str">
        <f t="shared" ca="1" si="5"/>
        <v/>
      </c>
      <c r="C384" s="85" t="s">
        <v>331</v>
      </c>
      <c r="D384" s="85" t="str">
        <f ca="1">OFFSET(④結果出力!$D$14,MATCH(③各部被害関数計算結果!$C384,④結果出力!$C$14:$C$113,0)-1,0)</f>
        <v/>
      </c>
      <c r="E384" s="85" t="s">
        <v>33</v>
      </c>
      <c r="F384" s="86" t="str">
        <f ca="1">OFFSET(④結果出力!$D$14,MATCH(③各部被害関数計算結果!$C384,④結果出力!$C$14:$C$113,0)-1,8)</f>
        <v/>
      </c>
      <c r="G384" s="86" t="str">
        <f ca="1">OFFSET(④結果出力!$D$14,MATCH(③各部被害関数計算結果!$C384,④結果出力!$C$14:$C$113,0)-1,1)</f>
        <v/>
      </c>
      <c r="H384" s="92"/>
      <c r="I384" s="86" t="str">
        <f ca="1">OFFSET(④結果出力!$D$14,MATCH(③各部被害関数計算結果!$C384,④結果出力!$C$14:$C$113,0)-1,2)</f>
        <v/>
      </c>
      <c r="J384" s="92"/>
    </row>
    <row r="385" spans="1:10" x14ac:dyDescent="0.15">
      <c r="A385" s="58">
        <f>ROW()</f>
        <v>385</v>
      </c>
      <c r="B385" s="85" t="str">
        <f t="shared" ca="1" si="5"/>
        <v/>
      </c>
      <c r="C385" s="85" t="s">
        <v>331</v>
      </c>
      <c r="D385" s="85" t="str">
        <f ca="1">OFFSET(④結果出力!$D$14,MATCH(③各部被害関数計算結果!$C385,④結果出力!$C$14:$C$113,0)-1,0)</f>
        <v/>
      </c>
      <c r="E385" s="85" t="s">
        <v>118</v>
      </c>
      <c r="F385" s="86" t="str">
        <f ca="1">OFFSET(④結果出力!$D$14,MATCH(③各部被害関数計算結果!$C385,④結果出力!$C$14:$C$1133,0)-1,13)</f>
        <v/>
      </c>
      <c r="G385" s="86" t="str">
        <f ca="1">OFFSET(④結果出力!$D$14,MATCH(③各部被害関数計算結果!$C385,④結果出力!$C$14:$C$113,0)-1,1)</f>
        <v/>
      </c>
      <c r="H385" s="92"/>
      <c r="I385" s="86" t="str">
        <f ca="1">OFFSET(④結果出力!$D$14,MATCH(③各部被害関数計算結果!$C385,④結果出力!$C$14:$C$113,0)-1,2)</f>
        <v/>
      </c>
      <c r="J385" s="92"/>
    </row>
    <row r="386" spans="1:10" x14ac:dyDescent="0.15">
      <c r="A386" s="58">
        <f>ROW()</f>
        <v>386</v>
      </c>
      <c r="B386" s="85" t="str">
        <f t="shared" ca="1" si="5"/>
        <v/>
      </c>
      <c r="C386" s="85" t="s">
        <v>331</v>
      </c>
      <c r="D386" s="85" t="str">
        <f ca="1">OFFSET(④結果出力!$D$14,MATCH(③各部被害関数計算結果!$C386,④結果出力!$C$14:$C$113,0)-1,0)</f>
        <v/>
      </c>
      <c r="E386" s="85" t="s">
        <v>53</v>
      </c>
      <c r="F386" s="86" t="str">
        <f ca="1">OFFSET(④結果出力!$D$14,MATCH(③各部被害関数計算結果!$C386,④結果出力!$C$14:$C$113,0)-1,18)</f>
        <v/>
      </c>
      <c r="G386" s="86" t="str">
        <f ca="1">OFFSET(④結果出力!$D$14,MATCH(③各部被害関数計算結果!$C386,④結果出力!$C$14:$C$113,0)-1,1)</f>
        <v/>
      </c>
      <c r="H386" s="92"/>
      <c r="I386" s="86" t="str">
        <f ca="1">OFFSET(④結果出力!$D$14,MATCH(③各部被害関数計算結果!$C386,④結果出力!$C$14:$C$113,0)-1,2)</f>
        <v/>
      </c>
      <c r="J386" s="92"/>
    </row>
    <row r="387" spans="1:10" x14ac:dyDescent="0.15">
      <c r="A387" s="58">
        <f>ROW()</f>
        <v>387</v>
      </c>
      <c r="B387" s="85" t="str">
        <f t="shared" ref="B387:B402" ca="1" si="6">IF(D387&lt;&gt;"","●","")</f>
        <v/>
      </c>
      <c r="C387" s="85" t="s">
        <v>332</v>
      </c>
      <c r="D387" s="85" t="str">
        <f ca="1">OFFSET(④結果出力!$D$14,MATCH(③各部被害関数計算結果!$C387,④結果出力!$C$14:$C$113,0)-1,0)</f>
        <v/>
      </c>
      <c r="E387" s="85" t="s">
        <v>30</v>
      </c>
      <c r="F387" s="86" t="str">
        <f ca="1">OFFSET(④結果出力!$D$14,MATCH(③各部被害関数計算結果!$C387,④結果出力!$C$14:$C$113,0)-1,3)</f>
        <v/>
      </c>
      <c r="G387" s="86" t="str">
        <f ca="1">OFFSET(④結果出力!$D$14,MATCH(③各部被害関数計算結果!$C387,④結果出力!$C$14:$C$113,0)-1,1)</f>
        <v/>
      </c>
      <c r="H387" s="92"/>
      <c r="I387" s="86" t="str">
        <f ca="1">OFFSET(④結果出力!$D$14,MATCH(③各部被害関数計算結果!$C387,④結果出力!$C$14:$C$113,0)-1,2)</f>
        <v/>
      </c>
      <c r="J387" s="92"/>
    </row>
    <row r="388" spans="1:10" x14ac:dyDescent="0.15">
      <c r="A388" s="58">
        <f>ROW()</f>
        <v>388</v>
      </c>
      <c r="B388" s="85" t="str">
        <f t="shared" ca="1" si="6"/>
        <v/>
      </c>
      <c r="C388" s="85" t="s">
        <v>332</v>
      </c>
      <c r="D388" s="85" t="str">
        <f ca="1">OFFSET(④結果出力!$D$14,MATCH(③各部被害関数計算結果!$C388,④結果出力!$C$14:$C$113,0)-1,0)</f>
        <v/>
      </c>
      <c r="E388" s="85" t="s">
        <v>33</v>
      </c>
      <c r="F388" s="86" t="str">
        <f ca="1">OFFSET(④結果出力!$D$14,MATCH(③各部被害関数計算結果!$C388,④結果出力!$C$14:$C$113,0)-1,8)</f>
        <v/>
      </c>
      <c r="G388" s="86" t="str">
        <f ca="1">OFFSET(④結果出力!$D$14,MATCH(③各部被害関数計算結果!$C388,④結果出力!$C$14:$C$113,0)-1,1)</f>
        <v/>
      </c>
      <c r="H388" s="92"/>
      <c r="I388" s="86" t="str">
        <f ca="1">OFFSET(④結果出力!$D$14,MATCH(③各部被害関数計算結果!$C388,④結果出力!$C$14:$C$113,0)-1,2)</f>
        <v/>
      </c>
      <c r="J388" s="92"/>
    </row>
    <row r="389" spans="1:10" x14ac:dyDescent="0.15">
      <c r="A389" s="58">
        <f>ROW()</f>
        <v>389</v>
      </c>
      <c r="B389" s="85" t="str">
        <f t="shared" ca="1" si="6"/>
        <v/>
      </c>
      <c r="C389" s="85" t="s">
        <v>332</v>
      </c>
      <c r="D389" s="85" t="str">
        <f ca="1">OFFSET(④結果出力!$D$14,MATCH(③各部被害関数計算結果!$C389,④結果出力!$C$14:$C$113,0)-1,0)</f>
        <v/>
      </c>
      <c r="E389" s="85" t="s">
        <v>118</v>
      </c>
      <c r="F389" s="86" t="str">
        <f ca="1">OFFSET(④結果出力!$D$14,MATCH(③各部被害関数計算結果!$C389,④結果出力!$C$14:$C$1133,0)-1,13)</f>
        <v/>
      </c>
      <c r="G389" s="86" t="str">
        <f ca="1">OFFSET(④結果出力!$D$14,MATCH(③各部被害関数計算結果!$C389,④結果出力!$C$14:$C$113,0)-1,1)</f>
        <v/>
      </c>
      <c r="H389" s="92"/>
      <c r="I389" s="86" t="str">
        <f ca="1">OFFSET(④結果出力!$D$14,MATCH(③各部被害関数計算結果!$C389,④結果出力!$C$14:$C$113,0)-1,2)</f>
        <v/>
      </c>
      <c r="J389" s="92"/>
    </row>
    <row r="390" spans="1:10" x14ac:dyDescent="0.15">
      <c r="A390" s="58">
        <f>ROW()</f>
        <v>390</v>
      </c>
      <c r="B390" s="85" t="str">
        <f t="shared" ca="1" si="6"/>
        <v/>
      </c>
      <c r="C390" s="85" t="s">
        <v>332</v>
      </c>
      <c r="D390" s="85" t="str">
        <f ca="1">OFFSET(④結果出力!$D$14,MATCH(③各部被害関数計算結果!$C390,④結果出力!$C$14:$C$113,0)-1,0)</f>
        <v/>
      </c>
      <c r="E390" s="85" t="s">
        <v>53</v>
      </c>
      <c r="F390" s="86" t="str">
        <f ca="1">OFFSET(④結果出力!$D$14,MATCH(③各部被害関数計算結果!$C390,④結果出力!$C$14:$C$113,0)-1,18)</f>
        <v/>
      </c>
      <c r="G390" s="86" t="str">
        <f ca="1">OFFSET(④結果出力!$D$14,MATCH(③各部被害関数計算結果!$C390,④結果出力!$C$14:$C$113,0)-1,1)</f>
        <v/>
      </c>
      <c r="H390" s="92"/>
      <c r="I390" s="86" t="str">
        <f ca="1">OFFSET(④結果出力!$D$14,MATCH(③各部被害関数計算結果!$C390,④結果出力!$C$14:$C$113,0)-1,2)</f>
        <v/>
      </c>
      <c r="J390" s="92"/>
    </row>
    <row r="391" spans="1:10" x14ac:dyDescent="0.15">
      <c r="A391" s="58">
        <f>ROW()</f>
        <v>391</v>
      </c>
      <c r="B391" s="85" t="str">
        <f t="shared" ca="1" si="6"/>
        <v/>
      </c>
      <c r="C391" s="85" t="s">
        <v>333</v>
      </c>
      <c r="D391" s="85" t="str">
        <f ca="1">OFFSET(④結果出力!$D$14,MATCH(③各部被害関数計算結果!$C391,④結果出力!$C$14:$C$113,0)-1,0)</f>
        <v/>
      </c>
      <c r="E391" s="85" t="s">
        <v>30</v>
      </c>
      <c r="F391" s="86" t="str">
        <f ca="1">OFFSET(④結果出力!$D$14,MATCH(③各部被害関数計算結果!$C391,④結果出力!$C$14:$C$113,0)-1,3)</f>
        <v/>
      </c>
      <c r="G391" s="86" t="str">
        <f ca="1">OFFSET(④結果出力!$D$14,MATCH(③各部被害関数計算結果!$C391,④結果出力!$C$14:$C$113,0)-1,1)</f>
        <v/>
      </c>
      <c r="H391" s="92"/>
      <c r="I391" s="86" t="str">
        <f ca="1">OFFSET(④結果出力!$D$14,MATCH(③各部被害関数計算結果!$C391,④結果出力!$C$14:$C$113,0)-1,2)</f>
        <v/>
      </c>
      <c r="J391" s="92"/>
    </row>
    <row r="392" spans="1:10" x14ac:dyDescent="0.15">
      <c r="A392" s="58">
        <f>ROW()</f>
        <v>392</v>
      </c>
      <c r="B392" s="85" t="str">
        <f t="shared" ca="1" si="6"/>
        <v/>
      </c>
      <c r="C392" s="85" t="s">
        <v>333</v>
      </c>
      <c r="D392" s="85" t="str">
        <f ca="1">OFFSET(④結果出力!$D$14,MATCH(③各部被害関数計算結果!$C392,④結果出力!$C$14:$C$113,0)-1,0)</f>
        <v/>
      </c>
      <c r="E392" s="85" t="s">
        <v>33</v>
      </c>
      <c r="F392" s="86" t="str">
        <f ca="1">OFFSET(④結果出力!$D$14,MATCH(③各部被害関数計算結果!$C392,④結果出力!$C$14:$C$113,0)-1,8)</f>
        <v/>
      </c>
      <c r="G392" s="86" t="str">
        <f ca="1">OFFSET(④結果出力!$D$14,MATCH(③各部被害関数計算結果!$C392,④結果出力!$C$14:$C$113,0)-1,1)</f>
        <v/>
      </c>
      <c r="H392" s="92"/>
      <c r="I392" s="86" t="str">
        <f ca="1">OFFSET(④結果出力!$D$14,MATCH(③各部被害関数計算結果!$C392,④結果出力!$C$14:$C$113,0)-1,2)</f>
        <v/>
      </c>
      <c r="J392" s="92"/>
    </row>
    <row r="393" spans="1:10" x14ac:dyDescent="0.15">
      <c r="A393" s="58">
        <f>ROW()</f>
        <v>393</v>
      </c>
      <c r="B393" s="85" t="str">
        <f t="shared" ca="1" si="6"/>
        <v/>
      </c>
      <c r="C393" s="85" t="s">
        <v>333</v>
      </c>
      <c r="D393" s="85" t="str">
        <f ca="1">OFFSET(④結果出力!$D$14,MATCH(③各部被害関数計算結果!$C393,④結果出力!$C$14:$C$113,0)-1,0)</f>
        <v/>
      </c>
      <c r="E393" s="85" t="s">
        <v>118</v>
      </c>
      <c r="F393" s="86" t="str">
        <f ca="1">OFFSET(④結果出力!$D$14,MATCH(③各部被害関数計算結果!$C393,④結果出力!$C$14:$C$1133,0)-1,13)</f>
        <v/>
      </c>
      <c r="G393" s="86" t="str">
        <f ca="1">OFFSET(④結果出力!$D$14,MATCH(③各部被害関数計算結果!$C393,④結果出力!$C$14:$C$113,0)-1,1)</f>
        <v/>
      </c>
      <c r="H393" s="92"/>
      <c r="I393" s="86" t="str">
        <f ca="1">OFFSET(④結果出力!$D$14,MATCH(③各部被害関数計算結果!$C393,④結果出力!$C$14:$C$113,0)-1,2)</f>
        <v/>
      </c>
      <c r="J393" s="92"/>
    </row>
    <row r="394" spans="1:10" x14ac:dyDescent="0.15">
      <c r="A394" s="58">
        <f>ROW()</f>
        <v>394</v>
      </c>
      <c r="B394" s="85" t="str">
        <f t="shared" ca="1" si="6"/>
        <v/>
      </c>
      <c r="C394" s="85" t="s">
        <v>333</v>
      </c>
      <c r="D394" s="85" t="str">
        <f ca="1">OFFSET(④結果出力!$D$14,MATCH(③各部被害関数計算結果!$C394,④結果出力!$C$14:$C$113,0)-1,0)</f>
        <v/>
      </c>
      <c r="E394" s="85" t="s">
        <v>53</v>
      </c>
      <c r="F394" s="86" t="str">
        <f ca="1">OFFSET(④結果出力!$D$14,MATCH(③各部被害関数計算結果!$C394,④結果出力!$C$14:$C$113,0)-1,18)</f>
        <v/>
      </c>
      <c r="G394" s="86" t="str">
        <f ca="1">OFFSET(④結果出力!$D$14,MATCH(③各部被害関数計算結果!$C394,④結果出力!$C$14:$C$113,0)-1,1)</f>
        <v/>
      </c>
      <c r="H394" s="92"/>
      <c r="I394" s="86" t="str">
        <f ca="1">OFFSET(④結果出力!$D$14,MATCH(③各部被害関数計算結果!$C394,④結果出力!$C$14:$C$113,0)-1,2)</f>
        <v/>
      </c>
      <c r="J394" s="92"/>
    </row>
    <row r="395" spans="1:10" x14ac:dyDescent="0.15">
      <c r="A395" s="58">
        <f>ROW()</f>
        <v>395</v>
      </c>
      <c r="B395" s="85" t="str">
        <f t="shared" ca="1" si="6"/>
        <v/>
      </c>
      <c r="C395" s="85" t="s">
        <v>334</v>
      </c>
      <c r="D395" s="85" t="str">
        <f ca="1">OFFSET(④結果出力!$D$14,MATCH(③各部被害関数計算結果!$C395,④結果出力!$C$14:$C$113,0)-1,0)</f>
        <v/>
      </c>
      <c r="E395" s="85" t="s">
        <v>30</v>
      </c>
      <c r="F395" s="86" t="str">
        <f ca="1">OFFSET(④結果出力!$D$14,MATCH(③各部被害関数計算結果!$C395,④結果出力!$C$14:$C$113,0)-1,3)</f>
        <v/>
      </c>
      <c r="G395" s="86" t="str">
        <f ca="1">OFFSET(④結果出力!$D$14,MATCH(③各部被害関数計算結果!$C395,④結果出力!$C$14:$C$113,0)-1,1)</f>
        <v/>
      </c>
      <c r="H395" s="92"/>
      <c r="I395" s="86" t="str">
        <f ca="1">OFFSET(④結果出力!$D$14,MATCH(③各部被害関数計算結果!$C395,④結果出力!$C$14:$C$113,0)-1,2)</f>
        <v/>
      </c>
      <c r="J395" s="92"/>
    </row>
    <row r="396" spans="1:10" x14ac:dyDescent="0.15">
      <c r="A396" s="58">
        <f>ROW()</f>
        <v>396</v>
      </c>
      <c r="B396" s="85" t="str">
        <f t="shared" ca="1" si="6"/>
        <v/>
      </c>
      <c r="C396" s="85" t="s">
        <v>334</v>
      </c>
      <c r="D396" s="85" t="str">
        <f ca="1">OFFSET(④結果出力!$D$14,MATCH(③各部被害関数計算結果!$C396,④結果出力!$C$14:$C$113,0)-1,0)</f>
        <v/>
      </c>
      <c r="E396" s="85" t="s">
        <v>33</v>
      </c>
      <c r="F396" s="86" t="str">
        <f ca="1">OFFSET(④結果出力!$D$14,MATCH(③各部被害関数計算結果!$C396,④結果出力!$C$14:$C$113,0)-1,8)</f>
        <v/>
      </c>
      <c r="G396" s="86" t="str">
        <f ca="1">OFFSET(④結果出力!$D$14,MATCH(③各部被害関数計算結果!$C396,④結果出力!$C$14:$C$113,0)-1,1)</f>
        <v/>
      </c>
      <c r="H396" s="92"/>
      <c r="I396" s="86" t="str">
        <f ca="1">OFFSET(④結果出力!$D$14,MATCH(③各部被害関数計算結果!$C396,④結果出力!$C$14:$C$113,0)-1,2)</f>
        <v/>
      </c>
      <c r="J396" s="92"/>
    </row>
    <row r="397" spans="1:10" x14ac:dyDescent="0.15">
      <c r="A397" s="58">
        <f>ROW()</f>
        <v>397</v>
      </c>
      <c r="B397" s="85" t="str">
        <f t="shared" ca="1" si="6"/>
        <v/>
      </c>
      <c r="C397" s="85" t="s">
        <v>334</v>
      </c>
      <c r="D397" s="85" t="str">
        <f ca="1">OFFSET(④結果出力!$D$14,MATCH(③各部被害関数計算結果!$C397,④結果出力!$C$14:$C$113,0)-1,0)</f>
        <v/>
      </c>
      <c r="E397" s="85" t="s">
        <v>118</v>
      </c>
      <c r="F397" s="86" t="str">
        <f ca="1">OFFSET(④結果出力!$D$14,MATCH(③各部被害関数計算結果!$C397,④結果出力!$C$14:$C$1133,0)-1,13)</f>
        <v/>
      </c>
      <c r="G397" s="86" t="str">
        <f ca="1">OFFSET(④結果出力!$D$14,MATCH(③各部被害関数計算結果!$C397,④結果出力!$C$14:$C$113,0)-1,1)</f>
        <v/>
      </c>
      <c r="H397" s="92"/>
      <c r="I397" s="86" t="str">
        <f ca="1">OFFSET(④結果出力!$D$14,MATCH(③各部被害関数計算結果!$C397,④結果出力!$C$14:$C$113,0)-1,2)</f>
        <v/>
      </c>
      <c r="J397" s="92"/>
    </row>
    <row r="398" spans="1:10" x14ac:dyDescent="0.15">
      <c r="A398" s="58">
        <f>ROW()</f>
        <v>398</v>
      </c>
      <c r="B398" s="85" t="str">
        <f t="shared" ca="1" si="6"/>
        <v/>
      </c>
      <c r="C398" s="85" t="s">
        <v>334</v>
      </c>
      <c r="D398" s="85" t="str">
        <f ca="1">OFFSET(④結果出力!$D$14,MATCH(③各部被害関数計算結果!$C398,④結果出力!$C$14:$C$113,0)-1,0)</f>
        <v/>
      </c>
      <c r="E398" s="85" t="s">
        <v>53</v>
      </c>
      <c r="F398" s="86" t="str">
        <f ca="1">OFFSET(④結果出力!$D$14,MATCH(③各部被害関数計算結果!$C398,④結果出力!$C$14:$C$113,0)-1,18)</f>
        <v/>
      </c>
      <c r="G398" s="86" t="str">
        <f ca="1">OFFSET(④結果出力!$D$14,MATCH(③各部被害関数計算結果!$C398,④結果出力!$C$14:$C$113,0)-1,1)</f>
        <v/>
      </c>
      <c r="H398" s="92"/>
      <c r="I398" s="86" t="str">
        <f ca="1">OFFSET(④結果出力!$D$14,MATCH(③各部被害関数計算結果!$C398,④結果出力!$C$14:$C$113,0)-1,2)</f>
        <v/>
      </c>
      <c r="J398" s="92"/>
    </row>
    <row r="399" spans="1:10" x14ac:dyDescent="0.15">
      <c r="A399" s="58">
        <f>ROW()</f>
        <v>399</v>
      </c>
      <c r="B399" s="85" t="str">
        <f t="shared" ca="1" si="6"/>
        <v/>
      </c>
      <c r="C399" s="85" t="s">
        <v>335</v>
      </c>
      <c r="D399" s="85" t="str">
        <f ca="1">OFFSET(④結果出力!$D$14,MATCH(③各部被害関数計算結果!$C399,④結果出力!$C$14:$C$113,0)-1,0)</f>
        <v/>
      </c>
      <c r="E399" s="85" t="s">
        <v>30</v>
      </c>
      <c r="F399" s="86" t="str">
        <f ca="1">OFFSET(④結果出力!$D$14,MATCH(③各部被害関数計算結果!$C399,④結果出力!$C$14:$C$113,0)-1,3)</f>
        <v/>
      </c>
      <c r="G399" s="86" t="str">
        <f ca="1">OFFSET(④結果出力!$D$14,MATCH(③各部被害関数計算結果!$C399,④結果出力!$C$14:$C$113,0)-1,1)</f>
        <v/>
      </c>
      <c r="H399" s="92"/>
      <c r="I399" s="86" t="str">
        <f ca="1">OFFSET(④結果出力!$D$14,MATCH(③各部被害関数計算結果!$C399,④結果出力!$C$14:$C$113,0)-1,2)</f>
        <v/>
      </c>
      <c r="J399" s="92"/>
    </row>
    <row r="400" spans="1:10" x14ac:dyDescent="0.15">
      <c r="A400" s="58">
        <f>ROW()</f>
        <v>400</v>
      </c>
      <c r="B400" s="85" t="str">
        <f t="shared" ca="1" si="6"/>
        <v/>
      </c>
      <c r="C400" s="85" t="s">
        <v>335</v>
      </c>
      <c r="D400" s="85" t="str">
        <f ca="1">OFFSET(④結果出力!$D$14,MATCH(③各部被害関数計算結果!$C400,④結果出力!$C$14:$C$113,0)-1,0)</f>
        <v/>
      </c>
      <c r="E400" s="85" t="s">
        <v>33</v>
      </c>
      <c r="F400" s="86" t="str">
        <f ca="1">OFFSET(④結果出力!$D$14,MATCH(③各部被害関数計算結果!$C400,④結果出力!$C$14:$C$113,0)-1,8)</f>
        <v/>
      </c>
      <c r="G400" s="86" t="str">
        <f ca="1">OFFSET(④結果出力!$D$14,MATCH(③各部被害関数計算結果!$C400,④結果出力!$C$14:$C$113,0)-1,1)</f>
        <v/>
      </c>
      <c r="H400" s="92"/>
      <c r="I400" s="86" t="str">
        <f ca="1">OFFSET(④結果出力!$D$14,MATCH(③各部被害関数計算結果!$C400,④結果出力!$C$14:$C$113,0)-1,2)</f>
        <v/>
      </c>
      <c r="J400" s="92"/>
    </row>
    <row r="401" spans="1:11" x14ac:dyDescent="0.15">
      <c r="A401" s="58">
        <f>ROW()</f>
        <v>401</v>
      </c>
      <c r="B401" s="85" t="str">
        <f t="shared" ca="1" si="6"/>
        <v/>
      </c>
      <c r="C401" s="85" t="s">
        <v>335</v>
      </c>
      <c r="D401" s="85" t="str">
        <f ca="1">OFFSET(④結果出力!$D$14,MATCH(③各部被害関数計算結果!$C401,④結果出力!$C$14:$C$113,0)-1,0)</f>
        <v/>
      </c>
      <c r="E401" s="85" t="s">
        <v>118</v>
      </c>
      <c r="F401" s="86" t="str">
        <f ca="1">OFFSET(④結果出力!$D$14,MATCH(③各部被害関数計算結果!$C401,④結果出力!$C$14:$C$1133,0)-1,13)</f>
        <v/>
      </c>
      <c r="G401" s="86" t="str">
        <f ca="1">OFFSET(④結果出力!$D$14,MATCH(③各部被害関数計算結果!$C401,④結果出力!$C$14:$C$113,0)-1,1)</f>
        <v/>
      </c>
      <c r="H401" s="92"/>
      <c r="I401" s="86" t="str">
        <f ca="1">OFFSET(④結果出力!$D$14,MATCH(③各部被害関数計算結果!$C401,④結果出力!$C$14:$C$113,0)-1,2)</f>
        <v/>
      </c>
      <c r="J401" s="92"/>
    </row>
    <row r="402" spans="1:11" x14ac:dyDescent="0.15">
      <c r="A402" s="58">
        <f>ROW()</f>
        <v>402</v>
      </c>
      <c r="B402" s="85" t="str">
        <f t="shared" ca="1" si="6"/>
        <v/>
      </c>
      <c r="C402" s="85" t="s">
        <v>335</v>
      </c>
      <c r="D402" s="85" t="str">
        <f ca="1">OFFSET(④結果出力!$D$14,MATCH(③各部被害関数計算結果!$C402,④結果出力!$C$14:$C$113,0)-1,0)</f>
        <v/>
      </c>
      <c r="E402" s="85" t="s">
        <v>53</v>
      </c>
      <c r="F402" s="86" t="str">
        <f ca="1">OFFSET(④結果出力!$D$14,MATCH(③各部被害関数計算結果!$C402,④結果出力!$C$14:$C$113,0)-1,18)</f>
        <v/>
      </c>
      <c r="G402" s="86" t="str">
        <f ca="1">OFFSET(④結果出力!$D$14,MATCH(③各部被害関数計算結果!$C402,④結果出力!$C$14:$C$113,0)-1,1)</f>
        <v/>
      </c>
      <c r="H402" s="92"/>
      <c r="I402" s="86" t="str">
        <f ca="1">OFFSET(④結果出力!$D$14,MATCH(③各部被害関数計算結果!$C402,④結果出力!$C$14:$C$113,0)-1,2)</f>
        <v/>
      </c>
      <c r="J402" s="92"/>
    </row>
    <row r="403" spans="1:11" x14ac:dyDescent="0.15">
      <c r="A403" s="58">
        <f>ROW()</f>
        <v>403</v>
      </c>
      <c r="B403" s="87" t="str">
        <f t="shared" ref="B403:B412" ca="1" si="7">IF(D403&lt;&gt;"","●","")</f>
        <v/>
      </c>
      <c r="C403" s="87" t="s">
        <v>157</v>
      </c>
      <c r="D403" s="87" t="str">
        <f ca="1">OFFSET(④結果出力!$D$119,MATCH(③各部被害関数計算結果!$C403,④結果出力!$C$119:$C$128,0)-1,0)</f>
        <v/>
      </c>
      <c r="E403" s="87" t="s">
        <v>17</v>
      </c>
      <c r="F403" s="88" t="str">
        <f ca="1">OFFSET(④結果出力!$D$119,MATCH(③各部被害関数計算結果!$C403,④結果出力!$C$119:$C$128,0)-1,3)</f>
        <v/>
      </c>
      <c r="G403" s="88" t="str">
        <f ca="1">OFFSET(④結果出力!$D$119,MATCH(③各部被害関数計算結果!$C403,④結果出力!$C$119:$C$128,0)-1,1)</f>
        <v/>
      </c>
      <c r="H403" s="93"/>
      <c r="I403" s="88" t="str">
        <f ca="1">OFFSET(④結果出力!$D$119,MATCH(③各部被害関数計算結果!$C403,④結果出力!$C$119:$C$128,0)-1,2)</f>
        <v/>
      </c>
      <c r="J403" s="93"/>
      <c r="K403" s="150"/>
    </row>
    <row r="404" spans="1:11" x14ac:dyDescent="0.15">
      <c r="A404" s="58">
        <f>ROW()</f>
        <v>404</v>
      </c>
      <c r="B404" s="87" t="str">
        <f t="shared" ca="1" si="7"/>
        <v/>
      </c>
      <c r="C404" s="87" t="s">
        <v>158</v>
      </c>
      <c r="D404" s="87" t="str">
        <f ca="1">OFFSET(④結果出力!$D$119,MATCH(③各部被害関数計算結果!$C404,④結果出力!$C$119:$C$128,0)-1,0)</f>
        <v/>
      </c>
      <c r="E404" s="87" t="s">
        <v>17</v>
      </c>
      <c r="F404" s="88" t="str">
        <f ca="1">OFFSET(④結果出力!$D$119,MATCH(③各部被害関数計算結果!$C404,④結果出力!$C$119:$C$128,0)-1,3)</f>
        <v/>
      </c>
      <c r="G404" s="88" t="str">
        <f ca="1">OFFSET(④結果出力!$D$119,MATCH(③各部被害関数計算結果!$C404,④結果出力!$C$119:$C$128,0)-1,1)</f>
        <v/>
      </c>
      <c r="H404" s="93"/>
      <c r="I404" s="88" t="str">
        <f ca="1">OFFSET(④結果出力!$D$119,MATCH(③各部被害関数計算結果!$C404,④結果出力!$C$119:$C$128,0)-1,2)</f>
        <v/>
      </c>
      <c r="J404" s="93"/>
    </row>
    <row r="405" spans="1:11" x14ac:dyDescent="0.15">
      <c r="A405" s="58">
        <f>ROW()</f>
        <v>405</v>
      </c>
      <c r="B405" s="87" t="str">
        <f t="shared" ca="1" si="7"/>
        <v/>
      </c>
      <c r="C405" s="87" t="s">
        <v>160</v>
      </c>
      <c r="D405" s="87" t="str">
        <f ca="1">OFFSET(④結果出力!$D$119,MATCH(③各部被害関数計算結果!$C405,④結果出力!$C$119:$C$128,0)-1,0)</f>
        <v/>
      </c>
      <c r="E405" s="87" t="s">
        <v>17</v>
      </c>
      <c r="F405" s="88" t="str">
        <f ca="1">OFFSET(④結果出力!$D$119,MATCH(③各部被害関数計算結果!$C405,④結果出力!$C$119:$C$128,0)-1,3)</f>
        <v/>
      </c>
      <c r="G405" s="88" t="str">
        <f ca="1">OFFSET(④結果出力!$D$119,MATCH(③各部被害関数計算結果!$C405,④結果出力!$C$119:$C$128,0)-1,1)</f>
        <v/>
      </c>
      <c r="H405" s="93"/>
      <c r="I405" s="88" t="str">
        <f ca="1">OFFSET(④結果出力!$D$119,MATCH(③各部被害関数計算結果!$C405,④結果出力!$C$119:$C$128,0)-1,2)</f>
        <v/>
      </c>
      <c r="J405" s="93"/>
    </row>
    <row r="406" spans="1:11" x14ac:dyDescent="0.15">
      <c r="A406" s="58">
        <f>ROW()</f>
        <v>406</v>
      </c>
      <c r="B406" s="87" t="str">
        <f t="shared" ca="1" si="7"/>
        <v/>
      </c>
      <c r="C406" s="87" t="s">
        <v>162</v>
      </c>
      <c r="D406" s="87" t="str">
        <f ca="1">OFFSET(④結果出力!$D$119,MATCH(③各部被害関数計算結果!$C406,④結果出力!$C$119:$C$128,0)-1,0)</f>
        <v/>
      </c>
      <c r="E406" s="87" t="s">
        <v>17</v>
      </c>
      <c r="F406" s="88" t="str">
        <f ca="1">OFFSET(④結果出力!$D$119,MATCH(③各部被害関数計算結果!$C406,④結果出力!$C$119:$C$128,0)-1,3)</f>
        <v/>
      </c>
      <c r="G406" s="88" t="str">
        <f ca="1">OFFSET(④結果出力!$D$119,MATCH(③各部被害関数計算結果!$C406,④結果出力!$C$119:$C$128,0)-1,1)</f>
        <v/>
      </c>
      <c r="H406" s="93"/>
      <c r="I406" s="88" t="str">
        <f ca="1">OFFSET(④結果出力!$D$119,MATCH(③各部被害関数計算結果!$C406,④結果出力!$C$119:$C$128,0)-1,2)</f>
        <v/>
      </c>
      <c r="J406" s="93"/>
    </row>
    <row r="407" spans="1:11" x14ac:dyDescent="0.15">
      <c r="A407" s="58">
        <f>ROW()</f>
        <v>407</v>
      </c>
      <c r="B407" s="87" t="str">
        <f t="shared" ca="1" si="7"/>
        <v/>
      </c>
      <c r="C407" s="87" t="s">
        <v>164</v>
      </c>
      <c r="D407" s="87" t="str">
        <f ca="1">OFFSET(④結果出力!$D$119,MATCH(③各部被害関数計算結果!$C407,④結果出力!$C$119:$C$128,0)-1,0)</f>
        <v/>
      </c>
      <c r="E407" s="87" t="s">
        <v>17</v>
      </c>
      <c r="F407" s="88" t="str">
        <f ca="1">OFFSET(④結果出力!$D$119,MATCH(③各部被害関数計算結果!$C407,④結果出力!$C$119:$C$128,0)-1,3)</f>
        <v/>
      </c>
      <c r="G407" s="88" t="str">
        <f ca="1">OFFSET(④結果出力!$D$119,MATCH(③各部被害関数計算結果!$C407,④結果出力!$C$119:$C$128,0)-1,1)</f>
        <v/>
      </c>
      <c r="H407" s="93"/>
      <c r="I407" s="88" t="str">
        <f ca="1">OFFSET(④結果出力!$D$119,MATCH(③各部被害関数計算結果!$C407,④結果出力!$C$119:$C$128,0)-1,2)</f>
        <v/>
      </c>
      <c r="J407" s="93"/>
    </row>
    <row r="408" spans="1:11" x14ac:dyDescent="0.15">
      <c r="A408" s="58">
        <f>ROW()</f>
        <v>408</v>
      </c>
      <c r="B408" s="87" t="str">
        <f t="shared" ca="1" si="7"/>
        <v/>
      </c>
      <c r="C408" s="87" t="s">
        <v>166</v>
      </c>
      <c r="D408" s="87" t="str">
        <f ca="1">OFFSET(④結果出力!$D$119,MATCH(③各部被害関数計算結果!$C408,④結果出力!$C$119:$C$128,0)-1,0)</f>
        <v/>
      </c>
      <c r="E408" s="87" t="s">
        <v>17</v>
      </c>
      <c r="F408" s="88" t="str">
        <f ca="1">OFFSET(④結果出力!$D$119,MATCH(③各部被害関数計算結果!$C408,④結果出力!$C$119:$C$128,0)-1,3)</f>
        <v/>
      </c>
      <c r="G408" s="88" t="str">
        <f ca="1">OFFSET(④結果出力!$D$119,MATCH(③各部被害関数計算結果!$C408,④結果出力!$C$119:$C$128,0)-1,1)</f>
        <v/>
      </c>
      <c r="H408" s="93"/>
      <c r="I408" s="88" t="str">
        <f ca="1">OFFSET(④結果出力!$D$119,MATCH(③各部被害関数計算結果!$C408,④結果出力!$C$119:$C$128,0)-1,2)</f>
        <v/>
      </c>
      <c r="J408" s="93"/>
    </row>
    <row r="409" spans="1:11" x14ac:dyDescent="0.15">
      <c r="A409" s="58">
        <f>ROW()</f>
        <v>409</v>
      </c>
      <c r="B409" s="87" t="str">
        <f t="shared" ca="1" si="7"/>
        <v/>
      </c>
      <c r="C409" s="87" t="s">
        <v>168</v>
      </c>
      <c r="D409" s="87" t="str">
        <f ca="1">OFFSET(④結果出力!$D$119,MATCH(③各部被害関数計算結果!$C409,④結果出力!$C$119:$C$128,0)-1,0)</f>
        <v/>
      </c>
      <c r="E409" s="87" t="s">
        <v>17</v>
      </c>
      <c r="F409" s="88" t="str">
        <f ca="1">OFFSET(④結果出力!$D$119,MATCH(③各部被害関数計算結果!$C409,④結果出力!$C$119:$C$128,0)-1,3)</f>
        <v/>
      </c>
      <c r="G409" s="88" t="str">
        <f ca="1">OFFSET(④結果出力!$D$119,MATCH(③各部被害関数計算結果!$C409,④結果出力!$C$119:$C$128,0)-1,1)</f>
        <v/>
      </c>
      <c r="H409" s="93"/>
      <c r="I409" s="88" t="str">
        <f ca="1">OFFSET(④結果出力!$D$119,MATCH(③各部被害関数計算結果!$C409,④結果出力!$C$119:$C$128,0)-1,2)</f>
        <v/>
      </c>
      <c r="J409" s="93"/>
    </row>
    <row r="410" spans="1:11" x14ac:dyDescent="0.15">
      <c r="A410" s="58">
        <f>ROW()</f>
        <v>410</v>
      </c>
      <c r="B410" s="87" t="str">
        <f t="shared" ca="1" si="7"/>
        <v/>
      </c>
      <c r="C410" s="87" t="s">
        <v>170</v>
      </c>
      <c r="D410" s="87" t="str">
        <f ca="1">OFFSET(④結果出力!$D$119,MATCH(③各部被害関数計算結果!$C410,④結果出力!$C$119:$C$128,0)-1,0)</f>
        <v/>
      </c>
      <c r="E410" s="87" t="s">
        <v>17</v>
      </c>
      <c r="F410" s="88" t="str">
        <f ca="1">OFFSET(④結果出力!$D$119,MATCH(③各部被害関数計算結果!$C410,④結果出力!$C$119:$C$128,0)-1,3)</f>
        <v/>
      </c>
      <c r="G410" s="88" t="str">
        <f ca="1">OFFSET(④結果出力!$D$119,MATCH(③各部被害関数計算結果!$C410,④結果出力!$C$119:$C$128,0)-1,1)</f>
        <v/>
      </c>
      <c r="H410" s="93"/>
      <c r="I410" s="88" t="str">
        <f ca="1">OFFSET(④結果出力!$D$119,MATCH(③各部被害関数計算結果!$C410,④結果出力!$C$119:$C$128,0)-1,2)</f>
        <v/>
      </c>
      <c r="J410" s="93"/>
    </row>
    <row r="411" spans="1:11" x14ac:dyDescent="0.15">
      <c r="A411" s="58">
        <f>ROW()</f>
        <v>411</v>
      </c>
      <c r="B411" s="87" t="str">
        <f t="shared" ca="1" si="7"/>
        <v/>
      </c>
      <c r="C411" s="87" t="s">
        <v>172</v>
      </c>
      <c r="D411" s="87" t="str">
        <f ca="1">OFFSET(④結果出力!$D$119,MATCH(③各部被害関数計算結果!$C411,④結果出力!$C$119:$C$128,0)-1,0)</f>
        <v/>
      </c>
      <c r="E411" s="87" t="s">
        <v>17</v>
      </c>
      <c r="F411" s="88" t="str">
        <f ca="1">OFFSET(④結果出力!$D$119,MATCH(③各部被害関数計算結果!$C411,④結果出力!$C$119:$C$128,0)-1,3)</f>
        <v/>
      </c>
      <c r="G411" s="88" t="str">
        <f ca="1">OFFSET(④結果出力!$D$119,MATCH(③各部被害関数計算結果!$C411,④結果出力!$C$119:$C$128,0)-1,1)</f>
        <v/>
      </c>
      <c r="H411" s="93"/>
      <c r="I411" s="88" t="str">
        <f ca="1">OFFSET(④結果出力!$D$119,MATCH(③各部被害関数計算結果!$C411,④結果出力!$C$119:$C$128,0)-1,2)</f>
        <v/>
      </c>
      <c r="J411" s="93"/>
    </row>
    <row r="412" spans="1:11" x14ac:dyDescent="0.15">
      <c r="A412" s="58">
        <f>ROW()</f>
        <v>412</v>
      </c>
      <c r="B412" s="87" t="str">
        <f t="shared" ca="1" si="7"/>
        <v/>
      </c>
      <c r="C412" s="87" t="s">
        <v>174</v>
      </c>
      <c r="D412" s="87" t="str">
        <f ca="1">OFFSET(④結果出力!$D$119,MATCH(③各部被害関数計算結果!$C412,④結果出力!$C$119:$C$128,0)-1,0)</f>
        <v/>
      </c>
      <c r="E412" s="87" t="s">
        <v>17</v>
      </c>
      <c r="F412" s="88" t="str">
        <f ca="1">OFFSET(④結果出力!$D$119,MATCH(③各部被害関数計算結果!$C412,④結果出力!$C$119:$C$128,0)-1,3)</f>
        <v/>
      </c>
      <c r="G412" s="88" t="str">
        <f ca="1">OFFSET(④結果出力!$D$119,MATCH(③各部被害関数計算結果!$C412,④結果出力!$C$119:$C$128,0)-1,1)</f>
        <v/>
      </c>
      <c r="H412" s="93"/>
      <c r="I412" s="88" t="str">
        <f ca="1">OFFSET(④結果出力!$D$119,MATCH(③各部被害関数計算結果!$C412,④結果出力!$C$119:$C$128,0)-1,2)</f>
        <v/>
      </c>
      <c r="J412" s="93"/>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BU531"/>
  <sheetViews>
    <sheetView zoomScale="70" zoomScaleNormal="70" workbookViewId="0"/>
  </sheetViews>
  <sheetFormatPr defaultRowHeight="13.5" x14ac:dyDescent="0.15"/>
  <cols>
    <col min="1" max="1" width="14.375" bestFit="1" customWidth="1"/>
    <col min="2" max="2" width="15.125" bestFit="1" customWidth="1"/>
    <col min="3" max="3" width="14.5" style="119" customWidth="1"/>
    <col min="32" max="33" width="9" customWidth="1"/>
    <col min="66" max="68" width="9" customWidth="1"/>
    <col min="73" max="73" width="9.25" bestFit="1" customWidth="1"/>
  </cols>
  <sheetData>
    <row r="1" spans="1:73" x14ac:dyDescent="0.15">
      <c r="B1" s="58"/>
      <c r="C1" s="118"/>
      <c r="D1" s="58">
        <f>COLUMN()</f>
        <v>4</v>
      </c>
      <c r="E1" s="58"/>
      <c r="F1" s="58"/>
      <c r="G1" s="58"/>
      <c r="H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c r="AK1" s="58"/>
      <c r="AL1" s="58">
        <f>COLUMN()</f>
        <v>38</v>
      </c>
      <c r="AM1" s="58">
        <f>COLUMN()</f>
        <v>39</v>
      </c>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8"/>
      <c r="BS1" s="58"/>
      <c r="BT1" s="58"/>
      <c r="BU1" s="58">
        <f>COLUMN()</f>
        <v>73</v>
      </c>
    </row>
    <row r="2" spans="1:73" x14ac:dyDescent="0.15">
      <c r="D2" t="s">
        <v>242</v>
      </c>
      <c r="AM2" t="s">
        <v>243</v>
      </c>
    </row>
    <row r="3" spans="1:73" x14ac:dyDescent="0.15">
      <c r="A3" t="s">
        <v>112</v>
      </c>
      <c r="B3" t="s">
        <v>97</v>
      </c>
      <c r="C3" s="119" t="s">
        <v>48</v>
      </c>
      <c r="D3" s="139">
        <f>①簡易状況入力!B124</f>
        <v>0</v>
      </c>
      <c r="E3" s="139">
        <f>①簡易状況入力!C124</f>
        <v>10</v>
      </c>
      <c r="F3" s="139">
        <f>①簡易状況入力!D124</f>
        <v>20</v>
      </c>
      <c r="G3" s="139">
        <f>①簡易状況入力!E124</f>
        <v>30</v>
      </c>
      <c r="H3" s="139">
        <f>①簡易状況入力!F124</f>
        <v>40</v>
      </c>
      <c r="I3" s="139">
        <f>①簡易状況入力!G124</f>
        <v>50</v>
      </c>
      <c r="J3" s="139">
        <f>①簡易状況入力!H124</f>
        <v>60</v>
      </c>
      <c r="K3" s="139">
        <f>①簡易状況入力!I124</f>
        <v>70</v>
      </c>
      <c r="L3" s="139">
        <f>①簡易状況入力!J124</f>
        <v>80</v>
      </c>
      <c r="M3" s="139">
        <f>①簡易状況入力!K124</f>
        <v>90</v>
      </c>
      <c r="N3" s="139">
        <f>①簡易状況入力!L124</f>
        <v>100</v>
      </c>
      <c r="O3" s="139">
        <f>①簡易状況入力!M124</f>
        <v>120</v>
      </c>
      <c r="P3" s="139">
        <f>①簡易状況入力!N124</f>
        <v>140</v>
      </c>
      <c r="Q3" s="139">
        <f>①簡易状況入力!O124</f>
        <v>160</v>
      </c>
      <c r="R3" s="139">
        <f>①簡易状況入力!P124</f>
        <v>180</v>
      </c>
      <c r="S3" s="139">
        <f>①簡易状況入力!Q124</f>
        <v>200</v>
      </c>
      <c r="T3" s="139">
        <f>①簡易状況入力!R124</f>
        <v>220</v>
      </c>
      <c r="U3" s="139">
        <f>①簡易状況入力!S124</f>
        <v>240</v>
      </c>
      <c r="V3" s="139">
        <f>①簡易状況入力!T124</f>
        <v>260</v>
      </c>
      <c r="W3" s="139">
        <f>①簡易状況入力!U124</f>
        <v>280</v>
      </c>
      <c r="X3" s="139">
        <f>①簡易状況入力!V124</f>
        <v>300</v>
      </c>
      <c r="Y3" s="139">
        <f>①簡易状況入力!W124</f>
        <v>350</v>
      </c>
      <c r="Z3" s="139">
        <f>①簡易状況入力!X124</f>
        <v>400</v>
      </c>
      <c r="AA3" s="139">
        <f>①簡易状況入力!Y124</f>
        <v>450</v>
      </c>
      <c r="AB3" s="139">
        <f>①簡易状況入力!Z124</f>
        <v>500</v>
      </c>
      <c r="AC3" s="139">
        <f>①簡易状況入力!AA124</f>
        <v>600</v>
      </c>
      <c r="AD3" s="139">
        <f>①簡易状況入力!AB124</f>
        <v>700</v>
      </c>
      <c r="AE3" s="139">
        <f>①簡易状況入力!AC124</f>
        <v>800</v>
      </c>
      <c r="AF3" s="139">
        <f>①簡易状況入力!AD124</f>
        <v>900</v>
      </c>
      <c r="AG3" s="139">
        <f>①簡易状況入力!AE124</f>
        <v>1000</v>
      </c>
      <c r="AH3" s="139">
        <f>①簡易状況入力!AF124</f>
        <v>1200</v>
      </c>
      <c r="AI3" s="139">
        <f>①簡易状況入力!AG124</f>
        <v>1400</v>
      </c>
      <c r="AJ3" s="139">
        <f>①簡易状況入力!AH124</f>
        <v>1600</v>
      </c>
      <c r="AK3" s="139">
        <f>①簡易状況入力!AI124</f>
        <v>1800</v>
      </c>
      <c r="AL3" s="139">
        <f>①簡易状況入力!AJ124</f>
        <v>2000</v>
      </c>
      <c r="AM3" s="38">
        <f t="shared" ref="AM3:BU3" si="0">D3</f>
        <v>0</v>
      </c>
      <c r="AN3" s="38">
        <f t="shared" si="0"/>
        <v>10</v>
      </c>
      <c r="AO3" s="38">
        <f t="shared" si="0"/>
        <v>20</v>
      </c>
      <c r="AP3" s="38">
        <f t="shared" si="0"/>
        <v>30</v>
      </c>
      <c r="AQ3" s="38">
        <f t="shared" si="0"/>
        <v>40</v>
      </c>
      <c r="AR3" s="38">
        <f t="shared" si="0"/>
        <v>50</v>
      </c>
      <c r="AS3" s="38">
        <f t="shared" si="0"/>
        <v>60</v>
      </c>
      <c r="AT3" s="38">
        <f t="shared" si="0"/>
        <v>70</v>
      </c>
      <c r="AU3" s="38">
        <f t="shared" si="0"/>
        <v>80</v>
      </c>
      <c r="AV3" s="38">
        <f t="shared" si="0"/>
        <v>90</v>
      </c>
      <c r="AW3" s="38">
        <f t="shared" si="0"/>
        <v>100</v>
      </c>
      <c r="AX3" s="38">
        <f t="shared" si="0"/>
        <v>120</v>
      </c>
      <c r="AY3" s="38">
        <f t="shared" si="0"/>
        <v>140</v>
      </c>
      <c r="AZ3" s="38">
        <f t="shared" si="0"/>
        <v>160</v>
      </c>
      <c r="BA3" s="38">
        <f t="shared" si="0"/>
        <v>180</v>
      </c>
      <c r="BB3" s="38">
        <f t="shared" si="0"/>
        <v>200</v>
      </c>
      <c r="BC3" s="38">
        <f t="shared" si="0"/>
        <v>220</v>
      </c>
      <c r="BD3" s="38">
        <f t="shared" si="0"/>
        <v>240</v>
      </c>
      <c r="BE3" s="38">
        <f t="shared" si="0"/>
        <v>260</v>
      </c>
      <c r="BF3" s="38">
        <f t="shared" si="0"/>
        <v>280</v>
      </c>
      <c r="BG3" s="38">
        <f t="shared" si="0"/>
        <v>300</v>
      </c>
      <c r="BH3" s="38">
        <f t="shared" si="0"/>
        <v>350</v>
      </c>
      <c r="BI3" s="38">
        <f t="shared" si="0"/>
        <v>400</v>
      </c>
      <c r="BJ3" s="38">
        <f t="shared" si="0"/>
        <v>450</v>
      </c>
      <c r="BK3" s="38">
        <f t="shared" si="0"/>
        <v>500</v>
      </c>
      <c r="BL3" s="38">
        <f t="shared" si="0"/>
        <v>600</v>
      </c>
      <c r="BM3" s="38">
        <f t="shared" si="0"/>
        <v>700</v>
      </c>
      <c r="BN3" s="38">
        <f t="shared" si="0"/>
        <v>800</v>
      </c>
      <c r="BO3" s="38">
        <f t="shared" si="0"/>
        <v>900</v>
      </c>
      <c r="BP3" s="38">
        <f t="shared" si="0"/>
        <v>1000</v>
      </c>
      <c r="BQ3" s="38">
        <f t="shared" si="0"/>
        <v>1200</v>
      </c>
      <c r="BR3" s="38">
        <f t="shared" si="0"/>
        <v>1400</v>
      </c>
      <c r="BS3" s="38">
        <f t="shared" si="0"/>
        <v>1600</v>
      </c>
      <c r="BT3" s="38">
        <f t="shared" si="0"/>
        <v>1800</v>
      </c>
      <c r="BU3" s="38">
        <f t="shared" si="0"/>
        <v>2000</v>
      </c>
    </row>
    <row r="4" spans="1:73" x14ac:dyDescent="0.15">
      <c r="A4" s="109"/>
      <c r="B4" s="109"/>
      <c r="C4" s="120"/>
      <c r="D4" s="90"/>
      <c r="E4" s="90"/>
      <c r="F4" s="90"/>
      <c r="G4" s="90"/>
      <c r="H4" s="90"/>
      <c r="I4" s="90"/>
      <c r="J4" s="90"/>
      <c r="K4" s="90"/>
      <c r="L4" s="90"/>
      <c r="M4" s="90"/>
      <c r="N4" s="90"/>
      <c r="O4" s="90"/>
      <c r="P4" s="90"/>
      <c r="Q4" s="90"/>
      <c r="R4" s="90"/>
      <c r="S4" s="90"/>
      <c r="T4" s="90"/>
      <c r="U4" s="90"/>
      <c r="V4" s="90"/>
      <c r="W4" s="90"/>
      <c r="X4" s="90"/>
      <c r="Y4" s="90"/>
      <c r="Z4" s="90"/>
      <c r="AA4" s="90"/>
      <c r="AB4" s="90"/>
      <c r="AC4" s="90"/>
      <c r="AD4" s="90"/>
      <c r="AE4" s="90"/>
      <c r="AF4" s="90"/>
      <c r="AG4" s="90"/>
      <c r="AH4" s="90"/>
      <c r="AI4" s="90"/>
      <c r="AJ4" s="90"/>
      <c r="AK4" s="90"/>
      <c r="AL4" s="90"/>
      <c r="AM4" s="121"/>
      <c r="AN4" s="121"/>
      <c r="AO4" s="121"/>
      <c r="AP4" s="121"/>
      <c r="AQ4" s="121"/>
      <c r="AR4" s="121"/>
      <c r="AS4" s="121"/>
      <c r="AT4" s="121"/>
      <c r="AU4" s="121"/>
      <c r="AV4" s="121"/>
      <c r="AW4" s="121"/>
      <c r="AX4" s="121"/>
      <c r="AY4" s="121"/>
      <c r="AZ4" s="121"/>
      <c r="BA4" s="121"/>
      <c r="BB4" s="121"/>
      <c r="BC4" s="121"/>
      <c r="BD4" s="121"/>
      <c r="BE4" s="121"/>
      <c r="BF4" s="121"/>
      <c r="BG4" s="121"/>
      <c r="BH4" s="121"/>
      <c r="BI4" s="121"/>
      <c r="BJ4" s="121"/>
      <c r="BK4" s="121"/>
      <c r="BL4" s="121"/>
      <c r="BM4" s="121"/>
      <c r="BN4" s="121"/>
      <c r="BO4" s="121"/>
      <c r="BP4" s="121"/>
      <c r="BQ4" s="121"/>
      <c r="BR4" s="121"/>
      <c r="BS4" s="121"/>
      <c r="BT4" s="121"/>
      <c r="BU4" s="121"/>
    </row>
    <row r="5" spans="1:73" x14ac:dyDescent="0.15">
      <c r="A5" s="109"/>
      <c r="B5" s="109"/>
      <c r="C5" s="120"/>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121"/>
      <c r="AN5" s="121"/>
      <c r="AO5" s="121"/>
      <c r="AP5" s="121"/>
      <c r="AQ5" s="121"/>
      <c r="AR5" s="121"/>
      <c r="AS5" s="121"/>
      <c r="AT5" s="121"/>
      <c r="AU5" s="121"/>
      <c r="AV5" s="121"/>
      <c r="AW5" s="121"/>
      <c r="AX5" s="121"/>
      <c r="AY5" s="121"/>
      <c r="AZ5" s="121"/>
      <c r="BA5" s="121"/>
      <c r="BB5" s="121"/>
      <c r="BC5" s="121"/>
      <c r="BD5" s="121"/>
      <c r="BE5" s="121"/>
      <c r="BF5" s="121"/>
      <c r="BG5" s="121"/>
      <c r="BH5" s="121"/>
      <c r="BI5" s="121"/>
      <c r="BJ5" s="121"/>
      <c r="BK5" s="121"/>
      <c r="BL5" s="121"/>
      <c r="BM5" s="121"/>
      <c r="BN5" s="121"/>
      <c r="BO5" s="121"/>
      <c r="BP5" s="121"/>
      <c r="BQ5" s="121"/>
      <c r="BR5" s="121"/>
      <c r="BS5" s="121"/>
      <c r="BT5" s="121"/>
      <c r="BU5" s="121"/>
    </row>
    <row r="6" spans="1:73" x14ac:dyDescent="0.15">
      <c r="A6" s="109"/>
      <c r="B6" s="109"/>
      <c r="C6" s="120"/>
      <c r="D6" s="90"/>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0"/>
      <c r="AJ6" s="90"/>
      <c r="AK6" s="90"/>
      <c r="AL6" s="90"/>
      <c r="AM6" s="121"/>
      <c r="AN6" s="121"/>
      <c r="AO6" s="121"/>
      <c r="AP6" s="121"/>
      <c r="AQ6" s="121"/>
      <c r="AR6" s="121"/>
      <c r="AS6" s="121"/>
      <c r="AT6" s="121"/>
      <c r="AU6" s="121"/>
      <c r="AV6" s="121"/>
      <c r="AW6" s="121"/>
      <c r="AX6" s="121"/>
      <c r="AY6" s="121"/>
      <c r="AZ6" s="121"/>
      <c r="BA6" s="121"/>
      <c r="BB6" s="121"/>
      <c r="BC6" s="121"/>
      <c r="BD6" s="121"/>
      <c r="BE6" s="121"/>
      <c r="BF6" s="121"/>
      <c r="BG6" s="121"/>
      <c r="BH6" s="121"/>
      <c r="BI6" s="121"/>
      <c r="BJ6" s="121"/>
      <c r="BK6" s="121"/>
      <c r="BL6" s="121"/>
      <c r="BM6" s="121"/>
      <c r="BN6" s="121"/>
      <c r="BO6" s="121"/>
      <c r="BP6" s="121"/>
      <c r="BQ6" s="121"/>
      <c r="BR6" s="121"/>
      <c r="BS6" s="121"/>
      <c r="BT6" s="121"/>
      <c r="BU6" s="121"/>
    </row>
    <row r="7" spans="1:73" x14ac:dyDescent="0.15">
      <c r="A7" s="109"/>
      <c r="B7" s="109"/>
      <c r="C7" s="120"/>
      <c r="D7" s="90"/>
      <c r="E7" s="90"/>
      <c r="F7" s="90"/>
      <c r="G7" s="90"/>
      <c r="H7" s="90"/>
      <c r="I7" s="90"/>
      <c r="J7" s="90"/>
      <c r="K7" s="90"/>
      <c r="L7" s="90"/>
      <c r="M7" s="90"/>
      <c r="N7" s="90"/>
      <c r="O7" s="90"/>
      <c r="P7" s="90"/>
      <c r="Q7" s="90"/>
      <c r="R7" s="90"/>
      <c r="S7" s="90"/>
      <c r="T7" s="90"/>
      <c r="U7" s="90"/>
      <c r="V7" s="90"/>
      <c r="W7" s="90"/>
      <c r="X7" s="90"/>
      <c r="Y7" s="90"/>
      <c r="Z7" s="90"/>
      <c r="AA7" s="90"/>
      <c r="AB7" s="90"/>
      <c r="AC7" s="90"/>
      <c r="AD7" s="90"/>
      <c r="AE7" s="90"/>
      <c r="AF7" s="90"/>
      <c r="AG7" s="90"/>
      <c r="AH7" s="90"/>
      <c r="AI7" s="90"/>
      <c r="AJ7" s="90"/>
      <c r="AK7" s="90"/>
      <c r="AL7" s="90"/>
      <c r="AM7" s="121"/>
      <c r="AN7" s="121"/>
      <c r="AO7" s="121"/>
      <c r="AP7" s="121"/>
      <c r="AQ7" s="121"/>
      <c r="AR7" s="121"/>
      <c r="AS7" s="121"/>
      <c r="AT7" s="121"/>
      <c r="AU7" s="121"/>
      <c r="AV7" s="121"/>
      <c r="AW7" s="121"/>
      <c r="AX7" s="121"/>
      <c r="AY7" s="121"/>
      <c r="AZ7" s="121"/>
      <c r="BA7" s="121"/>
      <c r="BB7" s="121"/>
      <c r="BC7" s="121"/>
      <c r="BD7" s="121"/>
      <c r="BE7" s="121"/>
      <c r="BF7" s="121"/>
      <c r="BG7" s="121"/>
      <c r="BH7" s="121"/>
      <c r="BI7" s="121"/>
      <c r="BJ7" s="121"/>
      <c r="BK7" s="121"/>
      <c r="BL7" s="121"/>
      <c r="BM7" s="121"/>
      <c r="BN7" s="121"/>
      <c r="BO7" s="121"/>
      <c r="BP7" s="121"/>
      <c r="BQ7" s="121"/>
      <c r="BR7" s="121"/>
      <c r="BS7" s="121"/>
      <c r="BT7" s="121"/>
      <c r="BU7" s="121"/>
    </row>
    <row r="8" spans="1:73" x14ac:dyDescent="0.15">
      <c r="A8" s="109"/>
      <c r="B8" s="109"/>
      <c r="C8" s="120"/>
      <c r="D8" s="90"/>
      <c r="E8" s="90"/>
      <c r="F8" s="90"/>
      <c r="G8" s="90"/>
      <c r="H8" s="90"/>
      <c r="I8" s="90"/>
      <c r="J8" s="90"/>
      <c r="K8" s="90"/>
      <c r="L8" s="90"/>
      <c r="M8" s="90"/>
      <c r="N8" s="90"/>
      <c r="O8" s="90"/>
      <c r="P8" s="90"/>
      <c r="Q8" s="90"/>
      <c r="R8" s="90"/>
      <c r="S8" s="90"/>
      <c r="T8" s="90"/>
      <c r="U8" s="90"/>
      <c r="V8" s="90"/>
      <c r="W8" s="90"/>
      <c r="X8" s="90"/>
      <c r="Y8" s="90"/>
      <c r="Z8" s="90"/>
      <c r="AA8" s="90"/>
      <c r="AB8" s="90"/>
      <c r="AC8" s="90"/>
      <c r="AD8" s="90"/>
      <c r="AE8" s="90"/>
      <c r="AF8" s="90"/>
      <c r="AG8" s="90"/>
      <c r="AH8" s="90"/>
      <c r="AI8" s="90"/>
      <c r="AJ8" s="90"/>
      <c r="AK8" s="90"/>
      <c r="AL8" s="90"/>
      <c r="AM8" s="121"/>
      <c r="AN8" s="121"/>
      <c r="AO8" s="121"/>
      <c r="AP8" s="121"/>
      <c r="AQ8" s="121"/>
      <c r="AR8" s="121"/>
      <c r="AS8" s="121"/>
      <c r="AT8" s="121"/>
      <c r="AU8" s="121"/>
      <c r="AV8" s="121"/>
      <c r="AW8" s="121"/>
      <c r="AX8" s="121"/>
      <c r="AY8" s="121"/>
      <c r="AZ8" s="121"/>
      <c r="BA8" s="121"/>
      <c r="BB8" s="121"/>
      <c r="BC8" s="121"/>
      <c r="BD8" s="121"/>
      <c r="BE8" s="121"/>
      <c r="BF8" s="121"/>
      <c r="BG8" s="121"/>
      <c r="BH8" s="121"/>
      <c r="BI8" s="121"/>
      <c r="BJ8" s="121"/>
      <c r="BK8" s="121"/>
      <c r="BL8" s="121"/>
      <c r="BM8" s="121"/>
      <c r="BN8" s="121"/>
      <c r="BO8" s="121"/>
      <c r="BP8" s="121"/>
      <c r="BQ8" s="121"/>
      <c r="BR8" s="121"/>
      <c r="BS8" s="121"/>
      <c r="BT8" s="121"/>
      <c r="BU8" s="121"/>
    </row>
    <row r="9" spans="1:73" x14ac:dyDescent="0.15">
      <c r="A9" s="109"/>
      <c r="B9" s="109"/>
      <c r="C9" s="120"/>
      <c r="D9" s="90"/>
      <c r="E9" s="90"/>
      <c r="F9" s="90"/>
      <c r="G9" s="90"/>
      <c r="H9" s="90"/>
      <c r="I9" s="90"/>
      <c r="J9" s="90"/>
      <c r="K9" s="90"/>
      <c r="L9" s="90"/>
      <c r="M9" s="90"/>
      <c r="N9" s="90"/>
      <c r="O9" s="90"/>
      <c r="P9" s="90"/>
      <c r="Q9" s="90"/>
      <c r="R9" s="90"/>
      <c r="S9" s="90"/>
      <c r="T9" s="90"/>
      <c r="U9" s="90"/>
      <c r="V9" s="90"/>
      <c r="W9" s="90"/>
      <c r="X9" s="90"/>
      <c r="Y9" s="90"/>
      <c r="Z9" s="90"/>
      <c r="AA9" s="90"/>
      <c r="AB9" s="90"/>
      <c r="AC9" s="90"/>
      <c r="AD9" s="90"/>
      <c r="AE9" s="90"/>
      <c r="AF9" s="90"/>
      <c r="AG9" s="90"/>
      <c r="AH9" s="90"/>
      <c r="AI9" s="90"/>
      <c r="AJ9" s="90"/>
      <c r="AK9" s="90"/>
      <c r="AL9" s="90"/>
      <c r="AM9" s="121"/>
      <c r="AN9" s="121"/>
      <c r="AO9" s="121"/>
      <c r="AP9" s="121"/>
      <c r="AQ9" s="121"/>
      <c r="AR9" s="121"/>
      <c r="AS9" s="121"/>
      <c r="AT9" s="121"/>
      <c r="AU9" s="121"/>
      <c r="AV9" s="121"/>
      <c r="AW9" s="121"/>
      <c r="AX9" s="121"/>
      <c r="AY9" s="121"/>
      <c r="AZ9" s="121"/>
      <c r="BA9" s="121"/>
      <c r="BB9" s="121"/>
      <c r="BC9" s="121"/>
      <c r="BD9" s="121"/>
      <c r="BE9" s="121"/>
      <c r="BF9" s="121"/>
      <c r="BG9" s="121"/>
      <c r="BH9" s="121"/>
      <c r="BI9" s="121"/>
      <c r="BJ9" s="121"/>
      <c r="BK9" s="121"/>
      <c r="BL9" s="121"/>
      <c r="BM9" s="121"/>
      <c r="BN9" s="121"/>
      <c r="BO9" s="121"/>
      <c r="BP9" s="121"/>
      <c r="BQ9" s="121"/>
      <c r="BR9" s="121"/>
      <c r="BS9" s="121"/>
      <c r="BT9" s="121"/>
      <c r="BU9" s="121"/>
    </row>
    <row r="10" spans="1:73" x14ac:dyDescent="0.15">
      <c r="A10" s="109"/>
      <c r="B10" s="109"/>
      <c r="C10" s="120"/>
      <c r="D10" s="90"/>
      <c r="E10" s="90"/>
      <c r="F10" s="90"/>
      <c r="G10" s="90"/>
      <c r="H10" s="90"/>
      <c r="I10" s="90"/>
      <c r="J10" s="90"/>
      <c r="K10" s="90"/>
      <c r="L10" s="90"/>
      <c r="M10" s="90"/>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121"/>
      <c r="AN10" s="121"/>
      <c r="AO10" s="121"/>
      <c r="AP10" s="121"/>
      <c r="AQ10" s="121"/>
      <c r="AR10" s="121"/>
      <c r="AS10" s="121"/>
      <c r="AT10" s="121"/>
      <c r="AU10" s="121"/>
      <c r="AV10" s="121"/>
      <c r="AW10" s="121"/>
      <c r="AX10" s="121"/>
      <c r="AY10" s="121"/>
      <c r="AZ10" s="121"/>
      <c r="BA10" s="121"/>
      <c r="BB10" s="121"/>
      <c r="BC10" s="121"/>
      <c r="BD10" s="121"/>
      <c r="BE10" s="121"/>
      <c r="BF10" s="121"/>
      <c r="BG10" s="121"/>
      <c r="BH10" s="121"/>
      <c r="BI10" s="121"/>
      <c r="BJ10" s="121"/>
      <c r="BK10" s="121"/>
      <c r="BL10" s="121"/>
      <c r="BM10" s="121"/>
      <c r="BN10" s="121"/>
      <c r="BO10" s="121"/>
      <c r="BP10" s="121"/>
      <c r="BQ10" s="121"/>
      <c r="BR10" s="121"/>
      <c r="BS10" s="121"/>
      <c r="BT10" s="121"/>
      <c r="BU10" s="121"/>
    </row>
    <row r="11" spans="1:73" x14ac:dyDescent="0.15">
      <c r="A11" s="109"/>
      <c r="B11" s="109"/>
      <c r="C11" s="120"/>
      <c r="D11" s="90"/>
      <c r="E11" s="90"/>
      <c r="F11" s="90"/>
      <c r="G11" s="90"/>
      <c r="H11" s="90"/>
      <c r="I11" s="90"/>
      <c r="J11" s="90"/>
      <c r="K11" s="90"/>
      <c r="L11" s="90"/>
      <c r="M11" s="90"/>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121"/>
      <c r="AN11" s="121"/>
      <c r="AO11" s="121"/>
      <c r="AP11" s="121"/>
      <c r="AQ11" s="121"/>
      <c r="AR11" s="121"/>
      <c r="AS11" s="121"/>
      <c r="AT11" s="121"/>
      <c r="AU11" s="121"/>
      <c r="AV11" s="121"/>
      <c r="AW11" s="121"/>
      <c r="AX11" s="121"/>
      <c r="AY11" s="121"/>
      <c r="AZ11" s="121"/>
      <c r="BA11" s="121"/>
      <c r="BB11" s="121"/>
      <c r="BC11" s="121"/>
      <c r="BD11" s="121"/>
      <c r="BE11" s="121"/>
      <c r="BF11" s="121"/>
      <c r="BG11" s="121"/>
      <c r="BH11" s="121"/>
      <c r="BI11" s="121"/>
      <c r="BJ11" s="121"/>
      <c r="BK11" s="121"/>
      <c r="BL11" s="121"/>
      <c r="BM11" s="121"/>
      <c r="BN11" s="121"/>
      <c r="BO11" s="121"/>
      <c r="BP11" s="121"/>
      <c r="BQ11" s="121"/>
      <c r="BR11" s="121"/>
      <c r="BS11" s="121"/>
      <c r="BT11" s="121"/>
      <c r="BU11" s="121"/>
    </row>
    <row r="12" spans="1:73" x14ac:dyDescent="0.15">
      <c r="A12" s="109"/>
      <c r="B12" s="109"/>
      <c r="C12" s="120"/>
      <c r="D12" s="90"/>
      <c r="E12" s="90"/>
      <c r="F12" s="90"/>
      <c r="G12" s="90"/>
      <c r="H12" s="90"/>
      <c r="I12" s="90"/>
      <c r="J12" s="90"/>
      <c r="K12" s="90"/>
      <c r="L12" s="90"/>
      <c r="M12" s="90"/>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121"/>
      <c r="AN12" s="121"/>
      <c r="AO12" s="121"/>
      <c r="AP12" s="121"/>
      <c r="AQ12" s="121"/>
      <c r="AR12" s="121"/>
      <c r="AS12" s="121"/>
      <c r="AT12" s="121"/>
      <c r="AU12" s="121"/>
      <c r="AV12" s="121"/>
      <c r="AW12" s="121"/>
      <c r="AX12" s="121"/>
      <c r="AY12" s="121"/>
      <c r="AZ12" s="121"/>
      <c r="BA12" s="121"/>
      <c r="BB12" s="121"/>
      <c r="BC12" s="121"/>
      <c r="BD12" s="121"/>
      <c r="BE12" s="121"/>
      <c r="BF12" s="121"/>
      <c r="BG12" s="121"/>
      <c r="BH12" s="121"/>
      <c r="BI12" s="121"/>
      <c r="BJ12" s="121"/>
      <c r="BK12" s="121"/>
      <c r="BL12" s="121"/>
      <c r="BM12" s="121"/>
      <c r="BN12" s="121"/>
      <c r="BO12" s="121"/>
      <c r="BP12" s="121"/>
      <c r="BQ12" s="121"/>
      <c r="BR12" s="121"/>
      <c r="BS12" s="121"/>
      <c r="BT12" s="121"/>
      <c r="BU12" s="121"/>
    </row>
    <row r="13" spans="1:73" x14ac:dyDescent="0.15">
      <c r="A13" s="109"/>
      <c r="B13" s="109"/>
      <c r="C13" s="120"/>
      <c r="D13" s="90"/>
      <c r="E13" s="90"/>
      <c r="F13" s="90"/>
      <c r="G13" s="90"/>
      <c r="H13" s="90"/>
      <c r="I13" s="90"/>
      <c r="J13" s="90"/>
      <c r="K13" s="90"/>
      <c r="L13" s="90"/>
      <c r="M13" s="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row>
    <row r="14" spans="1:73" x14ac:dyDescent="0.15">
      <c r="A14" s="109"/>
      <c r="B14" s="109"/>
      <c r="C14" s="120"/>
      <c r="D14" s="90"/>
      <c r="E14" s="90"/>
      <c r="F14" s="90"/>
      <c r="G14" s="90"/>
      <c r="H14" s="90"/>
      <c r="I14" s="90"/>
      <c r="J14" s="90"/>
      <c r="K14" s="90"/>
      <c r="L14" s="90"/>
      <c r="M14" s="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121"/>
      <c r="AN14" s="121"/>
      <c r="AO14" s="121"/>
      <c r="AP14" s="121"/>
      <c r="AQ14" s="121"/>
      <c r="AR14" s="121"/>
      <c r="AS14" s="121"/>
      <c r="AT14" s="121"/>
      <c r="AU14" s="121"/>
      <c r="AV14" s="121"/>
      <c r="AW14" s="121"/>
      <c r="AX14" s="121"/>
      <c r="AY14" s="121"/>
      <c r="AZ14" s="121"/>
      <c r="BA14" s="121"/>
      <c r="BB14" s="121"/>
      <c r="BC14" s="121"/>
      <c r="BD14" s="121"/>
      <c r="BE14" s="121"/>
      <c r="BF14" s="121"/>
      <c r="BG14" s="121"/>
      <c r="BH14" s="121"/>
      <c r="BI14" s="121"/>
      <c r="BJ14" s="121"/>
      <c r="BK14" s="121"/>
      <c r="BL14" s="121"/>
      <c r="BM14" s="121"/>
      <c r="BN14" s="121"/>
      <c r="BO14" s="121"/>
      <c r="BP14" s="121"/>
      <c r="BQ14" s="121"/>
      <c r="BR14" s="121"/>
      <c r="BS14" s="121"/>
      <c r="BT14" s="121"/>
      <c r="BU14" s="121"/>
    </row>
    <row r="15" spans="1:73" x14ac:dyDescent="0.15">
      <c r="A15" s="109"/>
      <c r="B15" s="109"/>
      <c r="C15" s="120"/>
      <c r="D15" s="90"/>
      <c r="E15" s="90"/>
      <c r="F15" s="90"/>
      <c r="G15" s="90"/>
      <c r="H15" s="90"/>
      <c r="I15" s="90"/>
      <c r="J15" s="90"/>
      <c r="K15" s="90"/>
      <c r="L15" s="90"/>
      <c r="M15" s="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121"/>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c r="BN15" s="121"/>
      <c r="BO15" s="121"/>
      <c r="BP15" s="121"/>
      <c r="BQ15" s="121"/>
      <c r="BR15" s="121"/>
      <c r="BS15" s="121"/>
      <c r="BT15" s="121"/>
      <c r="BU15" s="121"/>
    </row>
    <row r="16" spans="1:73" x14ac:dyDescent="0.15">
      <c r="A16" s="109"/>
      <c r="B16" s="109"/>
      <c r="C16" s="120"/>
      <c r="D16" s="90"/>
      <c r="E16" s="90"/>
      <c r="F16" s="90"/>
      <c r="G16" s="90"/>
      <c r="H16" s="90"/>
      <c r="I16" s="90"/>
      <c r="J16" s="90"/>
      <c r="K16" s="90"/>
      <c r="L16" s="90"/>
      <c r="M16" s="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121"/>
      <c r="AN16" s="121"/>
      <c r="AO16" s="121"/>
      <c r="AP16" s="121"/>
      <c r="AQ16" s="121"/>
      <c r="AR16" s="121"/>
      <c r="AS16" s="121"/>
      <c r="AT16" s="121"/>
      <c r="AU16" s="121"/>
      <c r="AV16" s="121"/>
      <c r="AW16" s="121"/>
      <c r="AX16" s="121"/>
      <c r="AY16" s="121"/>
      <c r="AZ16" s="121"/>
      <c r="BA16" s="121"/>
      <c r="BB16" s="121"/>
      <c r="BC16" s="121"/>
      <c r="BD16" s="121"/>
      <c r="BE16" s="121"/>
      <c r="BF16" s="121"/>
      <c r="BG16" s="121"/>
      <c r="BH16" s="121"/>
      <c r="BI16" s="121"/>
      <c r="BJ16" s="121"/>
      <c r="BK16" s="121"/>
      <c r="BL16" s="121"/>
      <c r="BM16" s="121"/>
      <c r="BN16" s="121"/>
      <c r="BO16" s="121"/>
      <c r="BP16" s="121"/>
      <c r="BQ16" s="121"/>
      <c r="BR16" s="121"/>
      <c r="BS16" s="121"/>
      <c r="BT16" s="121"/>
      <c r="BU16" s="121"/>
    </row>
    <row r="17" spans="1:73" x14ac:dyDescent="0.15">
      <c r="A17" s="109"/>
      <c r="B17" s="109"/>
      <c r="C17" s="120"/>
      <c r="D17" s="90"/>
      <c r="E17" s="90"/>
      <c r="F17" s="90"/>
      <c r="G17" s="90"/>
      <c r="H17" s="90"/>
      <c r="I17" s="90"/>
      <c r="J17" s="90"/>
      <c r="K17" s="90"/>
      <c r="L17" s="90"/>
      <c r="M17" s="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121"/>
      <c r="AN17" s="121"/>
      <c r="AO17" s="121"/>
      <c r="AP17" s="121"/>
      <c r="AQ17" s="121"/>
      <c r="AR17" s="121"/>
      <c r="AS17" s="121"/>
      <c r="AT17" s="121"/>
      <c r="AU17" s="121"/>
      <c r="AV17" s="121"/>
      <c r="AW17" s="121"/>
      <c r="AX17" s="121"/>
      <c r="AY17" s="121"/>
      <c r="AZ17" s="121"/>
      <c r="BA17" s="121"/>
      <c r="BB17" s="121"/>
      <c r="BC17" s="121"/>
      <c r="BD17" s="121"/>
      <c r="BE17" s="121"/>
      <c r="BF17" s="121"/>
      <c r="BG17" s="121"/>
      <c r="BH17" s="121"/>
      <c r="BI17" s="121"/>
      <c r="BJ17" s="121"/>
      <c r="BK17" s="121"/>
      <c r="BL17" s="121"/>
      <c r="BM17" s="121"/>
      <c r="BN17" s="121"/>
      <c r="BO17" s="121"/>
      <c r="BP17" s="121"/>
      <c r="BQ17" s="121"/>
      <c r="BR17" s="121"/>
      <c r="BS17" s="121"/>
      <c r="BT17" s="121"/>
      <c r="BU17" s="121"/>
    </row>
    <row r="18" spans="1:73" x14ac:dyDescent="0.15">
      <c r="A18" s="109"/>
      <c r="B18" s="109"/>
      <c r="C18" s="120"/>
      <c r="D18" s="90"/>
      <c r="E18" s="90"/>
      <c r="F18" s="90"/>
      <c r="G18" s="90"/>
      <c r="H18" s="90"/>
      <c r="I18" s="90"/>
      <c r="J18" s="90"/>
      <c r="K18" s="90"/>
      <c r="L18" s="90"/>
      <c r="M18" s="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121"/>
      <c r="AN18" s="121"/>
      <c r="AO18" s="121"/>
      <c r="AP18" s="121"/>
      <c r="AQ18" s="121"/>
      <c r="AR18" s="121"/>
      <c r="AS18" s="121"/>
      <c r="AT18" s="121"/>
      <c r="AU18" s="121"/>
      <c r="AV18" s="121"/>
      <c r="AW18" s="121"/>
      <c r="AX18" s="121"/>
      <c r="AY18" s="121"/>
      <c r="AZ18" s="121"/>
      <c r="BA18" s="121"/>
      <c r="BB18" s="121"/>
      <c r="BC18" s="121"/>
      <c r="BD18" s="121"/>
      <c r="BE18" s="121"/>
      <c r="BF18" s="121"/>
      <c r="BG18" s="121"/>
      <c r="BH18" s="121"/>
      <c r="BI18" s="121"/>
      <c r="BJ18" s="121"/>
      <c r="BK18" s="121"/>
      <c r="BL18" s="121"/>
      <c r="BM18" s="121"/>
      <c r="BN18" s="121"/>
      <c r="BO18" s="121"/>
      <c r="BP18" s="121"/>
      <c r="BQ18" s="121"/>
      <c r="BR18" s="121"/>
      <c r="BS18" s="121"/>
      <c r="BT18" s="121"/>
      <c r="BU18" s="121"/>
    </row>
    <row r="19" spans="1:73" x14ac:dyDescent="0.15">
      <c r="A19" s="109"/>
      <c r="B19" s="109"/>
      <c r="C19" s="120"/>
      <c r="D19" s="90"/>
      <c r="E19" s="90"/>
      <c r="F19" s="90"/>
      <c r="G19" s="90"/>
      <c r="H19" s="90"/>
      <c r="I19" s="90"/>
      <c r="J19" s="90"/>
      <c r="K19" s="90"/>
      <c r="L19" s="90"/>
      <c r="M19" s="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121"/>
      <c r="AN19" s="121"/>
      <c r="AO19" s="121"/>
      <c r="AP19" s="121"/>
      <c r="AQ19" s="121"/>
      <c r="AR19" s="121"/>
      <c r="AS19" s="121"/>
      <c r="AT19" s="121"/>
      <c r="AU19" s="121"/>
      <c r="AV19" s="121"/>
      <c r="AW19" s="121"/>
      <c r="AX19" s="121"/>
      <c r="AY19" s="121"/>
      <c r="AZ19" s="121"/>
      <c r="BA19" s="121"/>
      <c r="BB19" s="121"/>
      <c r="BC19" s="121"/>
      <c r="BD19" s="121"/>
      <c r="BE19" s="121"/>
      <c r="BF19" s="121"/>
      <c r="BG19" s="121"/>
      <c r="BH19" s="121"/>
      <c r="BI19" s="121"/>
      <c r="BJ19" s="121"/>
      <c r="BK19" s="121"/>
      <c r="BL19" s="121"/>
      <c r="BM19" s="121"/>
      <c r="BN19" s="121"/>
      <c r="BO19" s="121"/>
      <c r="BP19" s="121"/>
      <c r="BQ19" s="121"/>
      <c r="BR19" s="121"/>
      <c r="BS19" s="121"/>
      <c r="BT19" s="121"/>
      <c r="BU19" s="121"/>
    </row>
    <row r="20" spans="1:73" x14ac:dyDescent="0.15">
      <c r="A20" s="109"/>
      <c r="B20" s="109"/>
      <c r="C20" s="120"/>
      <c r="D20" s="90"/>
      <c r="E20" s="90"/>
      <c r="F20" s="90"/>
      <c r="G20" s="90"/>
      <c r="H20" s="90"/>
      <c r="I20" s="90"/>
      <c r="J20" s="90"/>
      <c r="K20" s="90"/>
      <c r="L20" s="90"/>
      <c r="M20" s="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121"/>
      <c r="AN20" s="121"/>
      <c r="AO20" s="121"/>
      <c r="AP20" s="121"/>
      <c r="AQ20" s="121"/>
      <c r="AR20" s="121"/>
      <c r="AS20" s="121"/>
      <c r="AT20" s="121"/>
      <c r="AU20" s="121"/>
      <c r="AV20" s="121"/>
      <c r="AW20" s="121"/>
      <c r="AX20" s="121"/>
      <c r="AY20" s="121"/>
      <c r="AZ20" s="121"/>
      <c r="BA20" s="121"/>
      <c r="BB20" s="121"/>
      <c r="BC20" s="121"/>
      <c r="BD20" s="121"/>
      <c r="BE20" s="121"/>
      <c r="BF20" s="121"/>
      <c r="BG20" s="121"/>
      <c r="BH20" s="121"/>
      <c r="BI20" s="121"/>
      <c r="BJ20" s="121"/>
      <c r="BK20" s="121"/>
      <c r="BL20" s="121"/>
      <c r="BM20" s="121"/>
      <c r="BN20" s="121"/>
      <c r="BO20" s="121"/>
      <c r="BP20" s="121"/>
      <c r="BQ20" s="121"/>
      <c r="BR20" s="121"/>
      <c r="BS20" s="121"/>
      <c r="BT20" s="121"/>
      <c r="BU20" s="121"/>
    </row>
    <row r="21" spans="1:73" x14ac:dyDescent="0.15">
      <c r="A21" s="109"/>
      <c r="B21" s="109"/>
      <c r="C21" s="120"/>
      <c r="D21" s="90"/>
      <c r="E21" s="90"/>
      <c r="F21" s="90"/>
      <c r="G21" s="90"/>
      <c r="H21" s="90"/>
      <c r="I21" s="90"/>
      <c r="J21" s="90"/>
      <c r="K21" s="90"/>
      <c r="L21" s="90"/>
      <c r="M21" s="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121"/>
      <c r="AN21" s="121"/>
      <c r="AO21" s="121"/>
      <c r="AP21" s="121"/>
      <c r="AQ21" s="121"/>
      <c r="AR21" s="121"/>
      <c r="AS21" s="121"/>
      <c r="AT21" s="121"/>
      <c r="AU21" s="121"/>
      <c r="AV21" s="121"/>
      <c r="AW21" s="121"/>
      <c r="AX21" s="121"/>
      <c r="AY21" s="121"/>
      <c r="AZ21" s="121"/>
      <c r="BA21" s="121"/>
      <c r="BB21" s="121"/>
      <c r="BC21" s="121"/>
      <c r="BD21" s="121"/>
      <c r="BE21" s="121"/>
      <c r="BF21" s="121"/>
      <c r="BG21" s="121"/>
      <c r="BH21" s="121"/>
      <c r="BI21" s="121"/>
      <c r="BJ21" s="121"/>
      <c r="BK21" s="121"/>
      <c r="BL21" s="121"/>
      <c r="BM21" s="121"/>
      <c r="BN21" s="121"/>
      <c r="BO21" s="121"/>
      <c r="BP21" s="121"/>
      <c r="BQ21" s="121"/>
      <c r="BR21" s="121"/>
      <c r="BS21" s="121"/>
      <c r="BT21" s="121"/>
      <c r="BU21" s="121"/>
    </row>
    <row r="22" spans="1:73" x14ac:dyDescent="0.15">
      <c r="A22" s="109"/>
      <c r="B22" s="109"/>
      <c r="C22" s="120"/>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row>
    <row r="23" spans="1:73" x14ac:dyDescent="0.15">
      <c r="A23" s="109"/>
      <c r="B23" s="109"/>
      <c r="C23" s="120"/>
      <c r="D23" s="90"/>
      <c r="E23" s="90"/>
      <c r="F23" s="90"/>
      <c r="G23" s="90"/>
      <c r="H23" s="90"/>
      <c r="I23" s="90"/>
      <c r="J23" s="90"/>
      <c r="K23" s="90"/>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121"/>
      <c r="AN23" s="121"/>
      <c r="AO23" s="121"/>
      <c r="AP23" s="121"/>
      <c r="AQ23" s="121"/>
      <c r="AR23" s="121"/>
      <c r="AS23" s="121"/>
      <c r="AT23" s="121"/>
      <c r="AU23" s="121"/>
      <c r="AV23" s="121"/>
      <c r="AW23" s="121"/>
      <c r="AX23" s="121"/>
      <c r="AY23" s="121"/>
      <c r="AZ23" s="121"/>
      <c r="BA23" s="121"/>
      <c r="BB23" s="121"/>
      <c r="BC23" s="121"/>
      <c r="BD23" s="121"/>
      <c r="BE23" s="121"/>
      <c r="BF23" s="121"/>
      <c r="BG23" s="121"/>
      <c r="BH23" s="121"/>
      <c r="BI23" s="121"/>
      <c r="BJ23" s="121"/>
      <c r="BK23" s="121"/>
      <c r="BL23" s="121"/>
      <c r="BM23" s="121"/>
      <c r="BN23" s="121"/>
      <c r="BO23" s="121"/>
      <c r="BP23" s="121"/>
      <c r="BQ23" s="121"/>
      <c r="BR23" s="121"/>
      <c r="BS23" s="121"/>
      <c r="BT23" s="121"/>
      <c r="BU23" s="121"/>
    </row>
    <row r="24" spans="1:73" x14ac:dyDescent="0.15">
      <c r="A24" s="109"/>
      <c r="B24" s="109"/>
      <c r="C24" s="12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121"/>
      <c r="AN24" s="121"/>
      <c r="AO24" s="121"/>
      <c r="AP24" s="121"/>
      <c r="AQ24" s="121"/>
      <c r="AR24" s="121"/>
      <c r="AS24" s="121"/>
      <c r="AT24" s="121"/>
      <c r="AU24" s="121"/>
      <c r="AV24" s="121"/>
      <c r="AW24" s="121"/>
      <c r="AX24" s="121"/>
      <c r="AY24" s="121"/>
      <c r="AZ24" s="121"/>
      <c r="BA24" s="121"/>
      <c r="BB24" s="121"/>
      <c r="BC24" s="121"/>
      <c r="BD24" s="121"/>
      <c r="BE24" s="121"/>
      <c r="BF24" s="121"/>
      <c r="BG24" s="121"/>
      <c r="BH24" s="121"/>
      <c r="BI24" s="121"/>
      <c r="BJ24" s="121"/>
      <c r="BK24" s="121"/>
      <c r="BL24" s="121"/>
      <c r="BM24" s="121"/>
      <c r="BN24" s="121"/>
      <c r="BO24" s="121"/>
      <c r="BP24" s="121"/>
      <c r="BQ24" s="121"/>
      <c r="BR24" s="121"/>
      <c r="BS24" s="121"/>
      <c r="BT24" s="121"/>
      <c r="BU24" s="121"/>
    </row>
    <row r="25" spans="1:73" x14ac:dyDescent="0.15">
      <c r="A25" s="109"/>
      <c r="B25" s="109"/>
      <c r="C25" s="120"/>
      <c r="D25" s="90"/>
      <c r="E25" s="90"/>
      <c r="F25" s="90"/>
      <c r="G25" s="90"/>
      <c r="H25" s="90"/>
      <c r="I25" s="90"/>
      <c r="J25" s="90"/>
      <c r="K25" s="90"/>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121"/>
      <c r="AN25" s="121"/>
      <c r="AO25" s="121"/>
      <c r="AP25" s="121"/>
      <c r="AQ25" s="121"/>
      <c r="AR25" s="121"/>
      <c r="AS25" s="121"/>
      <c r="AT25" s="121"/>
      <c r="AU25" s="121"/>
      <c r="AV25" s="121"/>
      <c r="AW25" s="121"/>
      <c r="AX25" s="121"/>
      <c r="AY25" s="121"/>
      <c r="AZ25" s="121"/>
      <c r="BA25" s="121"/>
      <c r="BB25" s="121"/>
      <c r="BC25" s="121"/>
      <c r="BD25" s="121"/>
      <c r="BE25" s="121"/>
      <c r="BF25" s="121"/>
      <c r="BG25" s="121"/>
      <c r="BH25" s="121"/>
      <c r="BI25" s="121"/>
      <c r="BJ25" s="121"/>
      <c r="BK25" s="121"/>
      <c r="BL25" s="121"/>
      <c r="BM25" s="121"/>
      <c r="BN25" s="121"/>
      <c r="BO25" s="121"/>
      <c r="BP25" s="121"/>
      <c r="BQ25" s="121"/>
      <c r="BR25" s="121"/>
      <c r="BS25" s="121"/>
      <c r="BT25" s="121"/>
      <c r="BU25" s="121"/>
    </row>
    <row r="26" spans="1:73" x14ac:dyDescent="0.15">
      <c r="A26" s="109"/>
      <c r="B26" s="109"/>
      <c r="C26" s="120"/>
      <c r="D26" s="90"/>
      <c r="E26" s="90"/>
      <c r="F26" s="90"/>
      <c r="G26" s="90"/>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121"/>
      <c r="AN26" s="121"/>
      <c r="AO26" s="121"/>
      <c r="AP26" s="121"/>
      <c r="AQ26" s="121"/>
      <c r="AR26" s="121"/>
      <c r="AS26" s="121"/>
      <c r="AT26" s="121"/>
      <c r="AU26" s="121"/>
      <c r="AV26" s="121"/>
      <c r="AW26" s="121"/>
      <c r="AX26" s="121"/>
      <c r="AY26" s="121"/>
      <c r="AZ26" s="121"/>
      <c r="BA26" s="121"/>
      <c r="BB26" s="121"/>
      <c r="BC26" s="121"/>
      <c r="BD26" s="121"/>
      <c r="BE26" s="121"/>
      <c r="BF26" s="121"/>
      <c r="BG26" s="121"/>
      <c r="BH26" s="121"/>
      <c r="BI26" s="121"/>
      <c r="BJ26" s="121"/>
      <c r="BK26" s="121"/>
      <c r="BL26" s="121"/>
      <c r="BM26" s="121"/>
      <c r="BN26" s="121"/>
      <c r="BO26" s="121"/>
      <c r="BP26" s="121"/>
      <c r="BQ26" s="121"/>
      <c r="BR26" s="121"/>
      <c r="BS26" s="121"/>
      <c r="BT26" s="121"/>
      <c r="BU26" s="121"/>
    </row>
    <row r="27" spans="1:73" x14ac:dyDescent="0.15">
      <c r="A27" s="109"/>
      <c r="B27" s="109"/>
      <c r="C27" s="120"/>
      <c r="D27" s="90"/>
      <c r="E27" s="90"/>
      <c r="F27" s="90"/>
      <c r="G27" s="90"/>
      <c r="H27" s="90"/>
      <c r="I27" s="90"/>
      <c r="J27" s="90"/>
      <c r="K27" s="90"/>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121"/>
      <c r="AN27" s="121"/>
      <c r="AO27" s="121"/>
      <c r="AP27" s="121"/>
      <c r="AQ27" s="121"/>
      <c r="AR27" s="121"/>
      <c r="AS27" s="121"/>
      <c r="AT27" s="121"/>
      <c r="AU27" s="121"/>
      <c r="AV27" s="121"/>
      <c r="AW27" s="121"/>
      <c r="AX27" s="121"/>
      <c r="AY27" s="121"/>
      <c r="AZ27" s="121"/>
      <c r="BA27" s="121"/>
      <c r="BB27" s="121"/>
      <c r="BC27" s="121"/>
      <c r="BD27" s="121"/>
      <c r="BE27" s="121"/>
      <c r="BF27" s="121"/>
      <c r="BG27" s="121"/>
      <c r="BH27" s="121"/>
      <c r="BI27" s="121"/>
      <c r="BJ27" s="121"/>
      <c r="BK27" s="121"/>
      <c r="BL27" s="121"/>
      <c r="BM27" s="121"/>
      <c r="BN27" s="121"/>
      <c r="BO27" s="121"/>
      <c r="BP27" s="121"/>
      <c r="BQ27" s="121"/>
      <c r="BR27" s="121"/>
      <c r="BS27" s="121"/>
      <c r="BT27" s="121"/>
      <c r="BU27" s="121"/>
    </row>
    <row r="28" spans="1:73" x14ac:dyDescent="0.15">
      <c r="A28" s="109"/>
      <c r="B28" s="109"/>
      <c r="C28" s="120"/>
      <c r="D28" s="90"/>
      <c r="E28" s="90"/>
      <c r="F28" s="90"/>
      <c r="G28" s="90"/>
      <c r="H28" s="90"/>
      <c r="I28" s="90"/>
      <c r="J28" s="90"/>
      <c r="K28" s="90"/>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121"/>
      <c r="AN28" s="121"/>
      <c r="AO28" s="121"/>
      <c r="AP28" s="121"/>
      <c r="AQ28" s="121"/>
      <c r="AR28" s="121"/>
      <c r="AS28" s="121"/>
      <c r="AT28" s="121"/>
      <c r="AU28" s="121"/>
      <c r="AV28" s="121"/>
      <c r="AW28" s="121"/>
      <c r="AX28" s="121"/>
      <c r="AY28" s="121"/>
      <c r="AZ28" s="121"/>
      <c r="BA28" s="121"/>
      <c r="BB28" s="121"/>
      <c r="BC28" s="121"/>
      <c r="BD28" s="121"/>
      <c r="BE28" s="121"/>
      <c r="BF28" s="121"/>
      <c r="BG28" s="121"/>
      <c r="BH28" s="121"/>
      <c r="BI28" s="121"/>
      <c r="BJ28" s="121"/>
      <c r="BK28" s="121"/>
      <c r="BL28" s="121"/>
      <c r="BM28" s="121"/>
      <c r="BN28" s="121"/>
      <c r="BO28" s="121"/>
      <c r="BP28" s="121"/>
      <c r="BQ28" s="121"/>
      <c r="BR28" s="121"/>
      <c r="BS28" s="121"/>
      <c r="BT28" s="121"/>
      <c r="BU28" s="121"/>
    </row>
    <row r="29" spans="1:73" x14ac:dyDescent="0.15">
      <c r="A29" s="109"/>
      <c r="B29" s="109"/>
      <c r="C29" s="120"/>
      <c r="D29" s="90"/>
      <c r="E29" s="90"/>
      <c r="F29" s="90"/>
      <c r="G29" s="90"/>
      <c r="H29" s="90"/>
      <c r="I29" s="90"/>
      <c r="J29" s="90"/>
      <c r="K29" s="90"/>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121"/>
      <c r="AN29" s="121"/>
      <c r="AO29" s="121"/>
      <c r="AP29" s="121"/>
      <c r="AQ29" s="121"/>
      <c r="AR29" s="121"/>
      <c r="AS29" s="121"/>
      <c r="AT29" s="121"/>
      <c r="AU29" s="121"/>
      <c r="AV29" s="121"/>
      <c r="AW29" s="121"/>
      <c r="AX29" s="121"/>
      <c r="AY29" s="121"/>
      <c r="AZ29" s="121"/>
      <c r="BA29" s="121"/>
      <c r="BB29" s="121"/>
      <c r="BC29" s="121"/>
      <c r="BD29" s="121"/>
      <c r="BE29" s="121"/>
      <c r="BF29" s="121"/>
      <c r="BG29" s="121"/>
      <c r="BH29" s="121"/>
      <c r="BI29" s="121"/>
      <c r="BJ29" s="121"/>
      <c r="BK29" s="121"/>
      <c r="BL29" s="121"/>
      <c r="BM29" s="121"/>
      <c r="BN29" s="121"/>
      <c r="BO29" s="121"/>
      <c r="BP29" s="121"/>
      <c r="BQ29" s="121"/>
      <c r="BR29" s="121"/>
      <c r="BS29" s="121"/>
      <c r="BT29" s="121"/>
      <c r="BU29" s="121"/>
    </row>
    <row r="30" spans="1:73" x14ac:dyDescent="0.15">
      <c r="A30" s="109"/>
      <c r="B30" s="109"/>
      <c r="C30" s="120"/>
      <c r="D30" s="90"/>
      <c r="E30" s="90"/>
      <c r="F30" s="90"/>
      <c r="G30" s="90"/>
      <c r="H30" s="90"/>
      <c r="I30" s="90"/>
      <c r="J30" s="90"/>
      <c r="K30" s="90"/>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121"/>
      <c r="AN30" s="121"/>
      <c r="AO30" s="121"/>
      <c r="AP30" s="121"/>
      <c r="AQ30" s="121"/>
      <c r="AR30" s="121"/>
      <c r="AS30" s="121"/>
      <c r="AT30" s="121"/>
      <c r="AU30" s="121"/>
      <c r="AV30" s="121"/>
      <c r="AW30" s="121"/>
      <c r="AX30" s="121"/>
      <c r="AY30" s="121"/>
      <c r="AZ30" s="121"/>
      <c r="BA30" s="121"/>
      <c r="BB30" s="121"/>
      <c r="BC30" s="121"/>
      <c r="BD30" s="121"/>
      <c r="BE30" s="121"/>
      <c r="BF30" s="121"/>
      <c r="BG30" s="121"/>
      <c r="BH30" s="121"/>
      <c r="BI30" s="121"/>
      <c r="BJ30" s="121"/>
      <c r="BK30" s="121"/>
      <c r="BL30" s="121"/>
      <c r="BM30" s="121"/>
      <c r="BN30" s="121"/>
      <c r="BO30" s="121"/>
      <c r="BP30" s="121"/>
      <c r="BQ30" s="121"/>
      <c r="BR30" s="121"/>
      <c r="BS30" s="121"/>
      <c r="BT30" s="121"/>
      <c r="BU30" s="121"/>
    </row>
    <row r="31" spans="1:73" x14ac:dyDescent="0.15">
      <c r="A31" s="109"/>
      <c r="B31" s="109"/>
      <c r="C31" s="12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121"/>
      <c r="AN31" s="121"/>
      <c r="AO31" s="121"/>
      <c r="AP31" s="121"/>
      <c r="AQ31" s="121"/>
      <c r="AR31" s="121"/>
      <c r="AS31" s="121"/>
      <c r="AT31" s="121"/>
      <c r="AU31" s="121"/>
      <c r="AV31" s="121"/>
      <c r="AW31" s="121"/>
      <c r="AX31" s="121"/>
      <c r="AY31" s="121"/>
      <c r="AZ31" s="121"/>
      <c r="BA31" s="121"/>
      <c r="BB31" s="121"/>
      <c r="BC31" s="121"/>
      <c r="BD31" s="121"/>
      <c r="BE31" s="121"/>
      <c r="BF31" s="121"/>
      <c r="BG31" s="121"/>
      <c r="BH31" s="121"/>
      <c r="BI31" s="121"/>
      <c r="BJ31" s="121"/>
      <c r="BK31" s="121"/>
      <c r="BL31" s="121"/>
      <c r="BM31" s="121"/>
      <c r="BN31" s="121"/>
      <c r="BO31" s="121"/>
      <c r="BP31" s="121"/>
      <c r="BQ31" s="121"/>
      <c r="BR31" s="121"/>
      <c r="BS31" s="121"/>
      <c r="BT31" s="121"/>
      <c r="BU31" s="121"/>
    </row>
    <row r="32" spans="1:73" x14ac:dyDescent="0.15">
      <c r="A32" s="109"/>
      <c r="B32" s="109"/>
      <c r="C32" s="120"/>
      <c r="D32" s="90"/>
      <c r="E32" s="90"/>
      <c r="F32" s="90"/>
      <c r="G32" s="90"/>
      <c r="H32" s="90"/>
      <c r="I32" s="90"/>
      <c r="J32" s="90"/>
      <c r="K32" s="90"/>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0"/>
      <c r="AM32" s="121"/>
      <c r="AN32" s="121"/>
      <c r="AO32" s="121"/>
      <c r="AP32" s="121"/>
      <c r="AQ32" s="121"/>
      <c r="AR32" s="121"/>
      <c r="AS32" s="121"/>
      <c r="AT32" s="121"/>
      <c r="AU32" s="121"/>
      <c r="AV32" s="121"/>
      <c r="AW32" s="121"/>
      <c r="AX32" s="121"/>
      <c r="AY32" s="121"/>
      <c r="AZ32" s="121"/>
      <c r="BA32" s="121"/>
      <c r="BB32" s="121"/>
      <c r="BC32" s="121"/>
      <c r="BD32" s="121"/>
      <c r="BE32" s="121"/>
      <c r="BF32" s="121"/>
      <c r="BG32" s="121"/>
      <c r="BH32" s="121"/>
      <c r="BI32" s="121"/>
      <c r="BJ32" s="121"/>
      <c r="BK32" s="121"/>
      <c r="BL32" s="121"/>
      <c r="BM32" s="121"/>
      <c r="BN32" s="121"/>
      <c r="BO32" s="121"/>
      <c r="BP32" s="121"/>
      <c r="BQ32" s="121"/>
      <c r="BR32" s="121"/>
      <c r="BS32" s="121"/>
      <c r="BT32" s="121"/>
      <c r="BU32" s="121"/>
    </row>
    <row r="33" spans="1:73" x14ac:dyDescent="0.15">
      <c r="A33" s="109"/>
      <c r="B33" s="109"/>
      <c r="C33" s="120"/>
      <c r="D33" s="90"/>
      <c r="E33" s="90"/>
      <c r="F33" s="90"/>
      <c r="G33" s="90"/>
      <c r="H33" s="90"/>
      <c r="I33" s="90"/>
      <c r="J33" s="90"/>
      <c r="K33" s="90"/>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0"/>
      <c r="AM33" s="121"/>
      <c r="AN33" s="121"/>
      <c r="AO33" s="121"/>
      <c r="AP33" s="121"/>
      <c r="AQ33" s="121"/>
      <c r="AR33" s="121"/>
      <c r="AS33" s="121"/>
      <c r="AT33" s="121"/>
      <c r="AU33" s="121"/>
      <c r="AV33" s="121"/>
      <c r="AW33" s="121"/>
      <c r="AX33" s="121"/>
      <c r="AY33" s="121"/>
      <c r="AZ33" s="121"/>
      <c r="BA33" s="121"/>
      <c r="BB33" s="121"/>
      <c r="BC33" s="121"/>
      <c r="BD33" s="121"/>
      <c r="BE33" s="121"/>
      <c r="BF33" s="121"/>
      <c r="BG33" s="121"/>
      <c r="BH33" s="121"/>
      <c r="BI33" s="121"/>
      <c r="BJ33" s="121"/>
      <c r="BK33" s="121"/>
      <c r="BL33" s="121"/>
      <c r="BM33" s="121"/>
      <c r="BN33" s="121"/>
      <c r="BO33" s="121"/>
      <c r="BP33" s="121"/>
      <c r="BQ33" s="121"/>
      <c r="BR33" s="121"/>
      <c r="BS33" s="121"/>
      <c r="BT33" s="121"/>
      <c r="BU33" s="121"/>
    </row>
    <row r="34" spans="1:73" x14ac:dyDescent="0.15">
      <c r="A34" s="109"/>
      <c r="B34" s="109"/>
      <c r="C34" s="120"/>
      <c r="D34" s="90"/>
      <c r="E34" s="90"/>
      <c r="F34" s="90"/>
      <c r="G34" s="90"/>
      <c r="H34" s="90"/>
      <c r="I34" s="90"/>
      <c r="J34" s="90"/>
      <c r="K34" s="90"/>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0"/>
      <c r="AM34" s="121"/>
      <c r="AN34" s="121"/>
      <c r="AO34" s="121"/>
      <c r="AP34" s="121"/>
      <c r="AQ34" s="121"/>
      <c r="AR34" s="121"/>
      <c r="AS34" s="121"/>
      <c r="AT34" s="121"/>
      <c r="AU34" s="121"/>
      <c r="AV34" s="121"/>
      <c r="AW34" s="121"/>
      <c r="AX34" s="121"/>
      <c r="AY34" s="121"/>
      <c r="AZ34" s="121"/>
      <c r="BA34" s="121"/>
      <c r="BB34" s="121"/>
      <c r="BC34" s="121"/>
      <c r="BD34" s="121"/>
      <c r="BE34" s="121"/>
      <c r="BF34" s="121"/>
      <c r="BG34" s="121"/>
      <c r="BH34" s="121"/>
      <c r="BI34" s="121"/>
      <c r="BJ34" s="121"/>
      <c r="BK34" s="121"/>
      <c r="BL34" s="121"/>
      <c r="BM34" s="121"/>
      <c r="BN34" s="121"/>
      <c r="BO34" s="121"/>
      <c r="BP34" s="121"/>
      <c r="BQ34" s="121"/>
      <c r="BR34" s="121"/>
      <c r="BS34" s="121"/>
      <c r="BT34" s="121"/>
      <c r="BU34" s="121"/>
    </row>
    <row r="35" spans="1:73" x14ac:dyDescent="0.15">
      <c r="A35" s="109"/>
      <c r="B35" s="109"/>
      <c r="C35" s="120"/>
      <c r="D35" s="90"/>
      <c r="E35" s="90"/>
      <c r="F35" s="90"/>
      <c r="G35" s="90"/>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121"/>
      <c r="AN35" s="121"/>
      <c r="AO35" s="121"/>
      <c r="AP35" s="121"/>
      <c r="AQ35" s="121"/>
      <c r="AR35" s="121"/>
      <c r="AS35" s="121"/>
      <c r="AT35" s="121"/>
      <c r="AU35" s="121"/>
      <c r="AV35" s="121"/>
      <c r="AW35" s="121"/>
      <c r="AX35" s="121"/>
      <c r="AY35" s="121"/>
      <c r="AZ35" s="121"/>
      <c r="BA35" s="121"/>
      <c r="BB35" s="121"/>
      <c r="BC35" s="121"/>
      <c r="BD35" s="121"/>
      <c r="BE35" s="121"/>
      <c r="BF35" s="121"/>
      <c r="BG35" s="121"/>
      <c r="BH35" s="121"/>
      <c r="BI35" s="121"/>
      <c r="BJ35" s="121"/>
      <c r="BK35" s="121"/>
      <c r="BL35" s="121"/>
      <c r="BM35" s="121"/>
      <c r="BN35" s="121"/>
      <c r="BO35" s="121"/>
      <c r="BP35" s="121"/>
      <c r="BQ35" s="121"/>
      <c r="BR35" s="121"/>
      <c r="BS35" s="121"/>
      <c r="BT35" s="121"/>
      <c r="BU35" s="121"/>
    </row>
    <row r="36" spans="1:73" x14ac:dyDescent="0.15">
      <c r="A36" s="109"/>
      <c r="B36" s="109"/>
      <c r="C36" s="120"/>
      <c r="D36" s="90"/>
      <c r="E36" s="90"/>
      <c r="F36" s="90"/>
      <c r="G36" s="90"/>
      <c r="H36" s="90"/>
      <c r="I36" s="90"/>
      <c r="J36" s="90"/>
      <c r="K36" s="90"/>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0"/>
      <c r="AM36" s="121"/>
      <c r="AN36" s="121"/>
      <c r="AO36" s="121"/>
      <c r="AP36" s="121"/>
      <c r="AQ36" s="121"/>
      <c r="AR36" s="121"/>
      <c r="AS36" s="121"/>
      <c r="AT36" s="121"/>
      <c r="AU36" s="121"/>
      <c r="AV36" s="121"/>
      <c r="AW36" s="121"/>
      <c r="AX36" s="121"/>
      <c r="AY36" s="121"/>
      <c r="AZ36" s="121"/>
      <c r="BA36" s="121"/>
      <c r="BB36" s="121"/>
      <c r="BC36" s="121"/>
      <c r="BD36" s="121"/>
      <c r="BE36" s="121"/>
      <c r="BF36" s="121"/>
      <c r="BG36" s="121"/>
      <c r="BH36" s="121"/>
      <c r="BI36" s="121"/>
      <c r="BJ36" s="121"/>
      <c r="BK36" s="121"/>
      <c r="BL36" s="121"/>
      <c r="BM36" s="121"/>
      <c r="BN36" s="121"/>
      <c r="BO36" s="121"/>
      <c r="BP36" s="121"/>
      <c r="BQ36" s="121"/>
      <c r="BR36" s="121"/>
      <c r="BS36" s="121"/>
      <c r="BT36" s="121"/>
      <c r="BU36" s="121"/>
    </row>
    <row r="37" spans="1:73" x14ac:dyDescent="0.15">
      <c r="A37" s="109"/>
      <c r="B37" s="109"/>
      <c r="C37" s="120"/>
      <c r="D37" s="90"/>
      <c r="E37" s="90"/>
      <c r="F37" s="90"/>
      <c r="G37" s="90"/>
      <c r="H37" s="90"/>
      <c r="I37" s="90"/>
      <c r="J37" s="90"/>
      <c r="K37" s="90"/>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121"/>
      <c r="AN37" s="121"/>
      <c r="AO37" s="121"/>
      <c r="AP37" s="121"/>
      <c r="AQ37" s="121"/>
      <c r="AR37" s="121"/>
      <c r="AS37" s="121"/>
      <c r="AT37" s="121"/>
      <c r="AU37" s="121"/>
      <c r="AV37" s="121"/>
      <c r="AW37" s="121"/>
      <c r="AX37" s="121"/>
      <c r="AY37" s="121"/>
      <c r="AZ37" s="121"/>
      <c r="BA37" s="121"/>
      <c r="BB37" s="121"/>
      <c r="BC37" s="121"/>
      <c r="BD37" s="121"/>
      <c r="BE37" s="121"/>
      <c r="BF37" s="121"/>
      <c r="BG37" s="121"/>
      <c r="BH37" s="121"/>
      <c r="BI37" s="121"/>
      <c r="BJ37" s="121"/>
      <c r="BK37" s="121"/>
      <c r="BL37" s="121"/>
      <c r="BM37" s="121"/>
      <c r="BN37" s="121"/>
      <c r="BO37" s="121"/>
      <c r="BP37" s="121"/>
      <c r="BQ37" s="121"/>
      <c r="BR37" s="121"/>
      <c r="BS37" s="121"/>
      <c r="BT37" s="121"/>
      <c r="BU37" s="121"/>
    </row>
    <row r="38" spans="1:73" x14ac:dyDescent="0.15">
      <c r="A38" s="109"/>
      <c r="B38" s="109"/>
      <c r="C38" s="12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0"/>
      <c r="AM38" s="121"/>
      <c r="AN38" s="121"/>
      <c r="AO38" s="121"/>
      <c r="AP38" s="121"/>
      <c r="AQ38" s="121"/>
      <c r="AR38" s="121"/>
      <c r="AS38" s="121"/>
      <c r="AT38" s="121"/>
      <c r="AU38" s="121"/>
      <c r="AV38" s="121"/>
      <c r="AW38" s="121"/>
      <c r="AX38" s="121"/>
      <c r="AY38" s="121"/>
      <c r="AZ38" s="121"/>
      <c r="BA38" s="121"/>
      <c r="BB38" s="121"/>
      <c r="BC38" s="121"/>
      <c r="BD38" s="121"/>
      <c r="BE38" s="121"/>
      <c r="BF38" s="121"/>
      <c r="BG38" s="121"/>
      <c r="BH38" s="121"/>
      <c r="BI38" s="121"/>
      <c r="BJ38" s="121"/>
      <c r="BK38" s="121"/>
      <c r="BL38" s="121"/>
      <c r="BM38" s="121"/>
      <c r="BN38" s="121"/>
      <c r="BO38" s="121"/>
      <c r="BP38" s="121"/>
      <c r="BQ38" s="121"/>
      <c r="BR38" s="121"/>
      <c r="BS38" s="121"/>
      <c r="BT38" s="121"/>
      <c r="BU38" s="121"/>
    </row>
    <row r="39" spans="1:73" x14ac:dyDescent="0.15">
      <c r="A39" s="109"/>
      <c r="B39" s="109"/>
      <c r="C39" s="120"/>
      <c r="D39" s="90"/>
      <c r="E39" s="90"/>
      <c r="F39" s="90"/>
      <c r="G39" s="90"/>
      <c r="H39" s="90"/>
      <c r="I39" s="90"/>
      <c r="J39" s="90"/>
      <c r="K39" s="90"/>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0"/>
      <c r="AM39" s="121"/>
      <c r="AN39" s="121"/>
      <c r="AO39" s="121"/>
      <c r="AP39" s="121"/>
      <c r="AQ39" s="121"/>
      <c r="AR39" s="121"/>
      <c r="AS39" s="121"/>
      <c r="AT39" s="121"/>
      <c r="AU39" s="121"/>
      <c r="AV39" s="121"/>
      <c r="AW39" s="121"/>
      <c r="AX39" s="121"/>
      <c r="AY39" s="121"/>
      <c r="AZ39" s="121"/>
      <c r="BA39" s="121"/>
      <c r="BB39" s="121"/>
      <c r="BC39" s="121"/>
      <c r="BD39" s="121"/>
      <c r="BE39" s="121"/>
      <c r="BF39" s="121"/>
      <c r="BG39" s="121"/>
      <c r="BH39" s="121"/>
      <c r="BI39" s="121"/>
      <c r="BJ39" s="121"/>
      <c r="BK39" s="121"/>
      <c r="BL39" s="121"/>
      <c r="BM39" s="121"/>
      <c r="BN39" s="121"/>
      <c r="BO39" s="121"/>
      <c r="BP39" s="121"/>
      <c r="BQ39" s="121"/>
      <c r="BR39" s="121"/>
      <c r="BS39" s="121"/>
      <c r="BT39" s="121"/>
      <c r="BU39" s="121"/>
    </row>
    <row r="40" spans="1:73" x14ac:dyDescent="0.15">
      <c r="A40" s="109"/>
      <c r="B40" s="109"/>
      <c r="C40" s="120"/>
      <c r="D40" s="90"/>
      <c r="E40" s="90"/>
      <c r="F40" s="90"/>
      <c r="G40" s="90"/>
      <c r="H40" s="90"/>
      <c r="I40" s="90"/>
      <c r="J40" s="90"/>
      <c r="K40" s="90"/>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0"/>
      <c r="AM40" s="121"/>
      <c r="AN40" s="121"/>
      <c r="AO40" s="121"/>
      <c r="AP40" s="121"/>
      <c r="AQ40" s="121"/>
      <c r="AR40" s="121"/>
      <c r="AS40" s="121"/>
      <c r="AT40" s="121"/>
      <c r="AU40" s="121"/>
      <c r="AV40" s="121"/>
      <c r="AW40" s="121"/>
      <c r="AX40" s="121"/>
      <c r="AY40" s="121"/>
      <c r="AZ40" s="121"/>
      <c r="BA40" s="121"/>
      <c r="BB40" s="121"/>
      <c r="BC40" s="121"/>
      <c r="BD40" s="121"/>
      <c r="BE40" s="121"/>
      <c r="BF40" s="121"/>
      <c r="BG40" s="121"/>
      <c r="BH40" s="121"/>
      <c r="BI40" s="121"/>
      <c r="BJ40" s="121"/>
      <c r="BK40" s="121"/>
      <c r="BL40" s="121"/>
      <c r="BM40" s="121"/>
      <c r="BN40" s="121"/>
      <c r="BO40" s="121"/>
      <c r="BP40" s="121"/>
      <c r="BQ40" s="121"/>
      <c r="BR40" s="121"/>
      <c r="BS40" s="121"/>
      <c r="BT40" s="121"/>
      <c r="BU40" s="121"/>
    </row>
    <row r="41" spans="1:73" x14ac:dyDescent="0.15">
      <c r="A41" s="109"/>
      <c r="B41" s="109"/>
      <c r="C41" s="120"/>
      <c r="D41" s="90"/>
      <c r="E41" s="90"/>
      <c r="F41" s="90"/>
      <c r="G41" s="90"/>
      <c r="H41" s="90"/>
      <c r="I41" s="90"/>
      <c r="J41" s="90"/>
      <c r="K41" s="90"/>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0"/>
      <c r="AM41" s="121"/>
      <c r="AN41" s="121"/>
      <c r="AO41" s="121"/>
      <c r="AP41" s="121"/>
      <c r="AQ41" s="121"/>
      <c r="AR41" s="121"/>
      <c r="AS41" s="121"/>
      <c r="AT41" s="121"/>
      <c r="AU41" s="121"/>
      <c r="AV41" s="121"/>
      <c r="AW41" s="121"/>
      <c r="AX41" s="121"/>
      <c r="AY41" s="121"/>
      <c r="AZ41" s="121"/>
      <c r="BA41" s="121"/>
      <c r="BB41" s="121"/>
      <c r="BC41" s="121"/>
      <c r="BD41" s="121"/>
      <c r="BE41" s="121"/>
      <c r="BF41" s="121"/>
      <c r="BG41" s="121"/>
      <c r="BH41" s="121"/>
      <c r="BI41" s="121"/>
      <c r="BJ41" s="121"/>
      <c r="BK41" s="121"/>
      <c r="BL41" s="121"/>
      <c r="BM41" s="121"/>
      <c r="BN41" s="121"/>
      <c r="BO41" s="121"/>
      <c r="BP41" s="121"/>
      <c r="BQ41" s="121"/>
      <c r="BR41" s="121"/>
      <c r="BS41" s="121"/>
      <c r="BT41" s="121"/>
      <c r="BU41" s="121"/>
    </row>
    <row r="42" spans="1:73" x14ac:dyDescent="0.15">
      <c r="A42" s="109"/>
      <c r="B42" s="109"/>
      <c r="C42" s="12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121"/>
      <c r="AN42" s="121"/>
      <c r="AO42" s="121"/>
      <c r="AP42" s="121"/>
      <c r="AQ42" s="121"/>
      <c r="AR42" s="121"/>
      <c r="AS42" s="121"/>
      <c r="AT42" s="121"/>
      <c r="AU42" s="121"/>
      <c r="AV42" s="121"/>
      <c r="AW42" s="121"/>
      <c r="AX42" s="121"/>
      <c r="AY42" s="121"/>
      <c r="AZ42" s="121"/>
      <c r="BA42" s="121"/>
      <c r="BB42" s="121"/>
      <c r="BC42" s="121"/>
      <c r="BD42" s="121"/>
      <c r="BE42" s="121"/>
      <c r="BF42" s="121"/>
      <c r="BG42" s="121"/>
      <c r="BH42" s="121"/>
      <c r="BI42" s="121"/>
      <c r="BJ42" s="121"/>
      <c r="BK42" s="121"/>
      <c r="BL42" s="121"/>
      <c r="BM42" s="121"/>
      <c r="BN42" s="121"/>
      <c r="BO42" s="121"/>
      <c r="BP42" s="121"/>
      <c r="BQ42" s="121"/>
      <c r="BR42" s="121"/>
      <c r="BS42" s="121"/>
      <c r="BT42" s="121"/>
      <c r="BU42" s="121"/>
    </row>
    <row r="43" spans="1:73" x14ac:dyDescent="0.15">
      <c r="A43" s="109"/>
      <c r="B43" s="109"/>
      <c r="C43" s="120"/>
      <c r="D43" s="90"/>
      <c r="E43" s="90"/>
      <c r="F43" s="90"/>
      <c r="G43" s="90"/>
      <c r="H43" s="90"/>
      <c r="I43" s="90"/>
      <c r="J43" s="90"/>
      <c r="K43" s="9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0"/>
      <c r="AM43" s="121"/>
      <c r="AN43" s="121"/>
      <c r="AO43" s="121"/>
      <c r="AP43" s="121"/>
      <c r="AQ43" s="121"/>
      <c r="AR43" s="121"/>
      <c r="AS43" s="121"/>
      <c r="AT43" s="121"/>
      <c r="AU43" s="121"/>
      <c r="AV43" s="121"/>
      <c r="AW43" s="121"/>
      <c r="AX43" s="121"/>
      <c r="AY43" s="121"/>
      <c r="AZ43" s="121"/>
      <c r="BA43" s="121"/>
      <c r="BB43" s="121"/>
      <c r="BC43" s="121"/>
      <c r="BD43" s="121"/>
      <c r="BE43" s="121"/>
      <c r="BF43" s="121"/>
      <c r="BG43" s="121"/>
      <c r="BH43" s="121"/>
      <c r="BI43" s="121"/>
      <c r="BJ43" s="121"/>
      <c r="BK43" s="121"/>
      <c r="BL43" s="121"/>
      <c r="BM43" s="121"/>
      <c r="BN43" s="121"/>
      <c r="BO43" s="121"/>
      <c r="BP43" s="121"/>
      <c r="BQ43" s="121"/>
      <c r="BR43" s="121"/>
      <c r="BS43" s="121"/>
      <c r="BT43" s="121"/>
      <c r="BU43" s="121"/>
    </row>
    <row r="44" spans="1:73" x14ac:dyDescent="0.15">
      <c r="A44" s="109"/>
      <c r="B44" s="109"/>
      <c r="C44" s="120"/>
      <c r="D44" s="90"/>
      <c r="E44" s="90"/>
      <c r="F44" s="90"/>
      <c r="G44" s="90"/>
      <c r="H44" s="90"/>
      <c r="I44" s="90"/>
      <c r="J44" s="90"/>
      <c r="K44" s="9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121"/>
      <c r="AN44" s="121"/>
      <c r="AO44" s="121"/>
      <c r="AP44" s="121"/>
      <c r="AQ44" s="121"/>
      <c r="AR44" s="121"/>
      <c r="AS44" s="121"/>
      <c r="AT44" s="121"/>
      <c r="AU44" s="121"/>
      <c r="AV44" s="121"/>
      <c r="AW44" s="121"/>
      <c r="AX44" s="121"/>
      <c r="AY44" s="121"/>
      <c r="AZ44" s="121"/>
      <c r="BA44" s="121"/>
      <c r="BB44" s="121"/>
      <c r="BC44" s="121"/>
      <c r="BD44" s="121"/>
      <c r="BE44" s="121"/>
      <c r="BF44" s="121"/>
      <c r="BG44" s="121"/>
      <c r="BH44" s="121"/>
      <c r="BI44" s="121"/>
      <c r="BJ44" s="121"/>
      <c r="BK44" s="121"/>
      <c r="BL44" s="121"/>
      <c r="BM44" s="121"/>
      <c r="BN44" s="121"/>
      <c r="BO44" s="121"/>
      <c r="BP44" s="121"/>
      <c r="BQ44" s="121"/>
      <c r="BR44" s="121"/>
      <c r="BS44" s="121"/>
      <c r="BT44" s="121"/>
      <c r="BU44" s="121"/>
    </row>
    <row r="45" spans="1:73" x14ac:dyDescent="0.15">
      <c r="A45" s="109"/>
      <c r="B45" s="109"/>
      <c r="C45" s="12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0"/>
      <c r="AM45" s="121"/>
      <c r="AN45" s="121"/>
      <c r="AO45" s="121"/>
      <c r="AP45" s="121"/>
      <c r="AQ45" s="121"/>
      <c r="AR45" s="121"/>
      <c r="AS45" s="121"/>
      <c r="AT45" s="121"/>
      <c r="AU45" s="121"/>
      <c r="AV45" s="121"/>
      <c r="AW45" s="121"/>
      <c r="AX45" s="121"/>
      <c r="AY45" s="121"/>
      <c r="AZ45" s="121"/>
      <c r="BA45" s="121"/>
      <c r="BB45" s="121"/>
      <c r="BC45" s="121"/>
      <c r="BD45" s="121"/>
      <c r="BE45" s="121"/>
      <c r="BF45" s="121"/>
      <c r="BG45" s="121"/>
      <c r="BH45" s="121"/>
      <c r="BI45" s="121"/>
      <c r="BJ45" s="121"/>
      <c r="BK45" s="121"/>
      <c r="BL45" s="121"/>
      <c r="BM45" s="121"/>
      <c r="BN45" s="121"/>
      <c r="BO45" s="121"/>
      <c r="BP45" s="121"/>
      <c r="BQ45" s="121"/>
      <c r="BR45" s="121"/>
      <c r="BS45" s="121"/>
      <c r="BT45" s="121"/>
      <c r="BU45" s="121"/>
    </row>
    <row r="46" spans="1:73" x14ac:dyDescent="0.15">
      <c r="A46" s="109"/>
      <c r="B46" s="109"/>
      <c r="C46" s="120"/>
      <c r="D46" s="90"/>
      <c r="E46" s="90"/>
      <c r="F46" s="90"/>
      <c r="G46" s="90"/>
      <c r="H46" s="90"/>
      <c r="I46" s="90"/>
      <c r="J46" s="90"/>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121"/>
      <c r="AN46" s="121"/>
      <c r="AO46" s="121"/>
      <c r="AP46" s="121"/>
      <c r="AQ46" s="121"/>
      <c r="AR46" s="121"/>
      <c r="AS46" s="121"/>
      <c r="AT46" s="121"/>
      <c r="AU46" s="121"/>
      <c r="AV46" s="121"/>
      <c r="AW46" s="121"/>
      <c r="AX46" s="121"/>
      <c r="AY46" s="121"/>
      <c r="AZ46" s="121"/>
      <c r="BA46" s="121"/>
      <c r="BB46" s="121"/>
      <c r="BC46" s="121"/>
      <c r="BD46" s="121"/>
      <c r="BE46" s="121"/>
      <c r="BF46" s="121"/>
      <c r="BG46" s="121"/>
      <c r="BH46" s="121"/>
      <c r="BI46" s="121"/>
      <c r="BJ46" s="121"/>
      <c r="BK46" s="121"/>
      <c r="BL46" s="121"/>
      <c r="BM46" s="121"/>
      <c r="BN46" s="121"/>
      <c r="BO46" s="121"/>
      <c r="BP46" s="121"/>
      <c r="BQ46" s="121"/>
      <c r="BR46" s="121"/>
      <c r="BS46" s="121"/>
      <c r="BT46" s="121"/>
      <c r="BU46" s="121"/>
    </row>
    <row r="47" spans="1:73" x14ac:dyDescent="0.15">
      <c r="A47" s="109"/>
      <c r="B47" s="109"/>
      <c r="C47" s="120"/>
      <c r="D47" s="90"/>
      <c r="E47" s="90"/>
      <c r="F47" s="90"/>
      <c r="G47" s="90"/>
      <c r="H47" s="90"/>
      <c r="I47" s="90"/>
      <c r="J47" s="90"/>
      <c r="K47" s="90"/>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0"/>
      <c r="AK47" s="90"/>
      <c r="AL47" s="90"/>
      <c r="AM47" s="121"/>
      <c r="AN47" s="121"/>
      <c r="AO47" s="121"/>
      <c r="AP47" s="121"/>
      <c r="AQ47" s="121"/>
      <c r="AR47" s="121"/>
      <c r="AS47" s="121"/>
      <c r="AT47" s="121"/>
      <c r="AU47" s="121"/>
      <c r="AV47" s="121"/>
      <c r="AW47" s="121"/>
      <c r="AX47" s="121"/>
      <c r="AY47" s="121"/>
      <c r="AZ47" s="121"/>
      <c r="BA47" s="121"/>
      <c r="BB47" s="121"/>
      <c r="BC47" s="121"/>
      <c r="BD47" s="121"/>
      <c r="BE47" s="121"/>
      <c r="BF47" s="121"/>
      <c r="BG47" s="121"/>
      <c r="BH47" s="121"/>
      <c r="BI47" s="121"/>
      <c r="BJ47" s="121"/>
      <c r="BK47" s="121"/>
      <c r="BL47" s="121"/>
      <c r="BM47" s="121"/>
      <c r="BN47" s="121"/>
      <c r="BO47" s="121"/>
      <c r="BP47" s="121"/>
      <c r="BQ47" s="121"/>
      <c r="BR47" s="121"/>
      <c r="BS47" s="121"/>
      <c r="BT47" s="121"/>
      <c r="BU47" s="121"/>
    </row>
    <row r="48" spans="1:73" x14ac:dyDescent="0.15">
      <c r="A48" s="109"/>
      <c r="B48" s="109"/>
      <c r="C48" s="120"/>
      <c r="D48" s="90"/>
      <c r="E48" s="90"/>
      <c r="F48" s="90"/>
      <c r="G48" s="90"/>
      <c r="H48" s="90"/>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0"/>
      <c r="AJ48" s="90"/>
      <c r="AK48" s="90"/>
      <c r="AL48" s="90"/>
      <c r="AM48" s="121"/>
      <c r="AN48" s="121"/>
      <c r="AO48" s="121"/>
      <c r="AP48" s="121"/>
      <c r="AQ48" s="121"/>
      <c r="AR48" s="121"/>
      <c r="AS48" s="121"/>
      <c r="AT48" s="121"/>
      <c r="AU48" s="121"/>
      <c r="AV48" s="121"/>
      <c r="AW48" s="121"/>
      <c r="AX48" s="121"/>
      <c r="AY48" s="121"/>
      <c r="AZ48" s="121"/>
      <c r="BA48" s="121"/>
      <c r="BB48" s="121"/>
      <c r="BC48" s="121"/>
      <c r="BD48" s="121"/>
      <c r="BE48" s="121"/>
      <c r="BF48" s="121"/>
      <c r="BG48" s="121"/>
      <c r="BH48" s="121"/>
      <c r="BI48" s="121"/>
      <c r="BJ48" s="121"/>
      <c r="BK48" s="121"/>
      <c r="BL48" s="121"/>
      <c r="BM48" s="121"/>
      <c r="BN48" s="121"/>
      <c r="BO48" s="121"/>
      <c r="BP48" s="121"/>
      <c r="BQ48" s="121"/>
      <c r="BR48" s="121"/>
      <c r="BS48" s="121"/>
      <c r="BT48" s="121"/>
      <c r="BU48" s="121"/>
    </row>
    <row r="49" spans="1:73" x14ac:dyDescent="0.15">
      <c r="A49" s="109"/>
      <c r="B49" s="109"/>
      <c r="C49" s="12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0"/>
      <c r="AJ49" s="90"/>
      <c r="AK49" s="90"/>
      <c r="AL49" s="90"/>
      <c r="AM49" s="121"/>
      <c r="AN49" s="121"/>
      <c r="AO49" s="121"/>
      <c r="AP49" s="121"/>
      <c r="AQ49" s="121"/>
      <c r="AR49" s="121"/>
      <c r="AS49" s="121"/>
      <c r="AT49" s="121"/>
      <c r="AU49" s="121"/>
      <c r="AV49" s="121"/>
      <c r="AW49" s="121"/>
      <c r="AX49" s="121"/>
      <c r="AY49" s="121"/>
      <c r="AZ49" s="121"/>
      <c r="BA49" s="121"/>
      <c r="BB49" s="121"/>
      <c r="BC49" s="121"/>
      <c r="BD49" s="121"/>
      <c r="BE49" s="121"/>
      <c r="BF49" s="121"/>
      <c r="BG49" s="121"/>
      <c r="BH49" s="121"/>
      <c r="BI49" s="121"/>
      <c r="BJ49" s="121"/>
      <c r="BK49" s="121"/>
      <c r="BL49" s="121"/>
      <c r="BM49" s="121"/>
      <c r="BN49" s="121"/>
      <c r="BO49" s="121"/>
      <c r="BP49" s="121"/>
      <c r="BQ49" s="121"/>
      <c r="BR49" s="121"/>
      <c r="BS49" s="121"/>
      <c r="BT49" s="121"/>
      <c r="BU49" s="121"/>
    </row>
    <row r="50" spans="1:73" x14ac:dyDescent="0.15">
      <c r="A50" s="109"/>
      <c r="B50" s="109"/>
      <c r="C50" s="12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0"/>
      <c r="AJ50" s="90"/>
      <c r="AK50" s="90"/>
      <c r="AL50" s="90"/>
      <c r="AM50" s="121"/>
      <c r="AN50" s="121"/>
      <c r="AO50" s="121"/>
      <c r="AP50" s="121"/>
      <c r="AQ50" s="121"/>
      <c r="AR50" s="121"/>
      <c r="AS50" s="121"/>
      <c r="AT50" s="121"/>
      <c r="AU50" s="121"/>
      <c r="AV50" s="121"/>
      <c r="AW50" s="121"/>
      <c r="AX50" s="121"/>
      <c r="AY50" s="121"/>
      <c r="AZ50" s="121"/>
      <c r="BA50" s="121"/>
      <c r="BB50" s="121"/>
      <c r="BC50" s="121"/>
      <c r="BD50" s="121"/>
      <c r="BE50" s="121"/>
      <c r="BF50" s="121"/>
      <c r="BG50" s="121"/>
      <c r="BH50" s="121"/>
      <c r="BI50" s="121"/>
      <c r="BJ50" s="121"/>
      <c r="BK50" s="121"/>
      <c r="BL50" s="121"/>
      <c r="BM50" s="121"/>
      <c r="BN50" s="121"/>
      <c r="BO50" s="121"/>
      <c r="BP50" s="121"/>
      <c r="BQ50" s="121"/>
      <c r="BR50" s="121"/>
      <c r="BS50" s="121"/>
      <c r="BT50" s="121"/>
      <c r="BU50" s="121"/>
    </row>
    <row r="51" spans="1:73" x14ac:dyDescent="0.15">
      <c r="A51" s="109"/>
      <c r="B51" s="109"/>
      <c r="C51" s="12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0"/>
      <c r="AJ51" s="90"/>
      <c r="AK51" s="90"/>
      <c r="AL51" s="90"/>
      <c r="AM51" s="121"/>
      <c r="AN51" s="121"/>
      <c r="AO51" s="121"/>
      <c r="AP51" s="121"/>
      <c r="AQ51" s="121"/>
      <c r="AR51" s="121"/>
      <c r="AS51" s="121"/>
      <c r="AT51" s="121"/>
      <c r="AU51" s="121"/>
      <c r="AV51" s="121"/>
      <c r="AW51" s="121"/>
      <c r="AX51" s="121"/>
      <c r="AY51" s="121"/>
      <c r="AZ51" s="121"/>
      <c r="BA51" s="121"/>
      <c r="BB51" s="121"/>
      <c r="BC51" s="121"/>
      <c r="BD51" s="121"/>
      <c r="BE51" s="121"/>
      <c r="BF51" s="121"/>
      <c r="BG51" s="121"/>
      <c r="BH51" s="121"/>
      <c r="BI51" s="121"/>
      <c r="BJ51" s="121"/>
      <c r="BK51" s="121"/>
      <c r="BL51" s="121"/>
      <c r="BM51" s="121"/>
      <c r="BN51" s="121"/>
      <c r="BO51" s="121"/>
      <c r="BP51" s="121"/>
      <c r="BQ51" s="121"/>
      <c r="BR51" s="121"/>
      <c r="BS51" s="121"/>
      <c r="BT51" s="121"/>
      <c r="BU51" s="121"/>
    </row>
    <row r="52" spans="1:73" x14ac:dyDescent="0.15">
      <c r="A52" s="109"/>
      <c r="B52" s="109"/>
      <c r="C52" s="12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0"/>
      <c r="AK52" s="90"/>
      <c r="AL52" s="90"/>
      <c r="AM52" s="121"/>
      <c r="AN52" s="121"/>
      <c r="AO52" s="121"/>
      <c r="AP52" s="121"/>
      <c r="AQ52" s="121"/>
      <c r="AR52" s="121"/>
      <c r="AS52" s="121"/>
      <c r="AT52" s="121"/>
      <c r="AU52" s="121"/>
      <c r="AV52" s="121"/>
      <c r="AW52" s="121"/>
      <c r="AX52" s="121"/>
      <c r="AY52" s="121"/>
      <c r="AZ52" s="121"/>
      <c r="BA52" s="121"/>
      <c r="BB52" s="121"/>
      <c r="BC52" s="121"/>
      <c r="BD52" s="121"/>
      <c r="BE52" s="121"/>
      <c r="BF52" s="121"/>
      <c r="BG52" s="121"/>
      <c r="BH52" s="121"/>
      <c r="BI52" s="121"/>
      <c r="BJ52" s="121"/>
      <c r="BK52" s="121"/>
      <c r="BL52" s="121"/>
      <c r="BM52" s="121"/>
      <c r="BN52" s="121"/>
      <c r="BO52" s="121"/>
      <c r="BP52" s="121"/>
      <c r="BQ52" s="121"/>
      <c r="BR52" s="121"/>
      <c r="BS52" s="121"/>
      <c r="BT52" s="121"/>
      <c r="BU52" s="121"/>
    </row>
    <row r="53" spans="1:73" x14ac:dyDescent="0.15">
      <c r="A53" s="109"/>
      <c r="B53" s="109"/>
      <c r="C53" s="12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0"/>
      <c r="AK53" s="90"/>
      <c r="AL53" s="90"/>
      <c r="AM53" s="121"/>
      <c r="AN53" s="121"/>
      <c r="AO53" s="121"/>
      <c r="AP53" s="121"/>
      <c r="AQ53" s="121"/>
      <c r="AR53" s="121"/>
      <c r="AS53" s="121"/>
      <c r="AT53" s="121"/>
      <c r="AU53" s="121"/>
      <c r="AV53" s="121"/>
      <c r="AW53" s="121"/>
      <c r="AX53" s="121"/>
      <c r="AY53" s="121"/>
      <c r="AZ53" s="121"/>
      <c r="BA53" s="121"/>
      <c r="BB53" s="121"/>
      <c r="BC53" s="121"/>
      <c r="BD53" s="121"/>
      <c r="BE53" s="121"/>
      <c r="BF53" s="121"/>
      <c r="BG53" s="121"/>
      <c r="BH53" s="121"/>
      <c r="BI53" s="121"/>
      <c r="BJ53" s="121"/>
      <c r="BK53" s="121"/>
      <c r="BL53" s="121"/>
      <c r="BM53" s="121"/>
      <c r="BN53" s="121"/>
      <c r="BO53" s="121"/>
      <c r="BP53" s="121"/>
      <c r="BQ53" s="121"/>
      <c r="BR53" s="121"/>
      <c r="BS53" s="121"/>
      <c r="BT53" s="121"/>
      <c r="BU53" s="121"/>
    </row>
    <row r="54" spans="1:73" x14ac:dyDescent="0.15">
      <c r="A54" s="109"/>
      <c r="B54" s="109"/>
      <c r="C54" s="12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121"/>
      <c r="AN54" s="121"/>
      <c r="AO54" s="121"/>
      <c r="AP54" s="121"/>
      <c r="AQ54" s="121"/>
      <c r="AR54" s="121"/>
      <c r="AS54" s="121"/>
      <c r="AT54" s="121"/>
      <c r="AU54" s="121"/>
      <c r="AV54" s="121"/>
      <c r="AW54" s="121"/>
      <c r="AX54" s="121"/>
      <c r="AY54" s="121"/>
      <c r="AZ54" s="121"/>
      <c r="BA54" s="121"/>
      <c r="BB54" s="121"/>
      <c r="BC54" s="121"/>
      <c r="BD54" s="121"/>
      <c r="BE54" s="121"/>
      <c r="BF54" s="121"/>
      <c r="BG54" s="121"/>
      <c r="BH54" s="121"/>
      <c r="BI54" s="121"/>
      <c r="BJ54" s="121"/>
      <c r="BK54" s="121"/>
      <c r="BL54" s="121"/>
      <c r="BM54" s="121"/>
      <c r="BN54" s="121"/>
      <c r="BO54" s="121"/>
      <c r="BP54" s="121"/>
      <c r="BQ54" s="121"/>
      <c r="BR54" s="121"/>
      <c r="BS54" s="121"/>
      <c r="BT54" s="121"/>
      <c r="BU54" s="121"/>
    </row>
    <row r="55" spans="1:73" x14ac:dyDescent="0.15">
      <c r="A55" s="109"/>
      <c r="B55" s="109"/>
      <c r="C55" s="12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0"/>
      <c r="AK55" s="90"/>
      <c r="AL55" s="90"/>
      <c r="AM55" s="121"/>
      <c r="AN55" s="121"/>
      <c r="AO55" s="121"/>
      <c r="AP55" s="121"/>
      <c r="AQ55" s="121"/>
      <c r="AR55" s="121"/>
      <c r="AS55" s="121"/>
      <c r="AT55" s="121"/>
      <c r="AU55" s="121"/>
      <c r="AV55" s="121"/>
      <c r="AW55" s="121"/>
      <c r="AX55" s="121"/>
      <c r="AY55" s="121"/>
      <c r="AZ55" s="121"/>
      <c r="BA55" s="121"/>
      <c r="BB55" s="121"/>
      <c r="BC55" s="121"/>
      <c r="BD55" s="121"/>
      <c r="BE55" s="121"/>
      <c r="BF55" s="121"/>
      <c r="BG55" s="121"/>
      <c r="BH55" s="121"/>
      <c r="BI55" s="121"/>
      <c r="BJ55" s="121"/>
      <c r="BK55" s="121"/>
      <c r="BL55" s="121"/>
      <c r="BM55" s="121"/>
      <c r="BN55" s="121"/>
      <c r="BO55" s="121"/>
      <c r="BP55" s="121"/>
      <c r="BQ55" s="121"/>
      <c r="BR55" s="121"/>
      <c r="BS55" s="121"/>
      <c r="BT55" s="121"/>
      <c r="BU55" s="121"/>
    </row>
    <row r="56" spans="1:73" x14ac:dyDescent="0.15">
      <c r="A56" s="109"/>
      <c r="B56" s="109"/>
      <c r="C56" s="12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0"/>
      <c r="AK56" s="90"/>
      <c r="AL56" s="90"/>
      <c r="AM56" s="121"/>
      <c r="AN56" s="121"/>
      <c r="AO56" s="121"/>
      <c r="AP56" s="121"/>
      <c r="AQ56" s="121"/>
      <c r="AR56" s="121"/>
      <c r="AS56" s="121"/>
      <c r="AT56" s="121"/>
      <c r="AU56" s="121"/>
      <c r="AV56" s="121"/>
      <c r="AW56" s="121"/>
      <c r="AX56" s="121"/>
      <c r="AY56" s="121"/>
      <c r="AZ56" s="121"/>
      <c r="BA56" s="121"/>
      <c r="BB56" s="121"/>
      <c r="BC56" s="121"/>
      <c r="BD56" s="121"/>
      <c r="BE56" s="121"/>
      <c r="BF56" s="121"/>
      <c r="BG56" s="121"/>
      <c r="BH56" s="121"/>
      <c r="BI56" s="121"/>
      <c r="BJ56" s="121"/>
      <c r="BK56" s="121"/>
      <c r="BL56" s="121"/>
      <c r="BM56" s="121"/>
      <c r="BN56" s="121"/>
      <c r="BO56" s="121"/>
      <c r="BP56" s="121"/>
      <c r="BQ56" s="121"/>
      <c r="BR56" s="121"/>
      <c r="BS56" s="121"/>
      <c r="BT56" s="121"/>
      <c r="BU56" s="121"/>
    </row>
    <row r="57" spans="1:73" x14ac:dyDescent="0.15">
      <c r="A57" s="109"/>
      <c r="B57" s="109"/>
      <c r="C57" s="12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0"/>
      <c r="AK57" s="90"/>
      <c r="AL57" s="90"/>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c r="BJ57" s="121"/>
      <c r="BK57" s="121"/>
      <c r="BL57" s="121"/>
      <c r="BM57" s="121"/>
      <c r="BN57" s="121"/>
      <c r="BO57" s="121"/>
      <c r="BP57" s="121"/>
      <c r="BQ57" s="121"/>
      <c r="BR57" s="121"/>
      <c r="BS57" s="121"/>
      <c r="BT57" s="121"/>
      <c r="BU57" s="121"/>
    </row>
    <row r="58" spans="1:73" x14ac:dyDescent="0.15">
      <c r="A58" s="109"/>
      <c r="B58" s="109"/>
      <c r="C58" s="12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0"/>
      <c r="AK58" s="90"/>
      <c r="AL58" s="90"/>
      <c r="AM58" s="121"/>
      <c r="AN58" s="121"/>
      <c r="AO58" s="121"/>
      <c r="AP58" s="121"/>
      <c r="AQ58" s="121"/>
      <c r="AR58" s="121"/>
      <c r="AS58" s="121"/>
      <c r="AT58" s="121"/>
      <c r="AU58" s="121"/>
      <c r="AV58" s="121"/>
      <c r="AW58" s="121"/>
      <c r="AX58" s="121"/>
      <c r="AY58" s="121"/>
      <c r="AZ58" s="121"/>
      <c r="BA58" s="121"/>
      <c r="BB58" s="121"/>
      <c r="BC58" s="121"/>
      <c r="BD58" s="121"/>
      <c r="BE58" s="121"/>
      <c r="BF58" s="121"/>
      <c r="BG58" s="121"/>
      <c r="BH58" s="121"/>
      <c r="BI58" s="121"/>
      <c r="BJ58" s="121"/>
      <c r="BK58" s="121"/>
      <c r="BL58" s="121"/>
      <c r="BM58" s="121"/>
      <c r="BN58" s="121"/>
      <c r="BO58" s="121"/>
      <c r="BP58" s="121"/>
      <c r="BQ58" s="121"/>
      <c r="BR58" s="121"/>
      <c r="BS58" s="121"/>
      <c r="BT58" s="121"/>
      <c r="BU58" s="121"/>
    </row>
    <row r="59" spans="1:73" x14ac:dyDescent="0.15">
      <c r="A59" s="109"/>
      <c r="B59" s="109"/>
      <c r="C59" s="12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121"/>
      <c r="AN59" s="121"/>
      <c r="AO59" s="121"/>
      <c r="AP59" s="121"/>
      <c r="AQ59" s="121"/>
      <c r="AR59" s="121"/>
      <c r="AS59" s="121"/>
      <c r="AT59" s="121"/>
      <c r="AU59" s="121"/>
      <c r="AV59" s="121"/>
      <c r="AW59" s="121"/>
      <c r="AX59" s="121"/>
      <c r="AY59" s="121"/>
      <c r="AZ59" s="121"/>
      <c r="BA59" s="121"/>
      <c r="BB59" s="121"/>
      <c r="BC59" s="121"/>
      <c r="BD59" s="121"/>
      <c r="BE59" s="121"/>
      <c r="BF59" s="121"/>
      <c r="BG59" s="121"/>
      <c r="BH59" s="121"/>
      <c r="BI59" s="121"/>
      <c r="BJ59" s="121"/>
      <c r="BK59" s="121"/>
      <c r="BL59" s="121"/>
      <c r="BM59" s="121"/>
      <c r="BN59" s="121"/>
      <c r="BO59" s="121"/>
      <c r="BP59" s="121"/>
      <c r="BQ59" s="121"/>
      <c r="BR59" s="121"/>
      <c r="BS59" s="121"/>
      <c r="BT59" s="121"/>
      <c r="BU59" s="121"/>
    </row>
    <row r="60" spans="1:73" x14ac:dyDescent="0.15">
      <c r="A60" s="109"/>
      <c r="B60" s="109"/>
      <c r="C60" s="12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0"/>
      <c r="AK60" s="90"/>
      <c r="AL60" s="90"/>
      <c r="AM60" s="121"/>
      <c r="AN60" s="121"/>
      <c r="AO60" s="121"/>
      <c r="AP60" s="121"/>
      <c r="AQ60" s="121"/>
      <c r="AR60" s="121"/>
      <c r="AS60" s="121"/>
      <c r="AT60" s="121"/>
      <c r="AU60" s="121"/>
      <c r="AV60" s="121"/>
      <c r="AW60" s="121"/>
      <c r="AX60" s="121"/>
      <c r="AY60" s="121"/>
      <c r="AZ60" s="121"/>
      <c r="BA60" s="121"/>
      <c r="BB60" s="121"/>
      <c r="BC60" s="121"/>
      <c r="BD60" s="121"/>
      <c r="BE60" s="121"/>
      <c r="BF60" s="121"/>
      <c r="BG60" s="121"/>
      <c r="BH60" s="121"/>
      <c r="BI60" s="121"/>
      <c r="BJ60" s="121"/>
      <c r="BK60" s="121"/>
      <c r="BL60" s="121"/>
      <c r="BM60" s="121"/>
      <c r="BN60" s="121"/>
      <c r="BO60" s="121"/>
      <c r="BP60" s="121"/>
      <c r="BQ60" s="121"/>
      <c r="BR60" s="121"/>
      <c r="BS60" s="121"/>
      <c r="BT60" s="121"/>
      <c r="BU60" s="121"/>
    </row>
    <row r="61" spans="1:73" x14ac:dyDescent="0.15">
      <c r="A61" s="109"/>
      <c r="B61" s="109"/>
      <c r="C61" s="12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0"/>
      <c r="AK61" s="90"/>
      <c r="AL61" s="90"/>
      <c r="AM61" s="121"/>
      <c r="AN61" s="121"/>
      <c r="AO61" s="121"/>
      <c r="AP61" s="121"/>
      <c r="AQ61" s="121"/>
      <c r="AR61" s="121"/>
      <c r="AS61" s="121"/>
      <c r="AT61" s="121"/>
      <c r="AU61" s="121"/>
      <c r="AV61" s="121"/>
      <c r="AW61" s="121"/>
      <c r="AX61" s="121"/>
      <c r="AY61" s="121"/>
      <c r="AZ61" s="121"/>
      <c r="BA61" s="121"/>
      <c r="BB61" s="121"/>
      <c r="BC61" s="121"/>
      <c r="BD61" s="121"/>
      <c r="BE61" s="121"/>
      <c r="BF61" s="121"/>
      <c r="BG61" s="121"/>
      <c r="BH61" s="121"/>
      <c r="BI61" s="121"/>
      <c r="BJ61" s="121"/>
      <c r="BK61" s="121"/>
      <c r="BL61" s="121"/>
      <c r="BM61" s="121"/>
      <c r="BN61" s="121"/>
      <c r="BO61" s="121"/>
      <c r="BP61" s="121"/>
      <c r="BQ61" s="121"/>
      <c r="BR61" s="121"/>
      <c r="BS61" s="121"/>
      <c r="BT61" s="121"/>
      <c r="BU61" s="121"/>
    </row>
    <row r="62" spans="1:73" x14ac:dyDescent="0.15">
      <c r="A62" s="109"/>
      <c r="B62" s="109"/>
      <c r="C62" s="12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0"/>
      <c r="AK62" s="90"/>
      <c r="AL62" s="90"/>
      <c r="AM62" s="121"/>
      <c r="AN62" s="121"/>
      <c r="AO62" s="121"/>
      <c r="AP62" s="121"/>
      <c r="AQ62" s="121"/>
      <c r="AR62" s="121"/>
      <c r="AS62" s="121"/>
      <c r="AT62" s="121"/>
      <c r="AU62" s="121"/>
      <c r="AV62" s="121"/>
      <c r="AW62" s="121"/>
      <c r="AX62" s="121"/>
      <c r="AY62" s="121"/>
      <c r="AZ62" s="121"/>
      <c r="BA62" s="121"/>
      <c r="BB62" s="121"/>
      <c r="BC62" s="121"/>
      <c r="BD62" s="121"/>
      <c r="BE62" s="121"/>
      <c r="BF62" s="121"/>
      <c r="BG62" s="121"/>
      <c r="BH62" s="121"/>
      <c r="BI62" s="121"/>
      <c r="BJ62" s="121"/>
      <c r="BK62" s="121"/>
      <c r="BL62" s="121"/>
      <c r="BM62" s="121"/>
      <c r="BN62" s="121"/>
      <c r="BO62" s="121"/>
      <c r="BP62" s="121"/>
      <c r="BQ62" s="121"/>
      <c r="BR62" s="121"/>
      <c r="BS62" s="121"/>
      <c r="BT62" s="121"/>
      <c r="BU62" s="121"/>
    </row>
    <row r="63" spans="1:73" x14ac:dyDescent="0.15">
      <c r="A63" s="109"/>
      <c r="B63" s="109"/>
      <c r="C63" s="12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0"/>
      <c r="AK63" s="90"/>
      <c r="AL63" s="90"/>
      <c r="AM63" s="121"/>
      <c r="AN63" s="121"/>
      <c r="AO63" s="121"/>
      <c r="AP63" s="121"/>
      <c r="AQ63" s="121"/>
      <c r="AR63" s="121"/>
      <c r="AS63" s="121"/>
      <c r="AT63" s="121"/>
      <c r="AU63" s="121"/>
      <c r="AV63" s="121"/>
      <c r="AW63" s="121"/>
      <c r="AX63" s="121"/>
      <c r="AY63" s="121"/>
      <c r="AZ63" s="121"/>
      <c r="BA63" s="121"/>
      <c r="BB63" s="121"/>
      <c r="BC63" s="121"/>
      <c r="BD63" s="121"/>
      <c r="BE63" s="121"/>
      <c r="BF63" s="121"/>
      <c r="BG63" s="121"/>
      <c r="BH63" s="121"/>
      <c r="BI63" s="121"/>
      <c r="BJ63" s="121"/>
      <c r="BK63" s="121"/>
      <c r="BL63" s="121"/>
      <c r="BM63" s="121"/>
      <c r="BN63" s="121"/>
      <c r="BO63" s="121"/>
      <c r="BP63" s="121"/>
      <c r="BQ63" s="121"/>
      <c r="BR63" s="121"/>
      <c r="BS63" s="121"/>
      <c r="BT63" s="121"/>
      <c r="BU63" s="121"/>
    </row>
    <row r="64" spans="1:73" x14ac:dyDescent="0.15">
      <c r="A64" s="109"/>
      <c r="B64" s="109"/>
      <c r="C64" s="12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0"/>
      <c r="AK64" s="90"/>
      <c r="AL64" s="90"/>
      <c r="AM64" s="121"/>
      <c r="AN64" s="121"/>
      <c r="AO64" s="121"/>
      <c r="AP64" s="121"/>
      <c r="AQ64" s="121"/>
      <c r="AR64" s="121"/>
      <c r="AS64" s="121"/>
      <c r="AT64" s="121"/>
      <c r="AU64" s="121"/>
      <c r="AV64" s="121"/>
      <c r="AW64" s="121"/>
      <c r="AX64" s="121"/>
      <c r="AY64" s="121"/>
      <c r="AZ64" s="121"/>
      <c r="BA64" s="121"/>
      <c r="BB64" s="121"/>
      <c r="BC64" s="121"/>
      <c r="BD64" s="121"/>
      <c r="BE64" s="121"/>
      <c r="BF64" s="121"/>
      <c r="BG64" s="121"/>
      <c r="BH64" s="121"/>
      <c r="BI64" s="121"/>
      <c r="BJ64" s="121"/>
      <c r="BK64" s="121"/>
      <c r="BL64" s="121"/>
      <c r="BM64" s="121"/>
      <c r="BN64" s="121"/>
      <c r="BO64" s="121"/>
      <c r="BP64" s="121"/>
      <c r="BQ64" s="121"/>
      <c r="BR64" s="121"/>
      <c r="BS64" s="121"/>
      <c r="BT64" s="121"/>
      <c r="BU64" s="121"/>
    </row>
    <row r="65" spans="1:73" x14ac:dyDescent="0.15">
      <c r="A65" s="109"/>
      <c r="B65" s="109"/>
      <c r="C65" s="12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0"/>
      <c r="AK65" s="90"/>
      <c r="AL65" s="90"/>
      <c r="AM65" s="121"/>
      <c r="AN65" s="121"/>
      <c r="AO65" s="121"/>
      <c r="AP65" s="121"/>
      <c r="AQ65" s="121"/>
      <c r="AR65" s="121"/>
      <c r="AS65" s="121"/>
      <c r="AT65" s="121"/>
      <c r="AU65" s="121"/>
      <c r="AV65" s="121"/>
      <c r="AW65" s="121"/>
      <c r="AX65" s="121"/>
      <c r="AY65" s="121"/>
      <c r="AZ65" s="121"/>
      <c r="BA65" s="121"/>
      <c r="BB65" s="121"/>
      <c r="BC65" s="121"/>
      <c r="BD65" s="121"/>
      <c r="BE65" s="121"/>
      <c r="BF65" s="121"/>
      <c r="BG65" s="121"/>
      <c r="BH65" s="121"/>
      <c r="BI65" s="121"/>
      <c r="BJ65" s="121"/>
      <c r="BK65" s="121"/>
      <c r="BL65" s="121"/>
      <c r="BM65" s="121"/>
      <c r="BN65" s="121"/>
      <c r="BO65" s="121"/>
      <c r="BP65" s="121"/>
      <c r="BQ65" s="121"/>
      <c r="BR65" s="121"/>
      <c r="BS65" s="121"/>
      <c r="BT65" s="121"/>
      <c r="BU65" s="121"/>
    </row>
    <row r="66" spans="1:73" x14ac:dyDescent="0.15">
      <c r="A66" s="109"/>
      <c r="B66" s="109"/>
      <c r="C66" s="12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0"/>
      <c r="AK66" s="90"/>
      <c r="AL66" s="90"/>
      <c r="AM66" s="121"/>
      <c r="AN66" s="121"/>
      <c r="AO66" s="121"/>
      <c r="AP66" s="121"/>
      <c r="AQ66" s="121"/>
      <c r="AR66" s="121"/>
      <c r="AS66" s="121"/>
      <c r="AT66" s="121"/>
      <c r="AU66" s="121"/>
      <c r="AV66" s="121"/>
      <c r="AW66" s="121"/>
      <c r="AX66" s="121"/>
      <c r="AY66" s="121"/>
      <c r="AZ66" s="121"/>
      <c r="BA66" s="121"/>
      <c r="BB66" s="121"/>
      <c r="BC66" s="121"/>
      <c r="BD66" s="121"/>
      <c r="BE66" s="121"/>
      <c r="BF66" s="121"/>
      <c r="BG66" s="121"/>
      <c r="BH66" s="121"/>
      <c r="BI66" s="121"/>
      <c r="BJ66" s="121"/>
      <c r="BK66" s="121"/>
      <c r="BL66" s="121"/>
      <c r="BM66" s="121"/>
      <c r="BN66" s="121"/>
      <c r="BO66" s="121"/>
      <c r="BP66" s="121"/>
      <c r="BQ66" s="121"/>
      <c r="BR66" s="121"/>
      <c r="BS66" s="121"/>
      <c r="BT66" s="121"/>
      <c r="BU66" s="121"/>
    </row>
    <row r="67" spans="1:73" x14ac:dyDescent="0.15">
      <c r="A67" s="109"/>
      <c r="B67" s="109"/>
      <c r="C67" s="12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0"/>
      <c r="AK67" s="90"/>
      <c r="AL67" s="90"/>
      <c r="AM67" s="121"/>
      <c r="AN67" s="121"/>
      <c r="AO67" s="121"/>
      <c r="AP67" s="121"/>
      <c r="AQ67" s="121"/>
      <c r="AR67" s="121"/>
      <c r="AS67" s="121"/>
      <c r="AT67" s="121"/>
      <c r="AU67" s="121"/>
      <c r="AV67" s="121"/>
      <c r="AW67" s="121"/>
      <c r="AX67" s="121"/>
      <c r="AY67" s="121"/>
      <c r="AZ67" s="121"/>
      <c r="BA67" s="121"/>
      <c r="BB67" s="121"/>
      <c r="BC67" s="121"/>
      <c r="BD67" s="121"/>
      <c r="BE67" s="121"/>
      <c r="BF67" s="121"/>
      <c r="BG67" s="121"/>
      <c r="BH67" s="121"/>
      <c r="BI67" s="121"/>
      <c r="BJ67" s="121"/>
      <c r="BK67" s="121"/>
      <c r="BL67" s="121"/>
      <c r="BM67" s="121"/>
      <c r="BN67" s="121"/>
      <c r="BO67" s="121"/>
      <c r="BP67" s="121"/>
      <c r="BQ67" s="121"/>
      <c r="BR67" s="121"/>
      <c r="BS67" s="121"/>
      <c r="BT67" s="121"/>
      <c r="BU67" s="121"/>
    </row>
    <row r="68" spans="1:73" x14ac:dyDescent="0.15">
      <c r="A68" s="109"/>
      <c r="B68" s="109"/>
      <c r="C68" s="12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0"/>
      <c r="AK68" s="90"/>
      <c r="AL68" s="90"/>
      <c r="AM68" s="121"/>
      <c r="AN68" s="121"/>
      <c r="AO68" s="121"/>
      <c r="AP68" s="121"/>
      <c r="AQ68" s="121"/>
      <c r="AR68" s="121"/>
      <c r="AS68" s="121"/>
      <c r="AT68" s="121"/>
      <c r="AU68" s="121"/>
      <c r="AV68" s="121"/>
      <c r="AW68" s="121"/>
      <c r="AX68" s="121"/>
      <c r="AY68" s="121"/>
      <c r="AZ68" s="121"/>
      <c r="BA68" s="121"/>
      <c r="BB68" s="121"/>
      <c r="BC68" s="121"/>
      <c r="BD68" s="121"/>
      <c r="BE68" s="121"/>
      <c r="BF68" s="121"/>
      <c r="BG68" s="121"/>
      <c r="BH68" s="121"/>
      <c r="BI68" s="121"/>
      <c r="BJ68" s="121"/>
      <c r="BK68" s="121"/>
      <c r="BL68" s="121"/>
      <c r="BM68" s="121"/>
      <c r="BN68" s="121"/>
      <c r="BO68" s="121"/>
      <c r="BP68" s="121"/>
      <c r="BQ68" s="121"/>
      <c r="BR68" s="121"/>
      <c r="BS68" s="121"/>
      <c r="BT68" s="121"/>
      <c r="BU68" s="121"/>
    </row>
    <row r="69" spans="1:73" x14ac:dyDescent="0.15">
      <c r="A69" s="109"/>
      <c r="B69" s="109"/>
      <c r="C69" s="12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0"/>
      <c r="AK69" s="90"/>
      <c r="AL69" s="90"/>
      <c r="AM69" s="121"/>
      <c r="AN69" s="121"/>
      <c r="AO69" s="121"/>
      <c r="AP69" s="121"/>
      <c r="AQ69" s="121"/>
      <c r="AR69" s="121"/>
      <c r="AS69" s="121"/>
      <c r="AT69" s="121"/>
      <c r="AU69" s="121"/>
      <c r="AV69" s="121"/>
      <c r="AW69" s="121"/>
      <c r="AX69" s="121"/>
      <c r="AY69" s="121"/>
      <c r="AZ69" s="121"/>
      <c r="BA69" s="121"/>
      <c r="BB69" s="121"/>
      <c r="BC69" s="121"/>
      <c r="BD69" s="121"/>
      <c r="BE69" s="121"/>
      <c r="BF69" s="121"/>
      <c r="BG69" s="121"/>
      <c r="BH69" s="121"/>
      <c r="BI69" s="121"/>
      <c r="BJ69" s="121"/>
      <c r="BK69" s="121"/>
      <c r="BL69" s="121"/>
      <c r="BM69" s="121"/>
      <c r="BN69" s="121"/>
      <c r="BO69" s="121"/>
      <c r="BP69" s="121"/>
      <c r="BQ69" s="121"/>
      <c r="BR69" s="121"/>
      <c r="BS69" s="121"/>
      <c r="BT69" s="121"/>
      <c r="BU69" s="121"/>
    </row>
    <row r="70" spans="1:73" x14ac:dyDescent="0.15">
      <c r="A70" s="109"/>
      <c r="B70" s="109"/>
      <c r="C70" s="12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0"/>
      <c r="AK70" s="90"/>
      <c r="AL70" s="90"/>
      <c r="AM70" s="121"/>
      <c r="AN70" s="121"/>
      <c r="AO70" s="121"/>
      <c r="AP70" s="121"/>
      <c r="AQ70" s="121"/>
      <c r="AR70" s="121"/>
      <c r="AS70" s="121"/>
      <c r="AT70" s="121"/>
      <c r="AU70" s="121"/>
      <c r="AV70" s="121"/>
      <c r="AW70" s="121"/>
      <c r="AX70" s="121"/>
      <c r="AY70" s="121"/>
      <c r="AZ70" s="121"/>
      <c r="BA70" s="121"/>
      <c r="BB70" s="121"/>
      <c r="BC70" s="121"/>
      <c r="BD70" s="121"/>
      <c r="BE70" s="121"/>
      <c r="BF70" s="121"/>
      <c r="BG70" s="121"/>
      <c r="BH70" s="121"/>
      <c r="BI70" s="121"/>
      <c r="BJ70" s="121"/>
      <c r="BK70" s="121"/>
      <c r="BL70" s="121"/>
      <c r="BM70" s="121"/>
      <c r="BN70" s="121"/>
      <c r="BO70" s="121"/>
      <c r="BP70" s="121"/>
      <c r="BQ70" s="121"/>
      <c r="BR70" s="121"/>
      <c r="BS70" s="121"/>
      <c r="BT70" s="121"/>
      <c r="BU70" s="121"/>
    </row>
    <row r="71" spans="1:73" x14ac:dyDescent="0.15">
      <c r="A71" s="109"/>
      <c r="B71" s="109"/>
      <c r="C71" s="12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0"/>
      <c r="AK71" s="90"/>
      <c r="AL71" s="90"/>
      <c r="AM71" s="121"/>
      <c r="AN71" s="121"/>
      <c r="AO71" s="121"/>
      <c r="AP71" s="121"/>
      <c r="AQ71" s="121"/>
      <c r="AR71" s="121"/>
      <c r="AS71" s="121"/>
      <c r="AT71" s="121"/>
      <c r="AU71" s="121"/>
      <c r="AV71" s="121"/>
      <c r="AW71" s="121"/>
      <c r="AX71" s="121"/>
      <c r="AY71" s="121"/>
      <c r="AZ71" s="121"/>
      <c r="BA71" s="121"/>
      <c r="BB71" s="121"/>
      <c r="BC71" s="121"/>
      <c r="BD71" s="121"/>
      <c r="BE71" s="121"/>
      <c r="BF71" s="121"/>
      <c r="BG71" s="121"/>
      <c r="BH71" s="121"/>
      <c r="BI71" s="121"/>
      <c r="BJ71" s="121"/>
      <c r="BK71" s="121"/>
      <c r="BL71" s="121"/>
      <c r="BM71" s="121"/>
      <c r="BN71" s="121"/>
      <c r="BO71" s="121"/>
      <c r="BP71" s="121"/>
      <c r="BQ71" s="121"/>
      <c r="BR71" s="121"/>
      <c r="BS71" s="121"/>
      <c r="BT71" s="121"/>
      <c r="BU71" s="121"/>
    </row>
    <row r="72" spans="1:73" x14ac:dyDescent="0.15">
      <c r="A72" s="109"/>
      <c r="B72" s="109"/>
      <c r="C72" s="12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0"/>
      <c r="AK72" s="90"/>
      <c r="AL72" s="90"/>
      <c r="AM72" s="121"/>
      <c r="AN72" s="121"/>
      <c r="AO72" s="121"/>
      <c r="AP72" s="121"/>
      <c r="AQ72" s="121"/>
      <c r="AR72" s="121"/>
      <c r="AS72" s="121"/>
      <c r="AT72" s="121"/>
      <c r="AU72" s="121"/>
      <c r="AV72" s="121"/>
      <c r="AW72" s="121"/>
      <c r="AX72" s="121"/>
      <c r="AY72" s="121"/>
      <c r="AZ72" s="121"/>
      <c r="BA72" s="121"/>
      <c r="BB72" s="121"/>
      <c r="BC72" s="121"/>
      <c r="BD72" s="121"/>
      <c r="BE72" s="121"/>
      <c r="BF72" s="121"/>
      <c r="BG72" s="121"/>
      <c r="BH72" s="121"/>
      <c r="BI72" s="121"/>
      <c r="BJ72" s="121"/>
      <c r="BK72" s="121"/>
      <c r="BL72" s="121"/>
      <c r="BM72" s="121"/>
      <c r="BN72" s="121"/>
      <c r="BO72" s="121"/>
      <c r="BP72" s="121"/>
      <c r="BQ72" s="121"/>
      <c r="BR72" s="121"/>
      <c r="BS72" s="121"/>
      <c r="BT72" s="121"/>
      <c r="BU72" s="121"/>
    </row>
    <row r="73" spans="1:73" x14ac:dyDescent="0.15">
      <c r="A73" s="109"/>
      <c r="B73" s="109"/>
      <c r="C73" s="12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121"/>
      <c r="AN73" s="121"/>
      <c r="AO73" s="121"/>
      <c r="AP73" s="121"/>
      <c r="AQ73" s="121"/>
      <c r="AR73" s="121"/>
      <c r="AS73" s="121"/>
      <c r="AT73" s="121"/>
      <c r="AU73" s="121"/>
      <c r="AV73" s="121"/>
      <c r="AW73" s="121"/>
      <c r="AX73" s="121"/>
      <c r="AY73" s="121"/>
      <c r="AZ73" s="121"/>
      <c r="BA73" s="121"/>
      <c r="BB73" s="121"/>
      <c r="BC73" s="121"/>
      <c r="BD73" s="121"/>
      <c r="BE73" s="121"/>
      <c r="BF73" s="121"/>
      <c r="BG73" s="121"/>
      <c r="BH73" s="121"/>
      <c r="BI73" s="121"/>
      <c r="BJ73" s="121"/>
      <c r="BK73" s="121"/>
      <c r="BL73" s="121"/>
      <c r="BM73" s="121"/>
      <c r="BN73" s="121"/>
      <c r="BO73" s="121"/>
      <c r="BP73" s="121"/>
      <c r="BQ73" s="121"/>
      <c r="BR73" s="121"/>
      <c r="BS73" s="121"/>
      <c r="BT73" s="121"/>
      <c r="BU73" s="121"/>
    </row>
    <row r="74" spans="1:73" x14ac:dyDescent="0.15">
      <c r="A74" s="109"/>
      <c r="B74" s="109"/>
      <c r="C74" s="12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121"/>
      <c r="AN74" s="121"/>
      <c r="AO74" s="121"/>
      <c r="AP74" s="121"/>
      <c r="AQ74" s="121"/>
      <c r="AR74" s="121"/>
      <c r="AS74" s="121"/>
      <c r="AT74" s="121"/>
      <c r="AU74" s="121"/>
      <c r="AV74" s="121"/>
      <c r="AW74" s="121"/>
      <c r="AX74" s="121"/>
      <c r="AY74" s="121"/>
      <c r="AZ74" s="121"/>
      <c r="BA74" s="121"/>
      <c r="BB74" s="121"/>
      <c r="BC74" s="121"/>
      <c r="BD74" s="121"/>
      <c r="BE74" s="121"/>
      <c r="BF74" s="121"/>
      <c r="BG74" s="121"/>
      <c r="BH74" s="121"/>
      <c r="BI74" s="121"/>
      <c r="BJ74" s="121"/>
      <c r="BK74" s="121"/>
      <c r="BL74" s="121"/>
      <c r="BM74" s="121"/>
      <c r="BN74" s="121"/>
      <c r="BO74" s="121"/>
      <c r="BP74" s="121"/>
      <c r="BQ74" s="121"/>
      <c r="BR74" s="121"/>
      <c r="BS74" s="121"/>
      <c r="BT74" s="121"/>
      <c r="BU74" s="121"/>
    </row>
    <row r="75" spans="1:73" x14ac:dyDescent="0.15">
      <c r="A75" s="109"/>
      <c r="B75" s="109"/>
      <c r="C75" s="12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0"/>
      <c r="AK75" s="90"/>
      <c r="AL75" s="90"/>
      <c r="AM75" s="121"/>
      <c r="AN75" s="121"/>
      <c r="AO75" s="121"/>
      <c r="AP75" s="121"/>
      <c r="AQ75" s="121"/>
      <c r="AR75" s="121"/>
      <c r="AS75" s="121"/>
      <c r="AT75" s="121"/>
      <c r="AU75" s="121"/>
      <c r="AV75" s="121"/>
      <c r="AW75" s="121"/>
      <c r="AX75" s="121"/>
      <c r="AY75" s="121"/>
      <c r="AZ75" s="121"/>
      <c r="BA75" s="121"/>
      <c r="BB75" s="121"/>
      <c r="BC75" s="121"/>
      <c r="BD75" s="121"/>
      <c r="BE75" s="121"/>
      <c r="BF75" s="121"/>
      <c r="BG75" s="121"/>
      <c r="BH75" s="121"/>
      <c r="BI75" s="121"/>
      <c r="BJ75" s="121"/>
      <c r="BK75" s="121"/>
      <c r="BL75" s="121"/>
      <c r="BM75" s="121"/>
      <c r="BN75" s="121"/>
      <c r="BO75" s="121"/>
      <c r="BP75" s="121"/>
      <c r="BQ75" s="121"/>
      <c r="BR75" s="121"/>
      <c r="BS75" s="121"/>
      <c r="BT75" s="121"/>
      <c r="BU75" s="121"/>
    </row>
    <row r="76" spans="1:73" x14ac:dyDescent="0.15">
      <c r="A76" s="109"/>
      <c r="B76" s="109"/>
      <c r="C76" s="12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0"/>
      <c r="AK76" s="90"/>
      <c r="AL76" s="90"/>
      <c r="AM76" s="121"/>
      <c r="AN76" s="121"/>
      <c r="AO76" s="121"/>
      <c r="AP76" s="121"/>
      <c r="AQ76" s="121"/>
      <c r="AR76" s="121"/>
      <c r="AS76" s="121"/>
      <c r="AT76" s="121"/>
      <c r="AU76" s="121"/>
      <c r="AV76" s="121"/>
      <c r="AW76" s="121"/>
      <c r="AX76" s="121"/>
      <c r="AY76" s="121"/>
      <c r="AZ76" s="121"/>
      <c r="BA76" s="121"/>
      <c r="BB76" s="121"/>
      <c r="BC76" s="121"/>
      <c r="BD76" s="121"/>
      <c r="BE76" s="121"/>
      <c r="BF76" s="121"/>
      <c r="BG76" s="121"/>
      <c r="BH76" s="121"/>
      <c r="BI76" s="121"/>
      <c r="BJ76" s="121"/>
      <c r="BK76" s="121"/>
      <c r="BL76" s="121"/>
      <c r="BM76" s="121"/>
      <c r="BN76" s="121"/>
      <c r="BO76" s="121"/>
      <c r="BP76" s="121"/>
      <c r="BQ76" s="121"/>
      <c r="BR76" s="121"/>
      <c r="BS76" s="121"/>
      <c r="BT76" s="121"/>
      <c r="BU76" s="121"/>
    </row>
    <row r="77" spans="1:73" x14ac:dyDescent="0.15">
      <c r="A77" s="109"/>
      <c r="B77" s="109"/>
      <c r="C77" s="12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0"/>
      <c r="AK77" s="90"/>
      <c r="AL77" s="90"/>
      <c r="AM77" s="121"/>
      <c r="AN77" s="121"/>
      <c r="AO77" s="121"/>
      <c r="AP77" s="121"/>
      <c r="AQ77" s="121"/>
      <c r="AR77" s="121"/>
      <c r="AS77" s="121"/>
      <c r="AT77" s="121"/>
      <c r="AU77" s="121"/>
      <c r="AV77" s="121"/>
      <c r="AW77" s="121"/>
      <c r="AX77" s="121"/>
      <c r="AY77" s="121"/>
      <c r="AZ77" s="121"/>
      <c r="BA77" s="121"/>
      <c r="BB77" s="121"/>
      <c r="BC77" s="121"/>
      <c r="BD77" s="121"/>
      <c r="BE77" s="121"/>
      <c r="BF77" s="121"/>
      <c r="BG77" s="121"/>
      <c r="BH77" s="121"/>
      <c r="BI77" s="121"/>
      <c r="BJ77" s="121"/>
      <c r="BK77" s="121"/>
      <c r="BL77" s="121"/>
      <c r="BM77" s="121"/>
      <c r="BN77" s="121"/>
      <c r="BO77" s="121"/>
      <c r="BP77" s="121"/>
      <c r="BQ77" s="121"/>
      <c r="BR77" s="121"/>
      <c r="BS77" s="121"/>
      <c r="BT77" s="121"/>
      <c r="BU77" s="121"/>
    </row>
    <row r="78" spans="1:73" x14ac:dyDescent="0.15">
      <c r="A78" s="109"/>
      <c r="B78" s="109"/>
      <c r="C78" s="12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0"/>
      <c r="AK78" s="90"/>
      <c r="AL78" s="90"/>
      <c r="AM78" s="121"/>
      <c r="AN78" s="121"/>
      <c r="AO78" s="121"/>
      <c r="AP78" s="121"/>
      <c r="AQ78" s="121"/>
      <c r="AR78" s="121"/>
      <c r="AS78" s="121"/>
      <c r="AT78" s="121"/>
      <c r="AU78" s="121"/>
      <c r="AV78" s="121"/>
      <c r="AW78" s="121"/>
      <c r="AX78" s="121"/>
      <c r="AY78" s="121"/>
      <c r="AZ78" s="121"/>
      <c r="BA78" s="121"/>
      <c r="BB78" s="121"/>
      <c r="BC78" s="121"/>
      <c r="BD78" s="121"/>
      <c r="BE78" s="121"/>
      <c r="BF78" s="121"/>
      <c r="BG78" s="121"/>
      <c r="BH78" s="121"/>
      <c r="BI78" s="121"/>
      <c r="BJ78" s="121"/>
      <c r="BK78" s="121"/>
      <c r="BL78" s="121"/>
      <c r="BM78" s="121"/>
      <c r="BN78" s="121"/>
      <c r="BO78" s="121"/>
      <c r="BP78" s="121"/>
      <c r="BQ78" s="121"/>
      <c r="BR78" s="121"/>
      <c r="BS78" s="121"/>
      <c r="BT78" s="121"/>
      <c r="BU78" s="121"/>
    </row>
    <row r="79" spans="1:73" x14ac:dyDescent="0.15">
      <c r="A79" s="109"/>
      <c r="B79" s="109"/>
      <c r="C79" s="12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0"/>
      <c r="AK79" s="90"/>
      <c r="AL79" s="90"/>
      <c r="AM79" s="121"/>
      <c r="AN79" s="121"/>
      <c r="AO79" s="121"/>
      <c r="AP79" s="121"/>
      <c r="AQ79" s="121"/>
      <c r="AR79" s="121"/>
      <c r="AS79" s="121"/>
      <c r="AT79" s="121"/>
      <c r="AU79" s="121"/>
      <c r="AV79" s="121"/>
      <c r="AW79" s="121"/>
      <c r="AX79" s="121"/>
      <c r="AY79" s="121"/>
      <c r="AZ79" s="121"/>
      <c r="BA79" s="121"/>
      <c r="BB79" s="121"/>
      <c r="BC79" s="121"/>
      <c r="BD79" s="121"/>
      <c r="BE79" s="121"/>
      <c r="BF79" s="121"/>
      <c r="BG79" s="121"/>
      <c r="BH79" s="121"/>
      <c r="BI79" s="121"/>
      <c r="BJ79" s="121"/>
      <c r="BK79" s="121"/>
      <c r="BL79" s="121"/>
      <c r="BM79" s="121"/>
      <c r="BN79" s="121"/>
      <c r="BO79" s="121"/>
      <c r="BP79" s="121"/>
      <c r="BQ79" s="121"/>
      <c r="BR79" s="121"/>
      <c r="BS79" s="121"/>
      <c r="BT79" s="121"/>
      <c r="BU79" s="121"/>
    </row>
    <row r="80" spans="1:73" x14ac:dyDescent="0.15">
      <c r="A80" s="109"/>
      <c r="B80" s="109"/>
      <c r="C80" s="12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0"/>
      <c r="AK80" s="90"/>
      <c r="AL80" s="90"/>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121"/>
      <c r="BJ80" s="121"/>
      <c r="BK80" s="121"/>
      <c r="BL80" s="121"/>
      <c r="BM80" s="121"/>
      <c r="BN80" s="121"/>
      <c r="BO80" s="121"/>
      <c r="BP80" s="121"/>
      <c r="BQ80" s="121"/>
      <c r="BR80" s="121"/>
      <c r="BS80" s="121"/>
      <c r="BT80" s="121"/>
      <c r="BU80" s="121"/>
    </row>
    <row r="81" spans="1:73" x14ac:dyDescent="0.15">
      <c r="A81" s="109"/>
      <c r="B81" s="109"/>
      <c r="C81" s="12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0"/>
      <c r="AK81" s="90"/>
      <c r="AL81" s="90"/>
      <c r="AM81" s="121"/>
      <c r="AN81" s="121"/>
      <c r="AO81" s="121"/>
      <c r="AP81" s="121"/>
      <c r="AQ81" s="121"/>
      <c r="AR81" s="121"/>
      <c r="AS81" s="121"/>
      <c r="AT81" s="121"/>
      <c r="AU81" s="121"/>
      <c r="AV81" s="121"/>
      <c r="AW81" s="121"/>
      <c r="AX81" s="121"/>
      <c r="AY81" s="121"/>
      <c r="AZ81" s="121"/>
      <c r="BA81" s="121"/>
      <c r="BB81" s="121"/>
      <c r="BC81" s="121"/>
      <c r="BD81" s="121"/>
      <c r="BE81" s="121"/>
      <c r="BF81" s="121"/>
      <c r="BG81" s="121"/>
      <c r="BH81" s="121"/>
      <c r="BI81" s="121"/>
      <c r="BJ81" s="121"/>
      <c r="BK81" s="121"/>
      <c r="BL81" s="121"/>
      <c r="BM81" s="121"/>
      <c r="BN81" s="121"/>
      <c r="BO81" s="121"/>
      <c r="BP81" s="121"/>
      <c r="BQ81" s="121"/>
      <c r="BR81" s="121"/>
      <c r="BS81" s="121"/>
      <c r="BT81" s="121"/>
      <c r="BU81" s="121"/>
    </row>
    <row r="82" spans="1:73" x14ac:dyDescent="0.15">
      <c r="A82" s="109"/>
      <c r="B82" s="109"/>
      <c r="C82" s="12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0"/>
      <c r="AK82" s="90"/>
      <c r="AL82" s="90"/>
      <c r="AM82" s="121"/>
      <c r="AN82" s="121"/>
      <c r="AO82" s="121"/>
      <c r="AP82" s="121"/>
      <c r="AQ82" s="121"/>
      <c r="AR82" s="121"/>
      <c r="AS82" s="121"/>
      <c r="AT82" s="121"/>
      <c r="AU82" s="121"/>
      <c r="AV82" s="121"/>
      <c r="AW82" s="121"/>
      <c r="AX82" s="121"/>
      <c r="AY82" s="121"/>
      <c r="AZ82" s="121"/>
      <c r="BA82" s="121"/>
      <c r="BB82" s="121"/>
      <c r="BC82" s="121"/>
      <c r="BD82" s="121"/>
      <c r="BE82" s="121"/>
      <c r="BF82" s="121"/>
      <c r="BG82" s="121"/>
      <c r="BH82" s="121"/>
      <c r="BI82" s="121"/>
      <c r="BJ82" s="121"/>
      <c r="BK82" s="121"/>
      <c r="BL82" s="121"/>
      <c r="BM82" s="121"/>
      <c r="BN82" s="121"/>
      <c r="BO82" s="121"/>
      <c r="BP82" s="121"/>
      <c r="BQ82" s="121"/>
      <c r="BR82" s="121"/>
      <c r="BS82" s="121"/>
      <c r="BT82" s="121"/>
      <c r="BU82" s="121"/>
    </row>
    <row r="83" spans="1:73" x14ac:dyDescent="0.15">
      <c r="A83" s="109"/>
      <c r="B83" s="109"/>
      <c r="C83" s="12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0"/>
      <c r="AK83" s="90"/>
      <c r="AL83" s="90"/>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121"/>
      <c r="BJ83" s="121"/>
      <c r="BK83" s="121"/>
      <c r="BL83" s="121"/>
      <c r="BM83" s="121"/>
      <c r="BN83" s="121"/>
      <c r="BO83" s="121"/>
      <c r="BP83" s="121"/>
      <c r="BQ83" s="121"/>
      <c r="BR83" s="121"/>
      <c r="BS83" s="121"/>
      <c r="BT83" s="121"/>
      <c r="BU83" s="121"/>
    </row>
    <row r="84" spans="1:73" x14ac:dyDescent="0.15">
      <c r="A84" s="109"/>
      <c r="B84" s="109"/>
      <c r="C84" s="12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0"/>
      <c r="AK84" s="90"/>
      <c r="AL84" s="90"/>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121"/>
      <c r="BJ84" s="121"/>
      <c r="BK84" s="121"/>
      <c r="BL84" s="121"/>
      <c r="BM84" s="121"/>
      <c r="BN84" s="121"/>
      <c r="BO84" s="121"/>
      <c r="BP84" s="121"/>
      <c r="BQ84" s="121"/>
      <c r="BR84" s="121"/>
      <c r="BS84" s="121"/>
      <c r="BT84" s="121"/>
      <c r="BU84" s="121"/>
    </row>
    <row r="85" spans="1:73" x14ac:dyDescent="0.15">
      <c r="A85" s="109"/>
      <c r="B85" s="109"/>
      <c r="C85" s="12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0"/>
      <c r="AK85" s="90"/>
      <c r="AL85" s="90"/>
      <c r="AM85" s="121"/>
      <c r="AN85" s="121"/>
      <c r="AO85" s="121"/>
      <c r="AP85" s="121"/>
      <c r="AQ85" s="121"/>
      <c r="AR85" s="121"/>
      <c r="AS85" s="121"/>
      <c r="AT85" s="121"/>
      <c r="AU85" s="121"/>
      <c r="AV85" s="121"/>
      <c r="AW85" s="121"/>
      <c r="AX85" s="121"/>
      <c r="AY85" s="121"/>
      <c r="AZ85" s="121"/>
      <c r="BA85" s="121"/>
      <c r="BB85" s="121"/>
      <c r="BC85" s="121"/>
      <c r="BD85" s="121"/>
      <c r="BE85" s="121"/>
      <c r="BF85" s="121"/>
      <c r="BG85" s="121"/>
      <c r="BH85" s="121"/>
      <c r="BI85" s="121"/>
      <c r="BJ85" s="121"/>
      <c r="BK85" s="121"/>
      <c r="BL85" s="121"/>
      <c r="BM85" s="121"/>
      <c r="BN85" s="121"/>
      <c r="BO85" s="121"/>
      <c r="BP85" s="121"/>
      <c r="BQ85" s="121"/>
      <c r="BR85" s="121"/>
      <c r="BS85" s="121"/>
      <c r="BT85" s="121"/>
      <c r="BU85" s="121"/>
    </row>
    <row r="86" spans="1:73" x14ac:dyDescent="0.15">
      <c r="A86" s="109"/>
      <c r="B86" s="109"/>
      <c r="C86" s="12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0"/>
      <c r="AK86" s="90"/>
      <c r="AL86" s="90"/>
      <c r="AM86" s="121"/>
      <c r="AN86" s="121"/>
      <c r="AO86" s="121"/>
      <c r="AP86" s="121"/>
      <c r="AQ86" s="121"/>
      <c r="AR86" s="121"/>
      <c r="AS86" s="121"/>
      <c r="AT86" s="121"/>
      <c r="AU86" s="121"/>
      <c r="AV86" s="121"/>
      <c r="AW86" s="121"/>
      <c r="AX86" s="121"/>
      <c r="AY86" s="121"/>
      <c r="AZ86" s="121"/>
      <c r="BA86" s="121"/>
      <c r="BB86" s="121"/>
      <c r="BC86" s="121"/>
      <c r="BD86" s="121"/>
      <c r="BE86" s="121"/>
      <c r="BF86" s="121"/>
      <c r="BG86" s="121"/>
      <c r="BH86" s="121"/>
      <c r="BI86" s="121"/>
      <c r="BJ86" s="121"/>
      <c r="BK86" s="121"/>
      <c r="BL86" s="121"/>
      <c r="BM86" s="121"/>
      <c r="BN86" s="121"/>
      <c r="BO86" s="121"/>
      <c r="BP86" s="121"/>
      <c r="BQ86" s="121"/>
      <c r="BR86" s="121"/>
      <c r="BS86" s="121"/>
      <c r="BT86" s="121"/>
      <c r="BU86" s="121"/>
    </row>
    <row r="87" spans="1:73" x14ac:dyDescent="0.15">
      <c r="A87" s="109"/>
      <c r="B87" s="109"/>
      <c r="C87" s="12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0"/>
      <c r="AK87" s="90"/>
      <c r="AL87" s="90"/>
      <c r="AM87" s="121"/>
      <c r="AN87" s="121"/>
      <c r="AO87" s="121"/>
      <c r="AP87" s="121"/>
      <c r="AQ87" s="121"/>
      <c r="AR87" s="121"/>
      <c r="AS87" s="121"/>
      <c r="AT87" s="121"/>
      <c r="AU87" s="121"/>
      <c r="AV87" s="121"/>
      <c r="AW87" s="121"/>
      <c r="AX87" s="121"/>
      <c r="AY87" s="121"/>
      <c r="AZ87" s="121"/>
      <c r="BA87" s="121"/>
      <c r="BB87" s="121"/>
      <c r="BC87" s="121"/>
      <c r="BD87" s="121"/>
      <c r="BE87" s="121"/>
      <c r="BF87" s="121"/>
      <c r="BG87" s="121"/>
      <c r="BH87" s="121"/>
      <c r="BI87" s="121"/>
      <c r="BJ87" s="121"/>
      <c r="BK87" s="121"/>
      <c r="BL87" s="121"/>
      <c r="BM87" s="121"/>
      <c r="BN87" s="121"/>
      <c r="BO87" s="121"/>
      <c r="BP87" s="121"/>
      <c r="BQ87" s="121"/>
      <c r="BR87" s="121"/>
      <c r="BS87" s="121"/>
      <c r="BT87" s="121"/>
      <c r="BU87" s="121"/>
    </row>
    <row r="88" spans="1:73" x14ac:dyDescent="0.15">
      <c r="A88" s="109"/>
      <c r="B88" s="109"/>
      <c r="C88" s="12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0"/>
      <c r="AK88" s="90"/>
      <c r="AL88" s="90"/>
      <c r="AM88" s="121"/>
      <c r="AN88" s="121"/>
      <c r="AO88" s="121"/>
      <c r="AP88" s="121"/>
      <c r="AQ88" s="121"/>
      <c r="AR88" s="121"/>
      <c r="AS88" s="121"/>
      <c r="AT88" s="121"/>
      <c r="AU88" s="121"/>
      <c r="AV88" s="121"/>
      <c r="AW88" s="121"/>
      <c r="AX88" s="121"/>
      <c r="AY88" s="121"/>
      <c r="AZ88" s="121"/>
      <c r="BA88" s="121"/>
      <c r="BB88" s="121"/>
      <c r="BC88" s="121"/>
      <c r="BD88" s="121"/>
      <c r="BE88" s="121"/>
      <c r="BF88" s="121"/>
      <c r="BG88" s="121"/>
      <c r="BH88" s="121"/>
      <c r="BI88" s="121"/>
      <c r="BJ88" s="121"/>
      <c r="BK88" s="121"/>
      <c r="BL88" s="121"/>
      <c r="BM88" s="121"/>
      <c r="BN88" s="121"/>
      <c r="BO88" s="121"/>
      <c r="BP88" s="121"/>
      <c r="BQ88" s="121"/>
      <c r="BR88" s="121"/>
      <c r="BS88" s="121"/>
      <c r="BT88" s="121"/>
      <c r="BU88" s="121"/>
    </row>
    <row r="89" spans="1:73" x14ac:dyDescent="0.15">
      <c r="A89" s="109"/>
      <c r="B89" s="109"/>
      <c r="C89" s="12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0"/>
      <c r="AK89" s="90"/>
      <c r="AL89" s="90"/>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121"/>
      <c r="BJ89" s="121"/>
      <c r="BK89" s="121"/>
      <c r="BL89" s="121"/>
      <c r="BM89" s="121"/>
      <c r="BN89" s="121"/>
      <c r="BO89" s="121"/>
      <c r="BP89" s="121"/>
      <c r="BQ89" s="121"/>
      <c r="BR89" s="121"/>
      <c r="BS89" s="121"/>
      <c r="BT89" s="121"/>
      <c r="BU89" s="121"/>
    </row>
    <row r="90" spans="1:73" x14ac:dyDescent="0.15">
      <c r="A90" s="109"/>
      <c r="B90" s="109"/>
      <c r="C90" s="12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0"/>
      <c r="AK90" s="90"/>
      <c r="AL90" s="90"/>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121"/>
      <c r="BJ90" s="121"/>
      <c r="BK90" s="121"/>
      <c r="BL90" s="121"/>
      <c r="BM90" s="121"/>
      <c r="BN90" s="121"/>
      <c r="BO90" s="121"/>
      <c r="BP90" s="121"/>
      <c r="BQ90" s="121"/>
      <c r="BR90" s="121"/>
      <c r="BS90" s="121"/>
      <c r="BT90" s="121"/>
      <c r="BU90" s="121"/>
    </row>
    <row r="91" spans="1:73" x14ac:dyDescent="0.15">
      <c r="A91" s="109"/>
      <c r="B91" s="109"/>
      <c r="C91" s="12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0"/>
      <c r="AK91" s="90"/>
      <c r="AL91" s="90"/>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121"/>
      <c r="BJ91" s="121"/>
      <c r="BK91" s="121"/>
      <c r="BL91" s="121"/>
      <c r="BM91" s="121"/>
      <c r="BN91" s="121"/>
      <c r="BO91" s="121"/>
      <c r="BP91" s="121"/>
      <c r="BQ91" s="121"/>
      <c r="BR91" s="121"/>
      <c r="BS91" s="121"/>
      <c r="BT91" s="121"/>
      <c r="BU91" s="121"/>
    </row>
    <row r="92" spans="1:73" x14ac:dyDescent="0.15">
      <c r="A92" s="109"/>
      <c r="B92" s="109"/>
      <c r="C92" s="12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0"/>
      <c r="AK92" s="90"/>
      <c r="AL92" s="90"/>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121"/>
      <c r="BJ92" s="121"/>
      <c r="BK92" s="121"/>
      <c r="BL92" s="121"/>
      <c r="BM92" s="121"/>
      <c r="BN92" s="121"/>
      <c r="BO92" s="121"/>
      <c r="BP92" s="121"/>
      <c r="BQ92" s="121"/>
      <c r="BR92" s="121"/>
      <c r="BS92" s="121"/>
      <c r="BT92" s="121"/>
      <c r="BU92" s="121"/>
    </row>
    <row r="93" spans="1:73" x14ac:dyDescent="0.15">
      <c r="A93" s="109"/>
      <c r="B93" s="109"/>
      <c r="C93" s="12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0"/>
      <c r="AK93" s="90"/>
      <c r="AL93" s="90"/>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121"/>
      <c r="BJ93" s="121"/>
      <c r="BK93" s="121"/>
      <c r="BL93" s="121"/>
      <c r="BM93" s="121"/>
      <c r="BN93" s="121"/>
      <c r="BO93" s="121"/>
      <c r="BP93" s="121"/>
      <c r="BQ93" s="121"/>
      <c r="BR93" s="121"/>
      <c r="BS93" s="121"/>
      <c r="BT93" s="121"/>
      <c r="BU93" s="121"/>
    </row>
    <row r="94" spans="1:73" x14ac:dyDescent="0.15">
      <c r="A94" s="109"/>
      <c r="B94" s="109"/>
      <c r="C94" s="12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0"/>
      <c r="AK94" s="90"/>
      <c r="AL94" s="90"/>
      <c r="AM94" s="121"/>
      <c r="AN94" s="121"/>
      <c r="AO94" s="121"/>
      <c r="AP94" s="121"/>
      <c r="AQ94" s="121"/>
      <c r="AR94" s="121"/>
      <c r="AS94" s="121"/>
      <c r="AT94" s="121"/>
      <c r="AU94" s="121"/>
      <c r="AV94" s="121"/>
      <c r="AW94" s="121"/>
      <c r="AX94" s="121"/>
      <c r="AY94" s="121"/>
      <c r="AZ94" s="121"/>
      <c r="BA94" s="121"/>
      <c r="BB94" s="121"/>
      <c r="BC94" s="121"/>
      <c r="BD94" s="121"/>
      <c r="BE94" s="121"/>
      <c r="BF94" s="121"/>
      <c r="BG94" s="121"/>
      <c r="BH94" s="121"/>
      <c r="BI94" s="121"/>
      <c r="BJ94" s="121"/>
      <c r="BK94" s="121"/>
      <c r="BL94" s="121"/>
      <c r="BM94" s="121"/>
      <c r="BN94" s="121"/>
      <c r="BO94" s="121"/>
      <c r="BP94" s="121"/>
      <c r="BQ94" s="121"/>
      <c r="BR94" s="121"/>
      <c r="BS94" s="121"/>
      <c r="BT94" s="121"/>
      <c r="BU94" s="121"/>
    </row>
    <row r="95" spans="1:73" x14ac:dyDescent="0.15">
      <c r="A95" s="109"/>
      <c r="B95" s="109"/>
      <c r="C95" s="12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0"/>
      <c r="AK95" s="90"/>
      <c r="AL95" s="90"/>
      <c r="AM95" s="121"/>
      <c r="AN95" s="121"/>
      <c r="AO95" s="121"/>
      <c r="AP95" s="121"/>
      <c r="AQ95" s="121"/>
      <c r="AR95" s="121"/>
      <c r="AS95" s="121"/>
      <c r="AT95" s="121"/>
      <c r="AU95" s="121"/>
      <c r="AV95" s="121"/>
      <c r="AW95" s="121"/>
      <c r="AX95" s="121"/>
      <c r="AY95" s="121"/>
      <c r="AZ95" s="121"/>
      <c r="BA95" s="121"/>
      <c r="BB95" s="121"/>
      <c r="BC95" s="121"/>
      <c r="BD95" s="121"/>
      <c r="BE95" s="121"/>
      <c r="BF95" s="121"/>
      <c r="BG95" s="121"/>
      <c r="BH95" s="121"/>
      <c r="BI95" s="121"/>
      <c r="BJ95" s="121"/>
      <c r="BK95" s="121"/>
      <c r="BL95" s="121"/>
      <c r="BM95" s="121"/>
      <c r="BN95" s="121"/>
      <c r="BO95" s="121"/>
      <c r="BP95" s="121"/>
      <c r="BQ95" s="121"/>
      <c r="BR95" s="121"/>
      <c r="BS95" s="121"/>
      <c r="BT95" s="121"/>
      <c r="BU95" s="121"/>
    </row>
    <row r="96" spans="1:73" x14ac:dyDescent="0.15">
      <c r="A96" s="109"/>
      <c r="B96" s="109"/>
      <c r="C96" s="12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0"/>
      <c r="AK96" s="90"/>
      <c r="AL96" s="90"/>
      <c r="AM96" s="121"/>
      <c r="AN96" s="121"/>
      <c r="AO96" s="121"/>
      <c r="AP96" s="121"/>
      <c r="AQ96" s="121"/>
      <c r="AR96" s="121"/>
      <c r="AS96" s="121"/>
      <c r="AT96" s="121"/>
      <c r="AU96" s="121"/>
      <c r="AV96" s="121"/>
      <c r="AW96" s="121"/>
      <c r="AX96" s="121"/>
      <c r="AY96" s="121"/>
      <c r="AZ96" s="121"/>
      <c r="BA96" s="121"/>
      <c r="BB96" s="121"/>
      <c r="BC96" s="121"/>
      <c r="BD96" s="121"/>
      <c r="BE96" s="121"/>
      <c r="BF96" s="121"/>
      <c r="BG96" s="121"/>
      <c r="BH96" s="121"/>
      <c r="BI96" s="121"/>
      <c r="BJ96" s="121"/>
      <c r="BK96" s="121"/>
      <c r="BL96" s="121"/>
      <c r="BM96" s="121"/>
      <c r="BN96" s="121"/>
      <c r="BO96" s="121"/>
      <c r="BP96" s="121"/>
      <c r="BQ96" s="121"/>
      <c r="BR96" s="121"/>
      <c r="BS96" s="121"/>
      <c r="BT96" s="121"/>
      <c r="BU96" s="121"/>
    </row>
    <row r="97" spans="1:73" x14ac:dyDescent="0.15">
      <c r="A97" s="109"/>
      <c r="B97" s="109"/>
      <c r="C97" s="12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121"/>
      <c r="AN97" s="121"/>
      <c r="AO97" s="121"/>
      <c r="AP97" s="121"/>
      <c r="AQ97" s="121"/>
      <c r="AR97" s="121"/>
      <c r="AS97" s="121"/>
      <c r="AT97" s="121"/>
      <c r="AU97" s="121"/>
      <c r="AV97" s="121"/>
      <c r="AW97" s="121"/>
      <c r="AX97" s="121"/>
      <c r="AY97" s="121"/>
      <c r="AZ97" s="121"/>
      <c r="BA97" s="121"/>
      <c r="BB97" s="121"/>
      <c r="BC97" s="121"/>
      <c r="BD97" s="121"/>
      <c r="BE97" s="121"/>
      <c r="BF97" s="121"/>
      <c r="BG97" s="121"/>
      <c r="BH97" s="121"/>
      <c r="BI97" s="121"/>
      <c r="BJ97" s="121"/>
      <c r="BK97" s="121"/>
      <c r="BL97" s="121"/>
      <c r="BM97" s="121"/>
      <c r="BN97" s="121"/>
      <c r="BO97" s="121"/>
      <c r="BP97" s="121"/>
      <c r="BQ97" s="121"/>
      <c r="BR97" s="121"/>
      <c r="BS97" s="121"/>
      <c r="BT97" s="121"/>
      <c r="BU97" s="121"/>
    </row>
    <row r="98" spans="1:73" x14ac:dyDescent="0.15">
      <c r="A98" s="109"/>
      <c r="B98" s="109"/>
      <c r="C98" s="12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0"/>
      <c r="AK98" s="90"/>
      <c r="AL98" s="90"/>
      <c r="AM98" s="121"/>
      <c r="AN98" s="121"/>
      <c r="AO98" s="121"/>
      <c r="AP98" s="121"/>
      <c r="AQ98" s="121"/>
      <c r="AR98" s="121"/>
      <c r="AS98" s="121"/>
      <c r="AT98" s="121"/>
      <c r="AU98" s="121"/>
      <c r="AV98" s="121"/>
      <c r="AW98" s="121"/>
      <c r="AX98" s="121"/>
      <c r="AY98" s="121"/>
      <c r="AZ98" s="121"/>
      <c r="BA98" s="121"/>
      <c r="BB98" s="121"/>
      <c r="BC98" s="121"/>
      <c r="BD98" s="121"/>
      <c r="BE98" s="121"/>
      <c r="BF98" s="121"/>
      <c r="BG98" s="121"/>
      <c r="BH98" s="121"/>
      <c r="BI98" s="121"/>
      <c r="BJ98" s="121"/>
      <c r="BK98" s="121"/>
      <c r="BL98" s="121"/>
      <c r="BM98" s="121"/>
      <c r="BN98" s="121"/>
      <c r="BO98" s="121"/>
      <c r="BP98" s="121"/>
      <c r="BQ98" s="121"/>
      <c r="BR98" s="121"/>
      <c r="BS98" s="121"/>
      <c r="BT98" s="121"/>
      <c r="BU98" s="121"/>
    </row>
    <row r="99" spans="1:73" x14ac:dyDescent="0.15">
      <c r="A99" s="109"/>
      <c r="B99" s="109"/>
      <c r="C99" s="12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c r="AM99" s="121"/>
      <c r="AN99" s="121"/>
      <c r="AO99" s="121"/>
      <c r="AP99" s="121"/>
      <c r="AQ99" s="121"/>
      <c r="AR99" s="121"/>
      <c r="AS99" s="121"/>
      <c r="AT99" s="121"/>
      <c r="AU99" s="121"/>
      <c r="AV99" s="121"/>
      <c r="AW99" s="121"/>
      <c r="AX99" s="121"/>
      <c r="AY99" s="121"/>
      <c r="AZ99" s="121"/>
      <c r="BA99" s="121"/>
      <c r="BB99" s="121"/>
      <c r="BC99" s="121"/>
      <c r="BD99" s="121"/>
      <c r="BE99" s="121"/>
      <c r="BF99" s="121"/>
      <c r="BG99" s="121"/>
      <c r="BH99" s="121"/>
      <c r="BI99" s="121"/>
      <c r="BJ99" s="121"/>
      <c r="BK99" s="121"/>
      <c r="BL99" s="121"/>
      <c r="BM99" s="121"/>
      <c r="BN99" s="121"/>
      <c r="BO99" s="121"/>
      <c r="BP99" s="121"/>
      <c r="BQ99" s="121"/>
      <c r="BR99" s="121"/>
      <c r="BS99" s="121"/>
      <c r="BT99" s="121"/>
      <c r="BU99" s="121"/>
    </row>
    <row r="100" spans="1:73" x14ac:dyDescent="0.15">
      <c r="A100" s="109"/>
      <c r="B100" s="109"/>
      <c r="C100" s="12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c r="AM100" s="121"/>
      <c r="AN100" s="121"/>
      <c r="AO100" s="121"/>
      <c r="AP100" s="121"/>
      <c r="AQ100" s="121"/>
      <c r="AR100" s="121"/>
      <c r="AS100" s="121"/>
      <c r="AT100" s="121"/>
      <c r="AU100" s="121"/>
      <c r="AV100" s="121"/>
      <c r="AW100" s="121"/>
      <c r="AX100" s="121"/>
      <c r="AY100" s="121"/>
      <c r="AZ100" s="121"/>
      <c r="BA100" s="121"/>
      <c r="BB100" s="121"/>
      <c r="BC100" s="121"/>
      <c r="BD100" s="121"/>
      <c r="BE100" s="121"/>
      <c r="BF100" s="121"/>
      <c r="BG100" s="121"/>
      <c r="BH100" s="121"/>
      <c r="BI100" s="121"/>
      <c r="BJ100" s="121"/>
      <c r="BK100" s="121"/>
      <c r="BL100" s="121"/>
      <c r="BM100" s="121"/>
      <c r="BN100" s="121"/>
      <c r="BO100" s="121"/>
      <c r="BP100" s="121"/>
      <c r="BQ100" s="121"/>
      <c r="BR100" s="121"/>
      <c r="BS100" s="121"/>
      <c r="BT100" s="121"/>
      <c r="BU100" s="121"/>
    </row>
    <row r="101" spans="1:73" x14ac:dyDescent="0.15">
      <c r="A101" s="109"/>
      <c r="B101" s="109"/>
      <c r="C101" s="12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c r="AM101" s="121"/>
      <c r="AN101" s="121"/>
      <c r="AO101" s="121"/>
      <c r="AP101" s="121"/>
      <c r="AQ101" s="121"/>
      <c r="AR101" s="121"/>
      <c r="AS101" s="121"/>
      <c r="AT101" s="121"/>
      <c r="AU101" s="121"/>
      <c r="AV101" s="121"/>
      <c r="AW101" s="121"/>
      <c r="AX101" s="121"/>
      <c r="AY101" s="121"/>
      <c r="AZ101" s="121"/>
      <c r="BA101" s="121"/>
      <c r="BB101" s="121"/>
      <c r="BC101" s="121"/>
      <c r="BD101" s="121"/>
      <c r="BE101" s="121"/>
      <c r="BF101" s="121"/>
      <c r="BG101" s="121"/>
      <c r="BH101" s="121"/>
      <c r="BI101" s="121"/>
      <c r="BJ101" s="121"/>
      <c r="BK101" s="121"/>
      <c r="BL101" s="121"/>
      <c r="BM101" s="121"/>
      <c r="BN101" s="121"/>
      <c r="BO101" s="121"/>
      <c r="BP101" s="121"/>
      <c r="BQ101" s="121"/>
      <c r="BR101" s="121"/>
      <c r="BS101" s="121"/>
      <c r="BT101" s="121"/>
      <c r="BU101" s="121"/>
    </row>
    <row r="102" spans="1:73" x14ac:dyDescent="0.15">
      <c r="A102" s="109"/>
      <c r="B102" s="109"/>
      <c r="C102" s="12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121"/>
      <c r="AN102" s="121"/>
      <c r="AO102" s="121"/>
      <c r="AP102" s="121"/>
      <c r="AQ102" s="121"/>
      <c r="AR102" s="121"/>
      <c r="AS102" s="121"/>
      <c r="AT102" s="121"/>
      <c r="AU102" s="121"/>
      <c r="AV102" s="121"/>
      <c r="AW102" s="121"/>
      <c r="AX102" s="121"/>
      <c r="AY102" s="121"/>
      <c r="AZ102" s="121"/>
      <c r="BA102" s="121"/>
      <c r="BB102" s="121"/>
      <c r="BC102" s="121"/>
      <c r="BD102" s="121"/>
      <c r="BE102" s="121"/>
      <c r="BF102" s="121"/>
      <c r="BG102" s="121"/>
      <c r="BH102" s="121"/>
      <c r="BI102" s="121"/>
      <c r="BJ102" s="121"/>
      <c r="BK102" s="121"/>
      <c r="BL102" s="121"/>
      <c r="BM102" s="121"/>
      <c r="BN102" s="121"/>
      <c r="BO102" s="121"/>
      <c r="BP102" s="121"/>
      <c r="BQ102" s="121"/>
      <c r="BR102" s="121"/>
      <c r="BS102" s="121"/>
      <c r="BT102" s="121"/>
      <c r="BU102" s="121"/>
    </row>
    <row r="103" spans="1:73" x14ac:dyDescent="0.15">
      <c r="A103" s="109"/>
      <c r="B103" s="109"/>
      <c r="C103" s="12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90"/>
      <c r="AL103" s="90"/>
      <c r="AM103" s="121"/>
      <c r="AN103" s="121"/>
      <c r="AO103" s="121"/>
      <c r="AP103" s="121"/>
      <c r="AQ103" s="121"/>
      <c r="AR103" s="121"/>
      <c r="AS103" s="121"/>
      <c r="AT103" s="121"/>
      <c r="AU103" s="121"/>
      <c r="AV103" s="121"/>
      <c r="AW103" s="121"/>
      <c r="AX103" s="121"/>
      <c r="AY103" s="121"/>
      <c r="AZ103" s="121"/>
      <c r="BA103" s="121"/>
      <c r="BB103" s="121"/>
      <c r="BC103" s="121"/>
      <c r="BD103" s="121"/>
      <c r="BE103" s="121"/>
      <c r="BF103" s="121"/>
      <c r="BG103" s="121"/>
      <c r="BH103" s="121"/>
      <c r="BI103" s="121"/>
      <c r="BJ103" s="121"/>
      <c r="BK103" s="121"/>
      <c r="BL103" s="121"/>
      <c r="BM103" s="121"/>
      <c r="BN103" s="121"/>
      <c r="BO103" s="121"/>
      <c r="BP103" s="121"/>
      <c r="BQ103" s="121"/>
      <c r="BR103" s="121"/>
      <c r="BS103" s="121"/>
      <c r="BT103" s="121"/>
      <c r="BU103" s="121"/>
    </row>
    <row r="104" spans="1:73" x14ac:dyDescent="0.15">
      <c r="A104" s="109"/>
      <c r="B104" s="109"/>
      <c r="C104" s="12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0"/>
      <c r="AK104" s="90"/>
      <c r="AL104" s="90"/>
      <c r="AM104" s="121"/>
      <c r="AN104" s="121"/>
      <c r="AO104" s="121"/>
      <c r="AP104" s="121"/>
      <c r="AQ104" s="121"/>
      <c r="AR104" s="121"/>
      <c r="AS104" s="121"/>
      <c r="AT104" s="121"/>
      <c r="AU104" s="121"/>
      <c r="AV104" s="121"/>
      <c r="AW104" s="121"/>
      <c r="AX104" s="121"/>
      <c r="AY104" s="121"/>
      <c r="AZ104" s="121"/>
      <c r="BA104" s="121"/>
      <c r="BB104" s="121"/>
      <c r="BC104" s="121"/>
      <c r="BD104" s="121"/>
      <c r="BE104" s="121"/>
      <c r="BF104" s="121"/>
      <c r="BG104" s="121"/>
      <c r="BH104" s="121"/>
      <c r="BI104" s="121"/>
      <c r="BJ104" s="121"/>
      <c r="BK104" s="121"/>
      <c r="BL104" s="121"/>
      <c r="BM104" s="121"/>
      <c r="BN104" s="121"/>
      <c r="BO104" s="121"/>
      <c r="BP104" s="121"/>
      <c r="BQ104" s="121"/>
      <c r="BR104" s="121"/>
      <c r="BS104" s="121"/>
      <c r="BT104" s="121"/>
      <c r="BU104" s="121"/>
    </row>
    <row r="105" spans="1:73" x14ac:dyDescent="0.15">
      <c r="A105" s="109"/>
      <c r="B105" s="109"/>
      <c r="C105" s="12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0"/>
      <c r="AK105" s="90"/>
      <c r="AL105" s="90"/>
      <c r="AM105" s="121"/>
      <c r="AN105" s="121"/>
      <c r="AO105" s="121"/>
      <c r="AP105" s="121"/>
      <c r="AQ105" s="121"/>
      <c r="AR105" s="121"/>
      <c r="AS105" s="121"/>
      <c r="AT105" s="121"/>
      <c r="AU105" s="121"/>
      <c r="AV105" s="121"/>
      <c r="AW105" s="121"/>
      <c r="AX105" s="121"/>
      <c r="AY105" s="121"/>
      <c r="AZ105" s="121"/>
      <c r="BA105" s="121"/>
      <c r="BB105" s="121"/>
      <c r="BC105" s="121"/>
      <c r="BD105" s="121"/>
      <c r="BE105" s="121"/>
      <c r="BF105" s="121"/>
      <c r="BG105" s="121"/>
      <c r="BH105" s="121"/>
      <c r="BI105" s="121"/>
      <c r="BJ105" s="121"/>
      <c r="BK105" s="121"/>
      <c r="BL105" s="121"/>
      <c r="BM105" s="121"/>
      <c r="BN105" s="121"/>
      <c r="BO105" s="121"/>
      <c r="BP105" s="121"/>
      <c r="BQ105" s="121"/>
      <c r="BR105" s="121"/>
      <c r="BS105" s="121"/>
      <c r="BT105" s="121"/>
      <c r="BU105" s="121"/>
    </row>
    <row r="106" spans="1:73" x14ac:dyDescent="0.15">
      <c r="A106" s="109"/>
      <c r="B106" s="109"/>
      <c r="C106" s="12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0"/>
      <c r="AK106" s="90"/>
      <c r="AL106" s="90"/>
      <c r="AM106" s="121"/>
      <c r="AN106" s="121"/>
      <c r="AO106" s="121"/>
      <c r="AP106" s="121"/>
      <c r="AQ106" s="121"/>
      <c r="AR106" s="121"/>
      <c r="AS106" s="121"/>
      <c r="AT106" s="121"/>
      <c r="AU106" s="121"/>
      <c r="AV106" s="121"/>
      <c r="AW106" s="121"/>
      <c r="AX106" s="121"/>
      <c r="AY106" s="121"/>
      <c r="AZ106" s="121"/>
      <c r="BA106" s="121"/>
      <c r="BB106" s="121"/>
      <c r="BC106" s="121"/>
      <c r="BD106" s="121"/>
      <c r="BE106" s="121"/>
      <c r="BF106" s="121"/>
      <c r="BG106" s="121"/>
      <c r="BH106" s="121"/>
      <c r="BI106" s="121"/>
      <c r="BJ106" s="121"/>
      <c r="BK106" s="121"/>
      <c r="BL106" s="121"/>
      <c r="BM106" s="121"/>
      <c r="BN106" s="121"/>
      <c r="BO106" s="121"/>
      <c r="BP106" s="121"/>
      <c r="BQ106" s="121"/>
      <c r="BR106" s="121"/>
      <c r="BS106" s="121"/>
      <c r="BT106" s="121"/>
      <c r="BU106" s="121"/>
    </row>
    <row r="107" spans="1:73" x14ac:dyDescent="0.15">
      <c r="A107" s="109"/>
      <c r="B107" s="109"/>
      <c r="C107" s="12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0"/>
      <c r="AK107" s="90"/>
      <c r="AL107" s="90"/>
      <c r="AM107" s="121"/>
      <c r="AN107" s="121"/>
      <c r="AO107" s="121"/>
      <c r="AP107" s="121"/>
      <c r="AQ107" s="121"/>
      <c r="AR107" s="121"/>
      <c r="AS107" s="121"/>
      <c r="AT107" s="121"/>
      <c r="AU107" s="121"/>
      <c r="AV107" s="121"/>
      <c r="AW107" s="121"/>
      <c r="AX107" s="121"/>
      <c r="AY107" s="121"/>
      <c r="AZ107" s="121"/>
      <c r="BA107" s="121"/>
      <c r="BB107" s="121"/>
      <c r="BC107" s="121"/>
      <c r="BD107" s="121"/>
      <c r="BE107" s="121"/>
      <c r="BF107" s="121"/>
      <c r="BG107" s="121"/>
      <c r="BH107" s="121"/>
      <c r="BI107" s="121"/>
      <c r="BJ107" s="121"/>
      <c r="BK107" s="121"/>
      <c r="BL107" s="121"/>
      <c r="BM107" s="121"/>
      <c r="BN107" s="121"/>
      <c r="BO107" s="121"/>
      <c r="BP107" s="121"/>
      <c r="BQ107" s="121"/>
      <c r="BR107" s="121"/>
      <c r="BS107" s="121"/>
      <c r="BT107" s="121"/>
      <c r="BU107" s="121"/>
    </row>
    <row r="108" spans="1:73" x14ac:dyDescent="0.15">
      <c r="A108" s="109"/>
      <c r="B108" s="109"/>
      <c r="C108" s="12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0"/>
      <c r="AK108" s="90"/>
      <c r="AL108" s="90"/>
      <c r="AM108" s="121"/>
      <c r="AN108" s="121"/>
      <c r="AO108" s="121"/>
      <c r="AP108" s="121"/>
      <c r="AQ108" s="121"/>
      <c r="AR108" s="121"/>
      <c r="AS108" s="121"/>
      <c r="AT108" s="121"/>
      <c r="AU108" s="121"/>
      <c r="AV108" s="121"/>
      <c r="AW108" s="121"/>
      <c r="AX108" s="121"/>
      <c r="AY108" s="121"/>
      <c r="AZ108" s="121"/>
      <c r="BA108" s="121"/>
      <c r="BB108" s="121"/>
      <c r="BC108" s="121"/>
      <c r="BD108" s="121"/>
      <c r="BE108" s="121"/>
      <c r="BF108" s="121"/>
      <c r="BG108" s="121"/>
      <c r="BH108" s="121"/>
      <c r="BI108" s="121"/>
      <c r="BJ108" s="121"/>
      <c r="BK108" s="121"/>
      <c r="BL108" s="121"/>
      <c r="BM108" s="121"/>
      <c r="BN108" s="121"/>
      <c r="BO108" s="121"/>
      <c r="BP108" s="121"/>
      <c r="BQ108" s="121"/>
      <c r="BR108" s="121"/>
      <c r="BS108" s="121"/>
      <c r="BT108" s="121"/>
      <c r="BU108" s="121"/>
    </row>
    <row r="109" spans="1:73" x14ac:dyDescent="0.15">
      <c r="A109" s="109"/>
      <c r="B109" s="109"/>
      <c r="C109" s="12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0"/>
      <c r="AK109" s="90"/>
      <c r="AL109" s="90"/>
      <c r="AM109" s="121"/>
      <c r="AN109" s="121"/>
      <c r="AO109" s="121"/>
      <c r="AP109" s="121"/>
      <c r="AQ109" s="121"/>
      <c r="AR109" s="121"/>
      <c r="AS109" s="121"/>
      <c r="AT109" s="121"/>
      <c r="AU109" s="121"/>
      <c r="AV109" s="121"/>
      <c r="AW109" s="121"/>
      <c r="AX109" s="121"/>
      <c r="AY109" s="121"/>
      <c r="AZ109" s="121"/>
      <c r="BA109" s="121"/>
      <c r="BB109" s="121"/>
      <c r="BC109" s="121"/>
      <c r="BD109" s="121"/>
      <c r="BE109" s="121"/>
      <c r="BF109" s="121"/>
      <c r="BG109" s="121"/>
      <c r="BH109" s="121"/>
      <c r="BI109" s="121"/>
      <c r="BJ109" s="121"/>
      <c r="BK109" s="121"/>
      <c r="BL109" s="121"/>
      <c r="BM109" s="121"/>
      <c r="BN109" s="121"/>
      <c r="BO109" s="121"/>
      <c r="BP109" s="121"/>
      <c r="BQ109" s="121"/>
      <c r="BR109" s="121"/>
      <c r="BS109" s="121"/>
      <c r="BT109" s="121"/>
      <c r="BU109" s="121"/>
    </row>
    <row r="110" spans="1:73" x14ac:dyDescent="0.15">
      <c r="A110" s="109"/>
      <c r="B110" s="109"/>
      <c r="C110" s="12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0"/>
      <c r="AK110" s="90"/>
      <c r="AL110" s="90"/>
      <c r="AM110" s="121"/>
      <c r="AN110" s="121"/>
      <c r="AO110" s="121"/>
      <c r="AP110" s="121"/>
      <c r="AQ110" s="121"/>
      <c r="AR110" s="121"/>
      <c r="AS110" s="121"/>
      <c r="AT110" s="121"/>
      <c r="AU110" s="121"/>
      <c r="AV110" s="121"/>
      <c r="AW110" s="121"/>
      <c r="AX110" s="121"/>
      <c r="AY110" s="121"/>
      <c r="AZ110" s="121"/>
      <c r="BA110" s="121"/>
      <c r="BB110" s="121"/>
      <c r="BC110" s="121"/>
      <c r="BD110" s="121"/>
      <c r="BE110" s="121"/>
      <c r="BF110" s="121"/>
      <c r="BG110" s="121"/>
      <c r="BH110" s="121"/>
      <c r="BI110" s="121"/>
      <c r="BJ110" s="121"/>
      <c r="BK110" s="121"/>
      <c r="BL110" s="121"/>
      <c r="BM110" s="121"/>
      <c r="BN110" s="121"/>
      <c r="BO110" s="121"/>
      <c r="BP110" s="121"/>
      <c r="BQ110" s="121"/>
      <c r="BR110" s="121"/>
      <c r="BS110" s="121"/>
      <c r="BT110" s="121"/>
      <c r="BU110" s="121"/>
    </row>
    <row r="111" spans="1:73" x14ac:dyDescent="0.15">
      <c r="A111" s="109"/>
      <c r="B111" s="109"/>
      <c r="C111" s="12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0"/>
      <c r="AK111" s="90"/>
      <c r="AL111" s="90"/>
      <c r="AM111" s="121"/>
      <c r="AN111" s="121"/>
      <c r="AO111" s="121"/>
      <c r="AP111" s="121"/>
      <c r="AQ111" s="121"/>
      <c r="AR111" s="121"/>
      <c r="AS111" s="121"/>
      <c r="AT111" s="121"/>
      <c r="AU111" s="121"/>
      <c r="AV111" s="121"/>
      <c r="AW111" s="121"/>
      <c r="AX111" s="121"/>
      <c r="AY111" s="121"/>
      <c r="AZ111" s="121"/>
      <c r="BA111" s="121"/>
      <c r="BB111" s="121"/>
      <c r="BC111" s="121"/>
      <c r="BD111" s="121"/>
      <c r="BE111" s="121"/>
      <c r="BF111" s="121"/>
      <c r="BG111" s="121"/>
      <c r="BH111" s="121"/>
      <c r="BI111" s="121"/>
      <c r="BJ111" s="121"/>
      <c r="BK111" s="121"/>
      <c r="BL111" s="121"/>
      <c r="BM111" s="121"/>
      <c r="BN111" s="121"/>
      <c r="BO111" s="121"/>
      <c r="BP111" s="121"/>
      <c r="BQ111" s="121"/>
      <c r="BR111" s="121"/>
      <c r="BS111" s="121"/>
      <c r="BT111" s="121"/>
      <c r="BU111" s="121"/>
    </row>
    <row r="112" spans="1:73" x14ac:dyDescent="0.15">
      <c r="A112" s="109"/>
      <c r="B112" s="109"/>
      <c r="C112" s="12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c r="AM112" s="121"/>
      <c r="AN112" s="121"/>
      <c r="AO112" s="121"/>
      <c r="AP112" s="121"/>
      <c r="AQ112" s="121"/>
      <c r="AR112" s="121"/>
      <c r="AS112" s="121"/>
      <c r="AT112" s="121"/>
      <c r="AU112" s="121"/>
      <c r="AV112" s="121"/>
      <c r="AW112" s="121"/>
      <c r="AX112" s="121"/>
      <c r="AY112" s="121"/>
      <c r="AZ112" s="121"/>
      <c r="BA112" s="121"/>
      <c r="BB112" s="121"/>
      <c r="BC112" s="121"/>
      <c r="BD112" s="121"/>
      <c r="BE112" s="121"/>
      <c r="BF112" s="121"/>
      <c r="BG112" s="121"/>
      <c r="BH112" s="121"/>
      <c r="BI112" s="121"/>
      <c r="BJ112" s="121"/>
      <c r="BK112" s="121"/>
      <c r="BL112" s="121"/>
      <c r="BM112" s="121"/>
      <c r="BN112" s="121"/>
      <c r="BO112" s="121"/>
      <c r="BP112" s="121"/>
      <c r="BQ112" s="121"/>
      <c r="BR112" s="121"/>
      <c r="BS112" s="121"/>
      <c r="BT112" s="121"/>
      <c r="BU112" s="121"/>
    </row>
    <row r="113" spans="1:73" x14ac:dyDescent="0.15">
      <c r="A113" s="109"/>
      <c r="B113" s="109"/>
      <c r="C113" s="12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0"/>
      <c r="AK113" s="90"/>
      <c r="AL113" s="90"/>
      <c r="AM113" s="121"/>
      <c r="AN113" s="121"/>
      <c r="AO113" s="121"/>
      <c r="AP113" s="121"/>
      <c r="AQ113" s="121"/>
      <c r="AR113" s="121"/>
      <c r="AS113" s="121"/>
      <c r="AT113" s="121"/>
      <c r="AU113" s="121"/>
      <c r="AV113" s="121"/>
      <c r="AW113" s="121"/>
      <c r="AX113" s="121"/>
      <c r="AY113" s="121"/>
      <c r="AZ113" s="121"/>
      <c r="BA113" s="121"/>
      <c r="BB113" s="121"/>
      <c r="BC113" s="121"/>
      <c r="BD113" s="121"/>
      <c r="BE113" s="121"/>
      <c r="BF113" s="121"/>
      <c r="BG113" s="121"/>
      <c r="BH113" s="121"/>
      <c r="BI113" s="121"/>
      <c r="BJ113" s="121"/>
      <c r="BK113" s="121"/>
      <c r="BL113" s="121"/>
      <c r="BM113" s="121"/>
      <c r="BN113" s="121"/>
      <c r="BO113" s="121"/>
      <c r="BP113" s="121"/>
      <c r="BQ113" s="121"/>
      <c r="BR113" s="121"/>
      <c r="BS113" s="121"/>
      <c r="BT113" s="121"/>
      <c r="BU113" s="121"/>
    </row>
    <row r="114" spans="1:73" x14ac:dyDescent="0.15">
      <c r="A114" s="109"/>
      <c r="B114" s="109"/>
      <c r="C114" s="12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0"/>
      <c r="AK114" s="90"/>
      <c r="AL114" s="90"/>
      <c r="AM114" s="121"/>
      <c r="AN114" s="121"/>
      <c r="AO114" s="121"/>
      <c r="AP114" s="121"/>
      <c r="AQ114" s="121"/>
      <c r="AR114" s="121"/>
      <c r="AS114" s="121"/>
      <c r="AT114" s="121"/>
      <c r="AU114" s="121"/>
      <c r="AV114" s="121"/>
      <c r="AW114" s="121"/>
      <c r="AX114" s="121"/>
      <c r="AY114" s="121"/>
      <c r="AZ114" s="121"/>
      <c r="BA114" s="121"/>
      <c r="BB114" s="121"/>
      <c r="BC114" s="121"/>
      <c r="BD114" s="121"/>
      <c r="BE114" s="121"/>
      <c r="BF114" s="121"/>
      <c r="BG114" s="121"/>
      <c r="BH114" s="121"/>
      <c r="BI114" s="121"/>
      <c r="BJ114" s="121"/>
      <c r="BK114" s="121"/>
      <c r="BL114" s="121"/>
      <c r="BM114" s="121"/>
      <c r="BN114" s="121"/>
      <c r="BO114" s="121"/>
      <c r="BP114" s="121"/>
      <c r="BQ114" s="121"/>
      <c r="BR114" s="121"/>
      <c r="BS114" s="121"/>
      <c r="BT114" s="121"/>
      <c r="BU114" s="121"/>
    </row>
    <row r="115" spans="1:73" x14ac:dyDescent="0.15">
      <c r="A115" s="109"/>
      <c r="B115" s="109"/>
      <c r="C115" s="12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0"/>
      <c r="AK115" s="90"/>
      <c r="AL115" s="90"/>
      <c r="AM115" s="121"/>
      <c r="AN115" s="121"/>
      <c r="AO115" s="121"/>
      <c r="AP115" s="121"/>
      <c r="AQ115" s="121"/>
      <c r="AR115" s="121"/>
      <c r="AS115" s="121"/>
      <c r="AT115" s="121"/>
      <c r="AU115" s="121"/>
      <c r="AV115" s="121"/>
      <c r="AW115" s="121"/>
      <c r="AX115" s="121"/>
      <c r="AY115" s="121"/>
      <c r="AZ115" s="121"/>
      <c r="BA115" s="121"/>
      <c r="BB115" s="121"/>
      <c r="BC115" s="121"/>
      <c r="BD115" s="121"/>
      <c r="BE115" s="121"/>
      <c r="BF115" s="121"/>
      <c r="BG115" s="121"/>
      <c r="BH115" s="121"/>
      <c r="BI115" s="121"/>
      <c r="BJ115" s="121"/>
      <c r="BK115" s="121"/>
      <c r="BL115" s="121"/>
      <c r="BM115" s="121"/>
      <c r="BN115" s="121"/>
      <c r="BO115" s="121"/>
      <c r="BP115" s="121"/>
      <c r="BQ115" s="121"/>
      <c r="BR115" s="121"/>
      <c r="BS115" s="121"/>
      <c r="BT115" s="121"/>
      <c r="BU115" s="121"/>
    </row>
    <row r="116" spans="1:73" x14ac:dyDescent="0.15">
      <c r="A116" s="109"/>
      <c r="B116" s="109"/>
      <c r="C116" s="12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121"/>
      <c r="AN116" s="121"/>
      <c r="AO116" s="121"/>
      <c r="AP116" s="121"/>
      <c r="AQ116" s="121"/>
      <c r="AR116" s="121"/>
      <c r="AS116" s="121"/>
      <c r="AT116" s="121"/>
      <c r="AU116" s="121"/>
      <c r="AV116" s="121"/>
      <c r="AW116" s="121"/>
      <c r="AX116" s="121"/>
      <c r="AY116" s="121"/>
      <c r="AZ116" s="121"/>
      <c r="BA116" s="121"/>
      <c r="BB116" s="121"/>
      <c r="BC116" s="121"/>
      <c r="BD116" s="121"/>
      <c r="BE116" s="121"/>
      <c r="BF116" s="121"/>
      <c r="BG116" s="121"/>
      <c r="BH116" s="121"/>
      <c r="BI116" s="121"/>
      <c r="BJ116" s="121"/>
      <c r="BK116" s="121"/>
      <c r="BL116" s="121"/>
      <c r="BM116" s="121"/>
      <c r="BN116" s="121"/>
      <c r="BO116" s="121"/>
      <c r="BP116" s="121"/>
      <c r="BQ116" s="121"/>
      <c r="BR116" s="121"/>
      <c r="BS116" s="121"/>
      <c r="BT116" s="121"/>
      <c r="BU116" s="121"/>
    </row>
    <row r="117" spans="1:73" x14ac:dyDescent="0.15">
      <c r="A117" s="109"/>
      <c r="B117" s="109"/>
      <c r="C117" s="12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121"/>
      <c r="AN117" s="121"/>
      <c r="AO117" s="121"/>
      <c r="AP117" s="121"/>
      <c r="AQ117" s="121"/>
      <c r="AR117" s="121"/>
      <c r="AS117" s="121"/>
      <c r="AT117" s="121"/>
      <c r="AU117" s="121"/>
      <c r="AV117" s="121"/>
      <c r="AW117" s="121"/>
      <c r="AX117" s="121"/>
      <c r="AY117" s="121"/>
      <c r="AZ117" s="121"/>
      <c r="BA117" s="121"/>
      <c r="BB117" s="121"/>
      <c r="BC117" s="121"/>
      <c r="BD117" s="121"/>
      <c r="BE117" s="121"/>
      <c r="BF117" s="121"/>
      <c r="BG117" s="121"/>
      <c r="BH117" s="121"/>
      <c r="BI117" s="121"/>
      <c r="BJ117" s="121"/>
      <c r="BK117" s="121"/>
      <c r="BL117" s="121"/>
      <c r="BM117" s="121"/>
      <c r="BN117" s="121"/>
      <c r="BO117" s="121"/>
      <c r="BP117" s="121"/>
      <c r="BQ117" s="121"/>
      <c r="BR117" s="121"/>
      <c r="BS117" s="121"/>
      <c r="BT117" s="121"/>
      <c r="BU117" s="121"/>
    </row>
    <row r="118" spans="1:73" x14ac:dyDescent="0.15">
      <c r="A118" s="109"/>
      <c r="B118" s="109"/>
      <c r="C118" s="12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0"/>
      <c r="AK118" s="90"/>
      <c r="AL118" s="90"/>
      <c r="AM118" s="121"/>
      <c r="AN118" s="121"/>
      <c r="AO118" s="121"/>
      <c r="AP118" s="121"/>
      <c r="AQ118" s="121"/>
      <c r="AR118" s="121"/>
      <c r="AS118" s="121"/>
      <c r="AT118" s="121"/>
      <c r="AU118" s="121"/>
      <c r="AV118" s="121"/>
      <c r="AW118" s="121"/>
      <c r="AX118" s="121"/>
      <c r="AY118" s="121"/>
      <c r="AZ118" s="121"/>
      <c r="BA118" s="121"/>
      <c r="BB118" s="121"/>
      <c r="BC118" s="121"/>
      <c r="BD118" s="121"/>
      <c r="BE118" s="121"/>
      <c r="BF118" s="121"/>
      <c r="BG118" s="121"/>
      <c r="BH118" s="121"/>
      <c r="BI118" s="121"/>
      <c r="BJ118" s="121"/>
      <c r="BK118" s="121"/>
      <c r="BL118" s="121"/>
      <c r="BM118" s="121"/>
      <c r="BN118" s="121"/>
      <c r="BO118" s="121"/>
      <c r="BP118" s="121"/>
      <c r="BQ118" s="121"/>
      <c r="BR118" s="121"/>
      <c r="BS118" s="121"/>
      <c r="BT118" s="121"/>
      <c r="BU118" s="121"/>
    </row>
    <row r="119" spans="1:73" x14ac:dyDescent="0.15">
      <c r="A119" s="109"/>
      <c r="B119" s="109"/>
      <c r="C119" s="12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0"/>
      <c r="AK119" s="90"/>
      <c r="AL119" s="90"/>
      <c r="AM119" s="121"/>
      <c r="AN119" s="121"/>
      <c r="AO119" s="121"/>
      <c r="AP119" s="121"/>
      <c r="AQ119" s="121"/>
      <c r="AR119" s="121"/>
      <c r="AS119" s="121"/>
      <c r="AT119" s="121"/>
      <c r="AU119" s="121"/>
      <c r="AV119" s="121"/>
      <c r="AW119" s="121"/>
      <c r="AX119" s="121"/>
      <c r="AY119" s="121"/>
      <c r="AZ119" s="121"/>
      <c r="BA119" s="121"/>
      <c r="BB119" s="121"/>
      <c r="BC119" s="121"/>
      <c r="BD119" s="121"/>
      <c r="BE119" s="121"/>
      <c r="BF119" s="121"/>
      <c r="BG119" s="121"/>
      <c r="BH119" s="121"/>
      <c r="BI119" s="121"/>
      <c r="BJ119" s="121"/>
      <c r="BK119" s="121"/>
      <c r="BL119" s="121"/>
      <c r="BM119" s="121"/>
      <c r="BN119" s="121"/>
      <c r="BO119" s="121"/>
      <c r="BP119" s="121"/>
      <c r="BQ119" s="121"/>
      <c r="BR119" s="121"/>
      <c r="BS119" s="121"/>
      <c r="BT119" s="121"/>
      <c r="BU119" s="121"/>
    </row>
    <row r="120" spans="1:73" x14ac:dyDescent="0.15">
      <c r="A120" s="109"/>
      <c r="B120" s="109"/>
      <c r="C120" s="12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0"/>
      <c r="AK120" s="90"/>
      <c r="AL120" s="90"/>
      <c r="AM120" s="121"/>
      <c r="AN120" s="121"/>
      <c r="AO120" s="121"/>
      <c r="AP120" s="121"/>
      <c r="AQ120" s="121"/>
      <c r="AR120" s="121"/>
      <c r="AS120" s="121"/>
      <c r="AT120" s="121"/>
      <c r="AU120" s="121"/>
      <c r="AV120" s="121"/>
      <c r="AW120" s="121"/>
      <c r="AX120" s="121"/>
      <c r="AY120" s="121"/>
      <c r="AZ120" s="121"/>
      <c r="BA120" s="121"/>
      <c r="BB120" s="121"/>
      <c r="BC120" s="121"/>
      <c r="BD120" s="121"/>
      <c r="BE120" s="121"/>
      <c r="BF120" s="121"/>
      <c r="BG120" s="121"/>
      <c r="BH120" s="121"/>
      <c r="BI120" s="121"/>
      <c r="BJ120" s="121"/>
      <c r="BK120" s="121"/>
      <c r="BL120" s="121"/>
      <c r="BM120" s="121"/>
      <c r="BN120" s="121"/>
      <c r="BO120" s="121"/>
      <c r="BP120" s="121"/>
      <c r="BQ120" s="121"/>
      <c r="BR120" s="121"/>
      <c r="BS120" s="121"/>
      <c r="BT120" s="121"/>
      <c r="BU120" s="121"/>
    </row>
    <row r="121" spans="1:73" x14ac:dyDescent="0.15">
      <c r="A121" s="109"/>
      <c r="B121" s="109"/>
      <c r="C121" s="12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0"/>
      <c r="AK121" s="90"/>
      <c r="AL121" s="90"/>
      <c r="AM121" s="121"/>
      <c r="AN121" s="121"/>
      <c r="AO121" s="121"/>
      <c r="AP121" s="121"/>
      <c r="AQ121" s="121"/>
      <c r="AR121" s="121"/>
      <c r="AS121" s="121"/>
      <c r="AT121" s="121"/>
      <c r="AU121" s="121"/>
      <c r="AV121" s="121"/>
      <c r="AW121" s="121"/>
      <c r="AX121" s="121"/>
      <c r="AY121" s="121"/>
      <c r="AZ121" s="121"/>
      <c r="BA121" s="121"/>
      <c r="BB121" s="121"/>
      <c r="BC121" s="121"/>
      <c r="BD121" s="121"/>
      <c r="BE121" s="121"/>
      <c r="BF121" s="121"/>
      <c r="BG121" s="121"/>
      <c r="BH121" s="121"/>
      <c r="BI121" s="121"/>
      <c r="BJ121" s="121"/>
      <c r="BK121" s="121"/>
      <c r="BL121" s="121"/>
      <c r="BM121" s="121"/>
      <c r="BN121" s="121"/>
      <c r="BO121" s="121"/>
      <c r="BP121" s="121"/>
      <c r="BQ121" s="121"/>
      <c r="BR121" s="121"/>
      <c r="BS121" s="121"/>
      <c r="BT121" s="121"/>
      <c r="BU121" s="121"/>
    </row>
    <row r="122" spans="1:73" x14ac:dyDescent="0.15">
      <c r="A122" s="109"/>
      <c r="B122" s="109"/>
      <c r="C122" s="12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0"/>
      <c r="AK122" s="90"/>
      <c r="AL122" s="90"/>
      <c r="AM122" s="121"/>
      <c r="AN122" s="121"/>
      <c r="AO122" s="121"/>
      <c r="AP122" s="121"/>
      <c r="AQ122" s="121"/>
      <c r="AR122" s="121"/>
      <c r="AS122" s="121"/>
      <c r="AT122" s="121"/>
      <c r="AU122" s="121"/>
      <c r="AV122" s="121"/>
      <c r="AW122" s="121"/>
      <c r="AX122" s="121"/>
      <c r="AY122" s="121"/>
      <c r="AZ122" s="121"/>
      <c r="BA122" s="121"/>
      <c r="BB122" s="121"/>
      <c r="BC122" s="121"/>
      <c r="BD122" s="121"/>
      <c r="BE122" s="121"/>
      <c r="BF122" s="121"/>
      <c r="BG122" s="121"/>
      <c r="BH122" s="121"/>
      <c r="BI122" s="121"/>
      <c r="BJ122" s="121"/>
      <c r="BK122" s="121"/>
      <c r="BL122" s="121"/>
      <c r="BM122" s="121"/>
      <c r="BN122" s="121"/>
      <c r="BO122" s="121"/>
      <c r="BP122" s="121"/>
      <c r="BQ122" s="121"/>
      <c r="BR122" s="121"/>
      <c r="BS122" s="121"/>
      <c r="BT122" s="121"/>
      <c r="BU122" s="121"/>
    </row>
    <row r="123" spans="1:73" x14ac:dyDescent="0.15">
      <c r="A123" s="109"/>
      <c r="B123" s="109"/>
      <c r="C123" s="12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0"/>
      <c r="AK123" s="90"/>
      <c r="AL123" s="90"/>
      <c r="AM123" s="121"/>
      <c r="AN123" s="121"/>
      <c r="AO123" s="121"/>
      <c r="AP123" s="121"/>
      <c r="AQ123" s="121"/>
      <c r="AR123" s="121"/>
      <c r="AS123" s="121"/>
      <c r="AT123" s="121"/>
      <c r="AU123" s="121"/>
      <c r="AV123" s="121"/>
      <c r="AW123" s="121"/>
      <c r="AX123" s="121"/>
      <c r="AY123" s="121"/>
      <c r="AZ123" s="121"/>
      <c r="BA123" s="121"/>
      <c r="BB123" s="121"/>
      <c r="BC123" s="121"/>
      <c r="BD123" s="121"/>
      <c r="BE123" s="121"/>
      <c r="BF123" s="121"/>
      <c r="BG123" s="121"/>
      <c r="BH123" s="121"/>
      <c r="BI123" s="121"/>
      <c r="BJ123" s="121"/>
      <c r="BK123" s="121"/>
      <c r="BL123" s="121"/>
      <c r="BM123" s="121"/>
      <c r="BN123" s="121"/>
      <c r="BO123" s="121"/>
      <c r="BP123" s="121"/>
      <c r="BQ123" s="121"/>
      <c r="BR123" s="121"/>
      <c r="BS123" s="121"/>
      <c r="BT123" s="121"/>
      <c r="BU123" s="121"/>
    </row>
    <row r="124" spans="1:73" x14ac:dyDescent="0.15">
      <c r="A124" s="109"/>
      <c r="B124" s="109"/>
      <c r="C124" s="12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0"/>
      <c r="AK124" s="90"/>
      <c r="AL124" s="90"/>
      <c r="AM124" s="121"/>
      <c r="AN124" s="121"/>
      <c r="AO124" s="121"/>
      <c r="AP124" s="121"/>
      <c r="AQ124" s="121"/>
      <c r="AR124" s="121"/>
      <c r="AS124" s="121"/>
      <c r="AT124" s="121"/>
      <c r="AU124" s="121"/>
      <c r="AV124" s="121"/>
      <c r="AW124" s="121"/>
      <c r="AX124" s="121"/>
      <c r="AY124" s="121"/>
      <c r="AZ124" s="121"/>
      <c r="BA124" s="121"/>
      <c r="BB124" s="121"/>
      <c r="BC124" s="121"/>
      <c r="BD124" s="121"/>
      <c r="BE124" s="121"/>
      <c r="BF124" s="121"/>
      <c r="BG124" s="121"/>
      <c r="BH124" s="121"/>
      <c r="BI124" s="121"/>
      <c r="BJ124" s="121"/>
      <c r="BK124" s="121"/>
      <c r="BL124" s="121"/>
      <c r="BM124" s="121"/>
      <c r="BN124" s="121"/>
      <c r="BO124" s="121"/>
      <c r="BP124" s="121"/>
      <c r="BQ124" s="121"/>
      <c r="BR124" s="121"/>
      <c r="BS124" s="121"/>
      <c r="BT124" s="121"/>
      <c r="BU124" s="121"/>
    </row>
    <row r="125" spans="1:73" x14ac:dyDescent="0.15">
      <c r="A125" s="109"/>
      <c r="B125" s="109"/>
      <c r="C125" s="12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0"/>
      <c r="AK125" s="90"/>
      <c r="AL125" s="90"/>
      <c r="AM125" s="121"/>
      <c r="AN125" s="121"/>
      <c r="AO125" s="121"/>
      <c r="AP125" s="121"/>
      <c r="AQ125" s="121"/>
      <c r="AR125" s="121"/>
      <c r="AS125" s="121"/>
      <c r="AT125" s="121"/>
      <c r="AU125" s="121"/>
      <c r="AV125" s="121"/>
      <c r="AW125" s="121"/>
      <c r="AX125" s="121"/>
      <c r="AY125" s="121"/>
      <c r="AZ125" s="121"/>
      <c r="BA125" s="121"/>
      <c r="BB125" s="121"/>
      <c r="BC125" s="121"/>
      <c r="BD125" s="121"/>
      <c r="BE125" s="121"/>
      <c r="BF125" s="121"/>
      <c r="BG125" s="121"/>
      <c r="BH125" s="121"/>
      <c r="BI125" s="121"/>
      <c r="BJ125" s="121"/>
      <c r="BK125" s="121"/>
      <c r="BL125" s="121"/>
      <c r="BM125" s="121"/>
      <c r="BN125" s="121"/>
      <c r="BO125" s="121"/>
      <c r="BP125" s="121"/>
      <c r="BQ125" s="121"/>
      <c r="BR125" s="121"/>
      <c r="BS125" s="121"/>
      <c r="BT125" s="121"/>
      <c r="BU125" s="121"/>
    </row>
    <row r="126" spans="1:73" x14ac:dyDescent="0.15">
      <c r="A126" s="109"/>
      <c r="B126" s="109"/>
      <c r="C126" s="12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0"/>
      <c r="AK126" s="90"/>
      <c r="AL126" s="90"/>
      <c r="AM126" s="121"/>
      <c r="AN126" s="121"/>
      <c r="AO126" s="121"/>
      <c r="AP126" s="121"/>
      <c r="AQ126" s="121"/>
      <c r="AR126" s="121"/>
      <c r="AS126" s="121"/>
      <c r="AT126" s="121"/>
      <c r="AU126" s="121"/>
      <c r="AV126" s="121"/>
      <c r="AW126" s="121"/>
      <c r="AX126" s="121"/>
      <c r="AY126" s="121"/>
      <c r="AZ126" s="121"/>
      <c r="BA126" s="121"/>
      <c r="BB126" s="121"/>
      <c r="BC126" s="121"/>
      <c r="BD126" s="121"/>
      <c r="BE126" s="121"/>
      <c r="BF126" s="121"/>
      <c r="BG126" s="121"/>
      <c r="BH126" s="121"/>
      <c r="BI126" s="121"/>
      <c r="BJ126" s="121"/>
      <c r="BK126" s="121"/>
      <c r="BL126" s="121"/>
      <c r="BM126" s="121"/>
      <c r="BN126" s="121"/>
      <c r="BO126" s="121"/>
      <c r="BP126" s="121"/>
      <c r="BQ126" s="121"/>
      <c r="BR126" s="121"/>
      <c r="BS126" s="121"/>
      <c r="BT126" s="121"/>
      <c r="BU126" s="121"/>
    </row>
    <row r="127" spans="1:73" x14ac:dyDescent="0.15">
      <c r="A127" s="109"/>
      <c r="B127" s="109"/>
      <c r="C127" s="12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0"/>
      <c r="AK127" s="90"/>
      <c r="AL127" s="90"/>
      <c r="AM127" s="121"/>
      <c r="AN127" s="121"/>
      <c r="AO127" s="121"/>
      <c r="AP127" s="121"/>
      <c r="AQ127" s="121"/>
      <c r="AR127" s="121"/>
      <c r="AS127" s="121"/>
      <c r="AT127" s="121"/>
      <c r="AU127" s="121"/>
      <c r="AV127" s="121"/>
      <c r="AW127" s="121"/>
      <c r="AX127" s="121"/>
      <c r="AY127" s="121"/>
      <c r="AZ127" s="121"/>
      <c r="BA127" s="121"/>
      <c r="BB127" s="121"/>
      <c r="BC127" s="121"/>
      <c r="BD127" s="121"/>
      <c r="BE127" s="121"/>
      <c r="BF127" s="121"/>
      <c r="BG127" s="121"/>
      <c r="BH127" s="121"/>
      <c r="BI127" s="121"/>
      <c r="BJ127" s="121"/>
      <c r="BK127" s="121"/>
      <c r="BL127" s="121"/>
      <c r="BM127" s="121"/>
      <c r="BN127" s="121"/>
      <c r="BO127" s="121"/>
      <c r="BP127" s="121"/>
      <c r="BQ127" s="121"/>
      <c r="BR127" s="121"/>
      <c r="BS127" s="121"/>
      <c r="BT127" s="121"/>
      <c r="BU127" s="121"/>
    </row>
    <row r="128" spans="1:73" x14ac:dyDescent="0.15">
      <c r="A128" s="109"/>
      <c r="B128" s="109"/>
      <c r="C128" s="12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0"/>
      <c r="AK128" s="90"/>
      <c r="AL128" s="90"/>
      <c r="AM128" s="121"/>
      <c r="AN128" s="121"/>
      <c r="AO128" s="121"/>
      <c r="AP128" s="121"/>
      <c r="AQ128" s="121"/>
      <c r="AR128" s="121"/>
      <c r="AS128" s="121"/>
      <c r="AT128" s="121"/>
      <c r="AU128" s="121"/>
      <c r="AV128" s="121"/>
      <c r="AW128" s="121"/>
      <c r="AX128" s="121"/>
      <c r="AY128" s="121"/>
      <c r="AZ128" s="121"/>
      <c r="BA128" s="121"/>
      <c r="BB128" s="121"/>
      <c r="BC128" s="121"/>
      <c r="BD128" s="121"/>
      <c r="BE128" s="121"/>
      <c r="BF128" s="121"/>
      <c r="BG128" s="121"/>
      <c r="BH128" s="121"/>
      <c r="BI128" s="121"/>
      <c r="BJ128" s="121"/>
      <c r="BK128" s="121"/>
      <c r="BL128" s="121"/>
      <c r="BM128" s="121"/>
      <c r="BN128" s="121"/>
      <c r="BO128" s="121"/>
      <c r="BP128" s="121"/>
      <c r="BQ128" s="121"/>
      <c r="BR128" s="121"/>
      <c r="BS128" s="121"/>
      <c r="BT128" s="121"/>
      <c r="BU128" s="121"/>
    </row>
    <row r="129" spans="1:73" x14ac:dyDescent="0.15">
      <c r="A129" s="109"/>
      <c r="B129" s="109"/>
      <c r="C129" s="12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0"/>
      <c r="AK129" s="90"/>
      <c r="AL129" s="90"/>
      <c r="AM129" s="121"/>
      <c r="AN129" s="121"/>
      <c r="AO129" s="121"/>
      <c r="AP129" s="121"/>
      <c r="AQ129" s="121"/>
      <c r="AR129" s="121"/>
      <c r="AS129" s="121"/>
      <c r="AT129" s="121"/>
      <c r="AU129" s="121"/>
      <c r="AV129" s="121"/>
      <c r="AW129" s="121"/>
      <c r="AX129" s="121"/>
      <c r="AY129" s="121"/>
      <c r="AZ129" s="121"/>
      <c r="BA129" s="121"/>
      <c r="BB129" s="121"/>
      <c r="BC129" s="121"/>
      <c r="BD129" s="121"/>
      <c r="BE129" s="121"/>
      <c r="BF129" s="121"/>
      <c r="BG129" s="121"/>
      <c r="BH129" s="121"/>
      <c r="BI129" s="121"/>
      <c r="BJ129" s="121"/>
      <c r="BK129" s="121"/>
      <c r="BL129" s="121"/>
      <c r="BM129" s="121"/>
      <c r="BN129" s="121"/>
      <c r="BO129" s="121"/>
      <c r="BP129" s="121"/>
      <c r="BQ129" s="121"/>
      <c r="BR129" s="121"/>
      <c r="BS129" s="121"/>
      <c r="BT129" s="121"/>
      <c r="BU129" s="121"/>
    </row>
    <row r="130" spans="1:73" x14ac:dyDescent="0.15">
      <c r="A130" s="109"/>
      <c r="B130" s="109"/>
      <c r="C130" s="12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0"/>
      <c r="AK130" s="90"/>
      <c r="AL130" s="90"/>
      <c r="AM130" s="121"/>
      <c r="AN130" s="121"/>
      <c r="AO130" s="121"/>
      <c r="AP130" s="121"/>
      <c r="AQ130" s="121"/>
      <c r="AR130" s="121"/>
      <c r="AS130" s="121"/>
      <c r="AT130" s="121"/>
      <c r="AU130" s="121"/>
      <c r="AV130" s="121"/>
      <c r="AW130" s="121"/>
      <c r="AX130" s="121"/>
      <c r="AY130" s="121"/>
      <c r="AZ130" s="121"/>
      <c r="BA130" s="121"/>
      <c r="BB130" s="121"/>
      <c r="BC130" s="121"/>
      <c r="BD130" s="121"/>
      <c r="BE130" s="121"/>
      <c r="BF130" s="121"/>
      <c r="BG130" s="121"/>
      <c r="BH130" s="121"/>
      <c r="BI130" s="121"/>
      <c r="BJ130" s="121"/>
      <c r="BK130" s="121"/>
      <c r="BL130" s="121"/>
      <c r="BM130" s="121"/>
      <c r="BN130" s="121"/>
      <c r="BO130" s="121"/>
      <c r="BP130" s="121"/>
      <c r="BQ130" s="121"/>
      <c r="BR130" s="121"/>
      <c r="BS130" s="121"/>
      <c r="BT130" s="121"/>
      <c r="BU130" s="121"/>
    </row>
    <row r="131" spans="1:73" x14ac:dyDescent="0.15">
      <c r="A131" s="109"/>
      <c r="B131" s="109"/>
      <c r="C131" s="12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0"/>
      <c r="AK131" s="90"/>
      <c r="AL131" s="90"/>
      <c r="AM131" s="121"/>
      <c r="AN131" s="121"/>
      <c r="AO131" s="121"/>
      <c r="AP131" s="121"/>
      <c r="AQ131" s="121"/>
      <c r="AR131" s="121"/>
      <c r="AS131" s="121"/>
      <c r="AT131" s="121"/>
      <c r="AU131" s="121"/>
      <c r="AV131" s="121"/>
      <c r="AW131" s="121"/>
      <c r="AX131" s="121"/>
      <c r="AY131" s="121"/>
      <c r="AZ131" s="121"/>
      <c r="BA131" s="121"/>
      <c r="BB131" s="121"/>
      <c r="BC131" s="121"/>
      <c r="BD131" s="121"/>
      <c r="BE131" s="121"/>
      <c r="BF131" s="121"/>
      <c r="BG131" s="121"/>
      <c r="BH131" s="121"/>
      <c r="BI131" s="121"/>
      <c r="BJ131" s="121"/>
      <c r="BK131" s="121"/>
      <c r="BL131" s="121"/>
      <c r="BM131" s="121"/>
      <c r="BN131" s="121"/>
      <c r="BO131" s="121"/>
      <c r="BP131" s="121"/>
      <c r="BQ131" s="121"/>
      <c r="BR131" s="121"/>
      <c r="BS131" s="121"/>
      <c r="BT131" s="121"/>
      <c r="BU131" s="121"/>
    </row>
    <row r="132" spans="1:73" x14ac:dyDescent="0.15">
      <c r="A132" s="109"/>
      <c r="B132" s="109"/>
      <c r="C132" s="12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0"/>
      <c r="AK132" s="90"/>
      <c r="AL132" s="90"/>
      <c r="AM132" s="121"/>
      <c r="AN132" s="121"/>
      <c r="AO132" s="121"/>
      <c r="AP132" s="121"/>
      <c r="AQ132" s="121"/>
      <c r="AR132" s="121"/>
      <c r="AS132" s="121"/>
      <c r="AT132" s="121"/>
      <c r="AU132" s="121"/>
      <c r="AV132" s="121"/>
      <c r="AW132" s="121"/>
      <c r="AX132" s="121"/>
      <c r="AY132" s="121"/>
      <c r="AZ132" s="121"/>
      <c r="BA132" s="121"/>
      <c r="BB132" s="121"/>
      <c r="BC132" s="121"/>
      <c r="BD132" s="121"/>
      <c r="BE132" s="121"/>
      <c r="BF132" s="121"/>
      <c r="BG132" s="121"/>
      <c r="BH132" s="121"/>
      <c r="BI132" s="121"/>
      <c r="BJ132" s="121"/>
      <c r="BK132" s="121"/>
      <c r="BL132" s="121"/>
      <c r="BM132" s="121"/>
      <c r="BN132" s="121"/>
      <c r="BO132" s="121"/>
      <c r="BP132" s="121"/>
      <c r="BQ132" s="121"/>
      <c r="BR132" s="121"/>
      <c r="BS132" s="121"/>
      <c r="BT132" s="121"/>
      <c r="BU132" s="121"/>
    </row>
    <row r="133" spans="1:73" x14ac:dyDescent="0.15">
      <c r="A133" s="109"/>
      <c r="B133" s="109"/>
      <c r="C133" s="12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0"/>
      <c r="AK133" s="90"/>
      <c r="AL133" s="90"/>
      <c r="AM133" s="121"/>
      <c r="AN133" s="121"/>
      <c r="AO133" s="121"/>
      <c r="AP133" s="121"/>
      <c r="AQ133" s="121"/>
      <c r="AR133" s="121"/>
      <c r="AS133" s="121"/>
      <c r="AT133" s="121"/>
      <c r="AU133" s="121"/>
      <c r="AV133" s="121"/>
      <c r="AW133" s="121"/>
      <c r="AX133" s="121"/>
      <c r="AY133" s="121"/>
      <c r="AZ133" s="121"/>
      <c r="BA133" s="121"/>
      <c r="BB133" s="121"/>
      <c r="BC133" s="121"/>
      <c r="BD133" s="121"/>
      <c r="BE133" s="121"/>
      <c r="BF133" s="121"/>
      <c r="BG133" s="121"/>
      <c r="BH133" s="121"/>
      <c r="BI133" s="121"/>
      <c r="BJ133" s="121"/>
      <c r="BK133" s="121"/>
      <c r="BL133" s="121"/>
      <c r="BM133" s="121"/>
      <c r="BN133" s="121"/>
      <c r="BO133" s="121"/>
      <c r="BP133" s="121"/>
      <c r="BQ133" s="121"/>
      <c r="BR133" s="121"/>
      <c r="BS133" s="121"/>
      <c r="BT133" s="121"/>
      <c r="BU133" s="121"/>
    </row>
    <row r="134" spans="1:73" x14ac:dyDescent="0.15">
      <c r="A134" s="109"/>
      <c r="B134" s="109"/>
      <c r="C134" s="12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0"/>
      <c r="AK134" s="90"/>
      <c r="AL134" s="90"/>
      <c r="AM134" s="121"/>
      <c r="AN134" s="121"/>
      <c r="AO134" s="121"/>
      <c r="AP134" s="121"/>
      <c r="AQ134" s="121"/>
      <c r="AR134" s="121"/>
      <c r="AS134" s="121"/>
      <c r="AT134" s="121"/>
      <c r="AU134" s="121"/>
      <c r="AV134" s="121"/>
      <c r="AW134" s="121"/>
      <c r="AX134" s="121"/>
      <c r="AY134" s="121"/>
      <c r="AZ134" s="121"/>
      <c r="BA134" s="121"/>
      <c r="BB134" s="121"/>
      <c r="BC134" s="121"/>
      <c r="BD134" s="121"/>
      <c r="BE134" s="121"/>
      <c r="BF134" s="121"/>
      <c r="BG134" s="121"/>
      <c r="BH134" s="121"/>
      <c r="BI134" s="121"/>
      <c r="BJ134" s="121"/>
      <c r="BK134" s="121"/>
      <c r="BL134" s="121"/>
      <c r="BM134" s="121"/>
      <c r="BN134" s="121"/>
      <c r="BO134" s="121"/>
      <c r="BP134" s="121"/>
      <c r="BQ134" s="121"/>
      <c r="BR134" s="121"/>
      <c r="BS134" s="121"/>
      <c r="BT134" s="121"/>
      <c r="BU134" s="121"/>
    </row>
    <row r="135" spans="1:73" x14ac:dyDescent="0.15">
      <c r="A135" s="109"/>
      <c r="B135" s="109"/>
      <c r="C135" s="12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0"/>
      <c r="AK135" s="90"/>
      <c r="AL135" s="90"/>
      <c r="AM135" s="121"/>
      <c r="AN135" s="121"/>
      <c r="AO135" s="121"/>
      <c r="AP135" s="121"/>
      <c r="AQ135" s="121"/>
      <c r="AR135" s="121"/>
      <c r="AS135" s="121"/>
      <c r="AT135" s="121"/>
      <c r="AU135" s="121"/>
      <c r="AV135" s="121"/>
      <c r="AW135" s="121"/>
      <c r="AX135" s="121"/>
      <c r="AY135" s="121"/>
      <c r="AZ135" s="121"/>
      <c r="BA135" s="121"/>
      <c r="BB135" s="121"/>
      <c r="BC135" s="121"/>
      <c r="BD135" s="121"/>
      <c r="BE135" s="121"/>
      <c r="BF135" s="121"/>
      <c r="BG135" s="121"/>
      <c r="BH135" s="121"/>
      <c r="BI135" s="121"/>
      <c r="BJ135" s="121"/>
      <c r="BK135" s="121"/>
      <c r="BL135" s="121"/>
      <c r="BM135" s="121"/>
      <c r="BN135" s="121"/>
      <c r="BO135" s="121"/>
      <c r="BP135" s="121"/>
      <c r="BQ135" s="121"/>
      <c r="BR135" s="121"/>
      <c r="BS135" s="121"/>
      <c r="BT135" s="121"/>
      <c r="BU135" s="121"/>
    </row>
    <row r="136" spans="1:73" x14ac:dyDescent="0.15">
      <c r="A136" s="109"/>
      <c r="B136" s="109"/>
      <c r="C136" s="12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0"/>
      <c r="AK136" s="90"/>
      <c r="AL136" s="90"/>
      <c r="AM136" s="121"/>
      <c r="AN136" s="121"/>
      <c r="AO136" s="121"/>
      <c r="AP136" s="121"/>
      <c r="AQ136" s="121"/>
      <c r="AR136" s="121"/>
      <c r="AS136" s="121"/>
      <c r="AT136" s="121"/>
      <c r="AU136" s="121"/>
      <c r="AV136" s="121"/>
      <c r="AW136" s="121"/>
      <c r="AX136" s="121"/>
      <c r="AY136" s="121"/>
      <c r="AZ136" s="121"/>
      <c r="BA136" s="121"/>
      <c r="BB136" s="121"/>
      <c r="BC136" s="121"/>
      <c r="BD136" s="121"/>
      <c r="BE136" s="121"/>
      <c r="BF136" s="121"/>
      <c r="BG136" s="121"/>
      <c r="BH136" s="121"/>
      <c r="BI136" s="121"/>
      <c r="BJ136" s="121"/>
      <c r="BK136" s="121"/>
      <c r="BL136" s="121"/>
      <c r="BM136" s="121"/>
      <c r="BN136" s="121"/>
      <c r="BO136" s="121"/>
      <c r="BP136" s="121"/>
      <c r="BQ136" s="121"/>
      <c r="BR136" s="121"/>
      <c r="BS136" s="121"/>
      <c r="BT136" s="121"/>
      <c r="BU136" s="121"/>
    </row>
    <row r="137" spans="1:73" x14ac:dyDescent="0.15">
      <c r="A137" s="109"/>
      <c r="B137" s="109"/>
      <c r="C137" s="12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0"/>
      <c r="AK137" s="90"/>
      <c r="AL137" s="90"/>
      <c r="AM137" s="121"/>
      <c r="AN137" s="121"/>
      <c r="AO137" s="121"/>
      <c r="AP137" s="121"/>
      <c r="AQ137" s="121"/>
      <c r="AR137" s="121"/>
      <c r="AS137" s="121"/>
      <c r="AT137" s="121"/>
      <c r="AU137" s="121"/>
      <c r="AV137" s="121"/>
      <c r="AW137" s="121"/>
      <c r="AX137" s="121"/>
      <c r="AY137" s="121"/>
      <c r="AZ137" s="121"/>
      <c r="BA137" s="121"/>
      <c r="BB137" s="121"/>
      <c r="BC137" s="121"/>
      <c r="BD137" s="121"/>
      <c r="BE137" s="121"/>
      <c r="BF137" s="121"/>
      <c r="BG137" s="121"/>
      <c r="BH137" s="121"/>
      <c r="BI137" s="121"/>
      <c r="BJ137" s="121"/>
      <c r="BK137" s="121"/>
      <c r="BL137" s="121"/>
      <c r="BM137" s="121"/>
      <c r="BN137" s="121"/>
      <c r="BO137" s="121"/>
      <c r="BP137" s="121"/>
      <c r="BQ137" s="121"/>
      <c r="BR137" s="121"/>
      <c r="BS137" s="121"/>
      <c r="BT137" s="121"/>
      <c r="BU137" s="121"/>
    </row>
    <row r="138" spans="1:73" x14ac:dyDescent="0.15">
      <c r="A138" s="109"/>
      <c r="B138" s="109"/>
      <c r="C138" s="12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0"/>
      <c r="AK138" s="90"/>
      <c r="AL138" s="90"/>
      <c r="AM138" s="121"/>
      <c r="AN138" s="121"/>
      <c r="AO138" s="121"/>
      <c r="AP138" s="121"/>
      <c r="AQ138" s="121"/>
      <c r="AR138" s="121"/>
      <c r="AS138" s="121"/>
      <c r="AT138" s="121"/>
      <c r="AU138" s="121"/>
      <c r="AV138" s="121"/>
      <c r="AW138" s="121"/>
      <c r="AX138" s="121"/>
      <c r="AY138" s="121"/>
      <c r="AZ138" s="121"/>
      <c r="BA138" s="121"/>
      <c r="BB138" s="121"/>
      <c r="BC138" s="121"/>
      <c r="BD138" s="121"/>
      <c r="BE138" s="121"/>
      <c r="BF138" s="121"/>
      <c r="BG138" s="121"/>
      <c r="BH138" s="121"/>
      <c r="BI138" s="121"/>
      <c r="BJ138" s="121"/>
      <c r="BK138" s="121"/>
      <c r="BL138" s="121"/>
      <c r="BM138" s="121"/>
      <c r="BN138" s="121"/>
      <c r="BO138" s="121"/>
      <c r="BP138" s="121"/>
      <c r="BQ138" s="121"/>
      <c r="BR138" s="121"/>
      <c r="BS138" s="121"/>
      <c r="BT138" s="121"/>
      <c r="BU138" s="121"/>
    </row>
    <row r="139" spans="1:73" x14ac:dyDescent="0.15">
      <c r="A139" s="109"/>
      <c r="B139" s="109"/>
      <c r="C139" s="12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0"/>
      <c r="AK139" s="90"/>
      <c r="AL139" s="90"/>
      <c r="AM139" s="121"/>
      <c r="AN139" s="121"/>
      <c r="AO139" s="121"/>
      <c r="AP139" s="121"/>
      <c r="AQ139" s="121"/>
      <c r="AR139" s="121"/>
      <c r="AS139" s="121"/>
      <c r="AT139" s="121"/>
      <c r="AU139" s="121"/>
      <c r="AV139" s="121"/>
      <c r="AW139" s="121"/>
      <c r="AX139" s="121"/>
      <c r="AY139" s="121"/>
      <c r="AZ139" s="121"/>
      <c r="BA139" s="121"/>
      <c r="BB139" s="121"/>
      <c r="BC139" s="121"/>
      <c r="BD139" s="121"/>
      <c r="BE139" s="121"/>
      <c r="BF139" s="121"/>
      <c r="BG139" s="121"/>
      <c r="BH139" s="121"/>
      <c r="BI139" s="121"/>
      <c r="BJ139" s="121"/>
      <c r="BK139" s="121"/>
      <c r="BL139" s="121"/>
      <c r="BM139" s="121"/>
      <c r="BN139" s="121"/>
      <c r="BO139" s="121"/>
      <c r="BP139" s="121"/>
      <c r="BQ139" s="121"/>
      <c r="BR139" s="121"/>
      <c r="BS139" s="121"/>
      <c r="BT139" s="121"/>
      <c r="BU139" s="121"/>
    </row>
    <row r="140" spans="1:73" x14ac:dyDescent="0.15">
      <c r="A140" s="109"/>
      <c r="B140" s="109"/>
      <c r="C140" s="12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0"/>
      <c r="AK140" s="90"/>
      <c r="AL140" s="90"/>
      <c r="AM140" s="121"/>
      <c r="AN140" s="121"/>
      <c r="AO140" s="121"/>
      <c r="AP140" s="121"/>
      <c r="AQ140" s="121"/>
      <c r="AR140" s="121"/>
      <c r="AS140" s="121"/>
      <c r="AT140" s="121"/>
      <c r="AU140" s="121"/>
      <c r="AV140" s="121"/>
      <c r="AW140" s="121"/>
      <c r="AX140" s="121"/>
      <c r="AY140" s="121"/>
      <c r="AZ140" s="121"/>
      <c r="BA140" s="121"/>
      <c r="BB140" s="121"/>
      <c r="BC140" s="121"/>
      <c r="BD140" s="121"/>
      <c r="BE140" s="121"/>
      <c r="BF140" s="121"/>
      <c r="BG140" s="121"/>
      <c r="BH140" s="121"/>
      <c r="BI140" s="121"/>
      <c r="BJ140" s="121"/>
      <c r="BK140" s="121"/>
      <c r="BL140" s="121"/>
      <c r="BM140" s="121"/>
      <c r="BN140" s="121"/>
      <c r="BO140" s="121"/>
      <c r="BP140" s="121"/>
      <c r="BQ140" s="121"/>
      <c r="BR140" s="121"/>
      <c r="BS140" s="121"/>
      <c r="BT140" s="121"/>
      <c r="BU140" s="121"/>
    </row>
    <row r="141" spans="1:73" x14ac:dyDescent="0.15">
      <c r="A141" s="109"/>
      <c r="B141" s="109"/>
      <c r="C141" s="12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0"/>
      <c r="AK141" s="90"/>
      <c r="AL141" s="90"/>
      <c r="AM141" s="121"/>
      <c r="AN141" s="121"/>
      <c r="AO141" s="121"/>
      <c r="AP141" s="121"/>
      <c r="AQ141" s="121"/>
      <c r="AR141" s="121"/>
      <c r="AS141" s="121"/>
      <c r="AT141" s="121"/>
      <c r="AU141" s="121"/>
      <c r="AV141" s="121"/>
      <c r="AW141" s="121"/>
      <c r="AX141" s="121"/>
      <c r="AY141" s="121"/>
      <c r="AZ141" s="121"/>
      <c r="BA141" s="121"/>
      <c r="BB141" s="121"/>
      <c r="BC141" s="121"/>
      <c r="BD141" s="121"/>
      <c r="BE141" s="121"/>
      <c r="BF141" s="121"/>
      <c r="BG141" s="121"/>
      <c r="BH141" s="121"/>
      <c r="BI141" s="121"/>
      <c r="BJ141" s="121"/>
      <c r="BK141" s="121"/>
      <c r="BL141" s="121"/>
      <c r="BM141" s="121"/>
      <c r="BN141" s="121"/>
      <c r="BO141" s="121"/>
      <c r="BP141" s="121"/>
      <c r="BQ141" s="121"/>
      <c r="BR141" s="121"/>
      <c r="BS141" s="121"/>
      <c r="BT141" s="121"/>
      <c r="BU141" s="121"/>
    </row>
    <row r="142" spans="1:73" x14ac:dyDescent="0.15">
      <c r="A142" s="109"/>
      <c r="B142" s="109"/>
      <c r="C142" s="12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0"/>
      <c r="AK142" s="90"/>
      <c r="AL142" s="90"/>
      <c r="AM142" s="121"/>
      <c r="AN142" s="121"/>
      <c r="AO142" s="121"/>
      <c r="AP142" s="121"/>
      <c r="AQ142" s="121"/>
      <c r="AR142" s="121"/>
      <c r="AS142" s="121"/>
      <c r="AT142" s="121"/>
      <c r="AU142" s="121"/>
      <c r="AV142" s="121"/>
      <c r="AW142" s="121"/>
      <c r="AX142" s="121"/>
      <c r="AY142" s="121"/>
      <c r="AZ142" s="121"/>
      <c r="BA142" s="121"/>
      <c r="BB142" s="121"/>
      <c r="BC142" s="121"/>
      <c r="BD142" s="121"/>
      <c r="BE142" s="121"/>
      <c r="BF142" s="121"/>
      <c r="BG142" s="121"/>
      <c r="BH142" s="121"/>
      <c r="BI142" s="121"/>
      <c r="BJ142" s="121"/>
      <c r="BK142" s="121"/>
      <c r="BL142" s="121"/>
      <c r="BM142" s="121"/>
      <c r="BN142" s="121"/>
      <c r="BO142" s="121"/>
      <c r="BP142" s="121"/>
      <c r="BQ142" s="121"/>
      <c r="BR142" s="121"/>
      <c r="BS142" s="121"/>
      <c r="BT142" s="121"/>
      <c r="BU142" s="121"/>
    </row>
    <row r="143" spans="1:73" x14ac:dyDescent="0.15">
      <c r="A143" s="109"/>
      <c r="B143" s="109"/>
      <c r="C143" s="12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0"/>
      <c r="AK143" s="90"/>
      <c r="AL143" s="90"/>
      <c r="AM143" s="121"/>
      <c r="AN143" s="121"/>
      <c r="AO143" s="121"/>
      <c r="AP143" s="121"/>
      <c r="AQ143" s="121"/>
      <c r="AR143" s="121"/>
      <c r="AS143" s="121"/>
      <c r="AT143" s="121"/>
      <c r="AU143" s="121"/>
      <c r="AV143" s="121"/>
      <c r="AW143" s="121"/>
      <c r="AX143" s="121"/>
      <c r="AY143" s="121"/>
      <c r="AZ143" s="121"/>
      <c r="BA143" s="121"/>
      <c r="BB143" s="121"/>
      <c r="BC143" s="121"/>
      <c r="BD143" s="121"/>
      <c r="BE143" s="121"/>
      <c r="BF143" s="121"/>
      <c r="BG143" s="121"/>
      <c r="BH143" s="121"/>
      <c r="BI143" s="121"/>
      <c r="BJ143" s="121"/>
      <c r="BK143" s="121"/>
      <c r="BL143" s="121"/>
      <c r="BM143" s="121"/>
      <c r="BN143" s="121"/>
      <c r="BO143" s="121"/>
      <c r="BP143" s="121"/>
      <c r="BQ143" s="121"/>
      <c r="BR143" s="121"/>
      <c r="BS143" s="121"/>
      <c r="BT143" s="121"/>
      <c r="BU143" s="121"/>
    </row>
    <row r="144" spans="1:73" x14ac:dyDescent="0.15">
      <c r="A144" s="109"/>
      <c r="B144" s="109"/>
      <c r="C144" s="12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0"/>
      <c r="AK144" s="90"/>
      <c r="AL144" s="90"/>
      <c r="AM144" s="121"/>
      <c r="AN144" s="121"/>
      <c r="AO144" s="121"/>
      <c r="AP144" s="121"/>
      <c r="AQ144" s="121"/>
      <c r="AR144" s="121"/>
      <c r="AS144" s="121"/>
      <c r="AT144" s="121"/>
      <c r="AU144" s="121"/>
      <c r="AV144" s="121"/>
      <c r="AW144" s="121"/>
      <c r="AX144" s="121"/>
      <c r="AY144" s="121"/>
      <c r="AZ144" s="121"/>
      <c r="BA144" s="121"/>
      <c r="BB144" s="121"/>
      <c r="BC144" s="121"/>
      <c r="BD144" s="121"/>
      <c r="BE144" s="121"/>
      <c r="BF144" s="121"/>
      <c r="BG144" s="121"/>
      <c r="BH144" s="121"/>
      <c r="BI144" s="121"/>
      <c r="BJ144" s="121"/>
      <c r="BK144" s="121"/>
      <c r="BL144" s="121"/>
      <c r="BM144" s="121"/>
      <c r="BN144" s="121"/>
      <c r="BO144" s="121"/>
      <c r="BP144" s="121"/>
      <c r="BQ144" s="121"/>
      <c r="BR144" s="121"/>
      <c r="BS144" s="121"/>
      <c r="BT144" s="121"/>
      <c r="BU144" s="121"/>
    </row>
    <row r="145" spans="1:73" x14ac:dyDescent="0.15">
      <c r="A145" s="109"/>
      <c r="B145" s="109"/>
      <c r="C145" s="12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0"/>
      <c r="AK145" s="90"/>
      <c r="AL145" s="90"/>
      <c r="AM145" s="121"/>
      <c r="AN145" s="121"/>
      <c r="AO145" s="121"/>
      <c r="AP145" s="121"/>
      <c r="AQ145" s="121"/>
      <c r="AR145" s="121"/>
      <c r="AS145" s="121"/>
      <c r="AT145" s="121"/>
      <c r="AU145" s="121"/>
      <c r="AV145" s="121"/>
      <c r="AW145" s="121"/>
      <c r="AX145" s="121"/>
      <c r="AY145" s="121"/>
      <c r="AZ145" s="121"/>
      <c r="BA145" s="121"/>
      <c r="BB145" s="121"/>
      <c r="BC145" s="121"/>
      <c r="BD145" s="121"/>
      <c r="BE145" s="121"/>
      <c r="BF145" s="121"/>
      <c r="BG145" s="121"/>
      <c r="BH145" s="121"/>
      <c r="BI145" s="121"/>
      <c r="BJ145" s="121"/>
      <c r="BK145" s="121"/>
      <c r="BL145" s="121"/>
      <c r="BM145" s="121"/>
      <c r="BN145" s="121"/>
      <c r="BO145" s="121"/>
      <c r="BP145" s="121"/>
      <c r="BQ145" s="121"/>
      <c r="BR145" s="121"/>
      <c r="BS145" s="121"/>
      <c r="BT145" s="121"/>
      <c r="BU145" s="121"/>
    </row>
    <row r="146" spans="1:73" x14ac:dyDescent="0.15">
      <c r="A146" s="109"/>
      <c r="B146" s="109"/>
      <c r="C146" s="12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0"/>
      <c r="AK146" s="90"/>
      <c r="AL146" s="90"/>
      <c r="AM146" s="121"/>
      <c r="AN146" s="121"/>
      <c r="AO146" s="121"/>
      <c r="AP146" s="121"/>
      <c r="AQ146" s="121"/>
      <c r="AR146" s="121"/>
      <c r="AS146" s="121"/>
      <c r="AT146" s="121"/>
      <c r="AU146" s="121"/>
      <c r="AV146" s="121"/>
      <c r="AW146" s="121"/>
      <c r="AX146" s="121"/>
      <c r="AY146" s="121"/>
      <c r="AZ146" s="121"/>
      <c r="BA146" s="121"/>
      <c r="BB146" s="121"/>
      <c r="BC146" s="121"/>
      <c r="BD146" s="121"/>
      <c r="BE146" s="121"/>
      <c r="BF146" s="121"/>
      <c r="BG146" s="121"/>
      <c r="BH146" s="121"/>
      <c r="BI146" s="121"/>
      <c r="BJ146" s="121"/>
      <c r="BK146" s="121"/>
      <c r="BL146" s="121"/>
      <c r="BM146" s="121"/>
      <c r="BN146" s="121"/>
      <c r="BO146" s="121"/>
      <c r="BP146" s="121"/>
      <c r="BQ146" s="121"/>
      <c r="BR146" s="121"/>
      <c r="BS146" s="121"/>
      <c r="BT146" s="121"/>
      <c r="BU146" s="121"/>
    </row>
    <row r="147" spans="1:73" x14ac:dyDescent="0.15">
      <c r="A147" s="109"/>
      <c r="B147" s="109"/>
      <c r="C147" s="12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0"/>
      <c r="AK147" s="90"/>
      <c r="AL147" s="90"/>
      <c r="AM147" s="121"/>
      <c r="AN147" s="121"/>
      <c r="AO147" s="121"/>
      <c r="AP147" s="121"/>
      <c r="AQ147" s="121"/>
      <c r="AR147" s="121"/>
      <c r="AS147" s="121"/>
      <c r="AT147" s="121"/>
      <c r="AU147" s="121"/>
      <c r="AV147" s="121"/>
      <c r="AW147" s="121"/>
      <c r="AX147" s="121"/>
      <c r="AY147" s="121"/>
      <c r="AZ147" s="121"/>
      <c r="BA147" s="121"/>
      <c r="BB147" s="121"/>
      <c r="BC147" s="121"/>
      <c r="BD147" s="121"/>
      <c r="BE147" s="121"/>
      <c r="BF147" s="121"/>
      <c r="BG147" s="121"/>
      <c r="BH147" s="121"/>
      <c r="BI147" s="121"/>
      <c r="BJ147" s="121"/>
      <c r="BK147" s="121"/>
      <c r="BL147" s="121"/>
      <c r="BM147" s="121"/>
      <c r="BN147" s="121"/>
      <c r="BO147" s="121"/>
      <c r="BP147" s="121"/>
      <c r="BQ147" s="121"/>
      <c r="BR147" s="121"/>
      <c r="BS147" s="121"/>
      <c r="BT147" s="121"/>
      <c r="BU147" s="121"/>
    </row>
    <row r="148" spans="1:73" x14ac:dyDescent="0.15">
      <c r="A148" s="109"/>
      <c r="B148" s="109"/>
      <c r="C148" s="12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0"/>
      <c r="AK148" s="90"/>
      <c r="AL148" s="90"/>
      <c r="AM148" s="121"/>
      <c r="AN148" s="121"/>
      <c r="AO148" s="121"/>
      <c r="AP148" s="121"/>
      <c r="AQ148" s="121"/>
      <c r="AR148" s="121"/>
      <c r="AS148" s="121"/>
      <c r="AT148" s="121"/>
      <c r="AU148" s="121"/>
      <c r="AV148" s="121"/>
      <c r="AW148" s="121"/>
      <c r="AX148" s="121"/>
      <c r="AY148" s="121"/>
      <c r="AZ148" s="121"/>
      <c r="BA148" s="121"/>
      <c r="BB148" s="121"/>
      <c r="BC148" s="121"/>
      <c r="BD148" s="121"/>
      <c r="BE148" s="121"/>
      <c r="BF148" s="121"/>
      <c r="BG148" s="121"/>
      <c r="BH148" s="121"/>
      <c r="BI148" s="121"/>
      <c r="BJ148" s="121"/>
      <c r="BK148" s="121"/>
      <c r="BL148" s="121"/>
      <c r="BM148" s="121"/>
      <c r="BN148" s="121"/>
      <c r="BO148" s="121"/>
      <c r="BP148" s="121"/>
      <c r="BQ148" s="121"/>
      <c r="BR148" s="121"/>
      <c r="BS148" s="121"/>
      <c r="BT148" s="121"/>
      <c r="BU148" s="121"/>
    </row>
    <row r="149" spans="1:73" x14ac:dyDescent="0.15">
      <c r="A149" s="109"/>
      <c r="B149" s="109"/>
      <c r="C149" s="12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0"/>
      <c r="AK149" s="90"/>
      <c r="AL149" s="90"/>
      <c r="AM149" s="121"/>
      <c r="AN149" s="121"/>
      <c r="AO149" s="121"/>
      <c r="AP149" s="121"/>
      <c r="AQ149" s="121"/>
      <c r="AR149" s="121"/>
      <c r="AS149" s="121"/>
      <c r="AT149" s="121"/>
      <c r="AU149" s="121"/>
      <c r="AV149" s="121"/>
      <c r="AW149" s="121"/>
      <c r="AX149" s="121"/>
      <c r="AY149" s="121"/>
      <c r="AZ149" s="121"/>
      <c r="BA149" s="121"/>
      <c r="BB149" s="121"/>
      <c r="BC149" s="121"/>
      <c r="BD149" s="121"/>
      <c r="BE149" s="121"/>
      <c r="BF149" s="121"/>
      <c r="BG149" s="121"/>
      <c r="BH149" s="121"/>
      <c r="BI149" s="121"/>
      <c r="BJ149" s="121"/>
      <c r="BK149" s="121"/>
      <c r="BL149" s="121"/>
      <c r="BM149" s="121"/>
      <c r="BN149" s="121"/>
      <c r="BO149" s="121"/>
      <c r="BP149" s="121"/>
      <c r="BQ149" s="121"/>
      <c r="BR149" s="121"/>
      <c r="BS149" s="121"/>
      <c r="BT149" s="121"/>
      <c r="BU149" s="121"/>
    </row>
    <row r="150" spans="1:73" x14ac:dyDescent="0.15">
      <c r="A150" s="109"/>
      <c r="B150" s="109"/>
      <c r="C150" s="12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0"/>
      <c r="AK150" s="90"/>
      <c r="AL150" s="90"/>
      <c r="AM150" s="121"/>
      <c r="AN150" s="121"/>
      <c r="AO150" s="121"/>
      <c r="AP150" s="121"/>
      <c r="AQ150" s="121"/>
      <c r="AR150" s="121"/>
      <c r="AS150" s="121"/>
      <c r="AT150" s="121"/>
      <c r="AU150" s="121"/>
      <c r="AV150" s="121"/>
      <c r="AW150" s="121"/>
      <c r="AX150" s="121"/>
      <c r="AY150" s="121"/>
      <c r="AZ150" s="121"/>
      <c r="BA150" s="121"/>
      <c r="BB150" s="121"/>
      <c r="BC150" s="121"/>
      <c r="BD150" s="121"/>
      <c r="BE150" s="121"/>
      <c r="BF150" s="121"/>
      <c r="BG150" s="121"/>
      <c r="BH150" s="121"/>
      <c r="BI150" s="121"/>
      <c r="BJ150" s="121"/>
      <c r="BK150" s="121"/>
      <c r="BL150" s="121"/>
      <c r="BM150" s="121"/>
      <c r="BN150" s="121"/>
      <c r="BO150" s="121"/>
      <c r="BP150" s="121"/>
      <c r="BQ150" s="121"/>
      <c r="BR150" s="121"/>
      <c r="BS150" s="121"/>
      <c r="BT150" s="121"/>
      <c r="BU150" s="121"/>
    </row>
    <row r="151" spans="1:73" x14ac:dyDescent="0.15">
      <c r="A151" s="109"/>
      <c r="B151" s="109"/>
      <c r="C151" s="12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0"/>
      <c r="AK151" s="90"/>
      <c r="AL151" s="90"/>
      <c r="AM151" s="121"/>
      <c r="AN151" s="121"/>
      <c r="AO151" s="121"/>
      <c r="AP151" s="121"/>
      <c r="AQ151" s="121"/>
      <c r="AR151" s="121"/>
      <c r="AS151" s="121"/>
      <c r="AT151" s="121"/>
      <c r="AU151" s="121"/>
      <c r="AV151" s="121"/>
      <c r="AW151" s="121"/>
      <c r="AX151" s="121"/>
      <c r="AY151" s="121"/>
      <c r="AZ151" s="121"/>
      <c r="BA151" s="121"/>
      <c r="BB151" s="121"/>
      <c r="BC151" s="121"/>
      <c r="BD151" s="121"/>
      <c r="BE151" s="121"/>
      <c r="BF151" s="121"/>
      <c r="BG151" s="121"/>
      <c r="BH151" s="121"/>
      <c r="BI151" s="121"/>
      <c r="BJ151" s="121"/>
      <c r="BK151" s="121"/>
      <c r="BL151" s="121"/>
      <c r="BM151" s="121"/>
      <c r="BN151" s="121"/>
      <c r="BO151" s="121"/>
      <c r="BP151" s="121"/>
      <c r="BQ151" s="121"/>
      <c r="BR151" s="121"/>
      <c r="BS151" s="121"/>
      <c r="BT151" s="121"/>
      <c r="BU151" s="121"/>
    </row>
    <row r="152" spans="1:73" x14ac:dyDescent="0.15">
      <c r="A152" s="109"/>
      <c r="B152" s="109"/>
      <c r="C152" s="12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0"/>
      <c r="AK152" s="90"/>
      <c r="AL152" s="90"/>
      <c r="AM152" s="121"/>
      <c r="AN152" s="121"/>
      <c r="AO152" s="121"/>
      <c r="AP152" s="121"/>
      <c r="AQ152" s="121"/>
      <c r="AR152" s="121"/>
      <c r="AS152" s="121"/>
      <c r="AT152" s="121"/>
      <c r="AU152" s="121"/>
      <c r="AV152" s="121"/>
      <c r="AW152" s="121"/>
      <c r="AX152" s="121"/>
      <c r="AY152" s="121"/>
      <c r="AZ152" s="121"/>
      <c r="BA152" s="121"/>
      <c r="BB152" s="121"/>
      <c r="BC152" s="121"/>
      <c r="BD152" s="121"/>
      <c r="BE152" s="121"/>
      <c r="BF152" s="121"/>
      <c r="BG152" s="121"/>
      <c r="BH152" s="121"/>
      <c r="BI152" s="121"/>
      <c r="BJ152" s="121"/>
      <c r="BK152" s="121"/>
      <c r="BL152" s="121"/>
      <c r="BM152" s="121"/>
      <c r="BN152" s="121"/>
      <c r="BO152" s="121"/>
      <c r="BP152" s="121"/>
      <c r="BQ152" s="121"/>
      <c r="BR152" s="121"/>
      <c r="BS152" s="121"/>
      <c r="BT152" s="121"/>
      <c r="BU152" s="121"/>
    </row>
    <row r="153" spans="1:73" x14ac:dyDescent="0.15">
      <c r="A153" s="109"/>
      <c r="B153" s="109"/>
      <c r="C153" s="12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0"/>
      <c r="AK153" s="90"/>
      <c r="AL153" s="90"/>
      <c r="AM153" s="121"/>
      <c r="AN153" s="121"/>
      <c r="AO153" s="121"/>
      <c r="AP153" s="121"/>
      <c r="AQ153" s="121"/>
      <c r="AR153" s="121"/>
      <c r="AS153" s="121"/>
      <c r="AT153" s="121"/>
      <c r="AU153" s="121"/>
      <c r="AV153" s="121"/>
      <c r="AW153" s="121"/>
      <c r="AX153" s="121"/>
      <c r="AY153" s="121"/>
      <c r="AZ153" s="121"/>
      <c r="BA153" s="121"/>
      <c r="BB153" s="121"/>
      <c r="BC153" s="121"/>
      <c r="BD153" s="121"/>
      <c r="BE153" s="121"/>
      <c r="BF153" s="121"/>
      <c r="BG153" s="121"/>
      <c r="BH153" s="121"/>
      <c r="BI153" s="121"/>
      <c r="BJ153" s="121"/>
      <c r="BK153" s="121"/>
      <c r="BL153" s="121"/>
      <c r="BM153" s="121"/>
      <c r="BN153" s="121"/>
      <c r="BO153" s="121"/>
      <c r="BP153" s="121"/>
      <c r="BQ153" s="121"/>
      <c r="BR153" s="121"/>
      <c r="BS153" s="121"/>
      <c r="BT153" s="121"/>
      <c r="BU153" s="121"/>
    </row>
    <row r="154" spans="1:73" x14ac:dyDescent="0.15">
      <c r="A154" s="109"/>
      <c r="B154" s="109"/>
      <c r="C154" s="12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0"/>
      <c r="AK154" s="90"/>
      <c r="AL154" s="90"/>
      <c r="AM154" s="121"/>
      <c r="AN154" s="121"/>
      <c r="AO154" s="121"/>
      <c r="AP154" s="121"/>
      <c r="AQ154" s="121"/>
      <c r="AR154" s="121"/>
      <c r="AS154" s="121"/>
      <c r="AT154" s="121"/>
      <c r="AU154" s="121"/>
      <c r="AV154" s="121"/>
      <c r="AW154" s="121"/>
      <c r="AX154" s="121"/>
      <c r="AY154" s="121"/>
      <c r="AZ154" s="121"/>
      <c r="BA154" s="121"/>
      <c r="BB154" s="121"/>
      <c r="BC154" s="121"/>
      <c r="BD154" s="121"/>
      <c r="BE154" s="121"/>
      <c r="BF154" s="121"/>
      <c r="BG154" s="121"/>
      <c r="BH154" s="121"/>
      <c r="BI154" s="121"/>
      <c r="BJ154" s="121"/>
      <c r="BK154" s="121"/>
      <c r="BL154" s="121"/>
      <c r="BM154" s="121"/>
      <c r="BN154" s="121"/>
      <c r="BO154" s="121"/>
      <c r="BP154" s="121"/>
      <c r="BQ154" s="121"/>
      <c r="BR154" s="121"/>
      <c r="BS154" s="121"/>
      <c r="BT154" s="121"/>
      <c r="BU154" s="121"/>
    </row>
    <row r="155" spans="1:73" x14ac:dyDescent="0.15">
      <c r="A155" s="109"/>
      <c r="B155" s="109"/>
      <c r="C155" s="12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0"/>
      <c r="AK155" s="90"/>
      <c r="AL155" s="90"/>
      <c r="AM155" s="121"/>
      <c r="AN155" s="121"/>
      <c r="AO155" s="121"/>
      <c r="AP155" s="121"/>
      <c r="AQ155" s="121"/>
      <c r="AR155" s="121"/>
      <c r="AS155" s="121"/>
      <c r="AT155" s="121"/>
      <c r="AU155" s="121"/>
      <c r="AV155" s="121"/>
      <c r="AW155" s="121"/>
      <c r="AX155" s="121"/>
      <c r="AY155" s="121"/>
      <c r="AZ155" s="121"/>
      <c r="BA155" s="121"/>
      <c r="BB155" s="121"/>
      <c r="BC155" s="121"/>
      <c r="BD155" s="121"/>
      <c r="BE155" s="121"/>
      <c r="BF155" s="121"/>
      <c r="BG155" s="121"/>
      <c r="BH155" s="121"/>
      <c r="BI155" s="121"/>
      <c r="BJ155" s="121"/>
      <c r="BK155" s="121"/>
      <c r="BL155" s="121"/>
      <c r="BM155" s="121"/>
      <c r="BN155" s="121"/>
      <c r="BO155" s="121"/>
      <c r="BP155" s="121"/>
      <c r="BQ155" s="121"/>
      <c r="BR155" s="121"/>
      <c r="BS155" s="121"/>
      <c r="BT155" s="121"/>
      <c r="BU155" s="121"/>
    </row>
    <row r="156" spans="1:73" x14ac:dyDescent="0.15">
      <c r="A156" s="109"/>
      <c r="B156" s="109"/>
      <c r="C156" s="12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0"/>
      <c r="AK156" s="90"/>
      <c r="AL156" s="90"/>
      <c r="AM156" s="121"/>
      <c r="AN156" s="121"/>
      <c r="AO156" s="121"/>
      <c r="AP156" s="121"/>
      <c r="AQ156" s="121"/>
      <c r="AR156" s="121"/>
      <c r="AS156" s="121"/>
      <c r="AT156" s="121"/>
      <c r="AU156" s="121"/>
      <c r="AV156" s="121"/>
      <c r="AW156" s="121"/>
      <c r="AX156" s="121"/>
      <c r="AY156" s="121"/>
      <c r="AZ156" s="121"/>
      <c r="BA156" s="121"/>
      <c r="BB156" s="121"/>
      <c r="BC156" s="121"/>
      <c r="BD156" s="121"/>
      <c r="BE156" s="121"/>
      <c r="BF156" s="121"/>
      <c r="BG156" s="121"/>
      <c r="BH156" s="121"/>
      <c r="BI156" s="121"/>
      <c r="BJ156" s="121"/>
      <c r="BK156" s="121"/>
      <c r="BL156" s="121"/>
      <c r="BM156" s="121"/>
      <c r="BN156" s="121"/>
      <c r="BO156" s="121"/>
      <c r="BP156" s="121"/>
      <c r="BQ156" s="121"/>
      <c r="BR156" s="121"/>
      <c r="BS156" s="121"/>
      <c r="BT156" s="121"/>
      <c r="BU156" s="121"/>
    </row>
    <row r="157" spans="1:73" x14ac:dyDescent="0.15">
      <c r="A157" s="109"/>
      <c r="B157" s="109"/>
      <c r="C157" s="12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121"/>
      <c r="AN157" s="121"/>
      <c r="AO157" s="121"/>
      <c r="AP157" s="121"/>
      <c r="AQ157" s="121"/>
      <c r="AR157" s="121"/>
      <c r="AS157" s="121"/>
      <c r="AT157" s="121"/>
      <c r="AU157" s="121"/>
      <c r="AV157" s="121"/>
      <c r="AW157" s="121"/>
      <c r="AX157" s="121"/>
      <c r="AY157" s="121"/>
      <c r="AZ157" s="121"/>
      <c r="BA157" s="121"/>
      <c r="BB157" s="121"/>
      <c r="BC157" s="121"/>
      <c r="BD157" s="121"/>
      <c r="BE157" s="121"/>
      <c r="BF157" s="121"/>
      <c r="BG157" s="121"/>
      <c r="BH157" s="121"/>
      <c r="BI157" s="121"/>
      <c r="BJ157" s="121"/>
      <c r="BK157" s="121"/>
      <c r="BL157" s="121"/>
      <c r="BM157" s="121"/>
      <c r="BN157" s="121"/>
      <c r="BO157" s="121"/>
      <c r="BP157" s="121"/>
      <c r="BQ157" s="121"/>
      <c r="BR157" s="121"/>
      <c r="BS157" s="121"/>
      <c r="BT157" s="121"/>
      <c r="BU157" s="121"/>
    </row>
    <row r="158" spans="1:73" x14ac:dyDescent="0.15">
      <c r="A158" s="109"/>
      <c r="B158" s="109"/>
      <c r="C158" s="12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0"/>
      <c r="AK158" s="90"/>
      <c r="AL158" s="90"/>
      <c r="AM158" s="121"/>
      <c r="AN158" s="121"/>
      <c r="AO158" s="121"/>
      <c r="AP158" s="121"/>
      <c r="AQ158" s="121"/>
      <c r="AR158" s="121"/>
      <c r="AS158" s="121"/>
      <c r="AT158" s="121"/>
      <c r="AU158" s="121"/>
      <c r="AV158" s="121"/>
      <c r="AW158" s="121"/>
      <c r="AX158" s="121"/>
      <c r="AY158" s="121"/>
      <c r="AZ158" s="121"/>
      <c r="BA158" s="121"/>
      <c r="BB158" s="121"/>
      <c r="BC158" s="121"/>
      <c r="BD158" s="121"/>
      <c r="BE158" s="121"/>
      <c r="BF158" s="121"/>
      <c r="BG158" s="121"/>
      <c r="BH158" s="121"/>
      <c r="BI158" s="121"/>
      <c r="BJ158" s="121"/>
      <c r="BK158" s="121"/>
      <c r="BL158" s="121"/>
      <c r="BM158" s="121"/>
      <c r="BN158" s="121"/>
      <c r="BO158" s="121"/>
      <c r="BP158" s="121"/>
      <c r="BQ158" s="121"/>
      <c r="BR158" s="121"/>
      <c r="BS158" s="121"/>
      <c r="BT158" s="121"/>
      <c r="BU158" s="121"/>
    </row>
    <row r="159" spans="1:73" x14ac:dyDescent="0.15">
      <c r="A159" s="109"/>
      <c r="B159" s="109"/>
      <c r="C159" s="12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0"/>
      <c r="AK159" s="90"/>
      <c r="AL159" s="90"/>
      <c r="AM159" s="121"/>
      <c r="AN159" s="121"/>
      <c r="AO159" s="121"/>
      <c r="AP159" s="121"/>
      <c r="AQ159" s="121"/>
      <c r="AR159" s="121"/>
      <c r="AS159" s="121"/>
      <c r="AT159" s="121"/>
      <c r="AU159" s="121"/>
      <c r="AV159" s="121"/>
      <c r="AW159" s="121"/>
      <c r="AX159" s="121"/>
      <c r="AY159" s="121"/>
      <c r="AZ159" s="121"/>
      <c r="BA159" s="121"/>
      <c r="BB159" s="121"/>
      <c r="BC159" s="121"/>
      <c r="BD159" s="121"/>
      <c r="BE159" s="121"/>
      <c r="BF159" s="121"/>
      <c r="BG159" s="121"/>
      <c r="BH159" s="121"/>
      <c r="BI159" s="121"/>
      <c r="BJ159" s="121"/>
      <c r="BK159" s="121"/>
      <c r="BL159" s="121"/>
      <c r="BM159" s="121"/>
      <c r="BN159" s="121"/>
      <c r="BO159" s="121"/>
      <c r="BP159" s="121"/>
      <c r="BQ159" s="121"/>
      <c r="BR159" s="121"/>
      <c r="BS159" s="121"/>
      <c r="BT159" s="121"/>
      <c r="BU159" s="121"/>
    </row>
    <row r="160" spans="1:73" x14ac:dyDescent="0.15">
      <c r="A160" s="109"/>
      <c r="B160" s="109"/>
      <c r="C160" s="12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0"/>
      <c r="AK160" s="90"/>
      <c r="AL160" s="90"/>
      <c r="AM160" s="121"/>
      <c r="AN160" s="121"/>
      <c r="AO160" s="121"/>
      <c r="AP160" s="121"/>
      <c r="AQ160" s="121"/>
      <c r="AR160" s="121"/>
      <c r="AS160" s="121"/>
      <c r="AT160" s="121"/>
      <c r="AU160" s="121"/>
      <c r="AV160" s="121"/>
      <c r="AW160" s="121"/>
      <c r="AX160" s="121"/>
      <c r="AY160" s="121"/>
      <c r="AZ160" s="121"/>
      <c r="BA160" s="121"/>
      <c r="BB160" s="121"/>
      <c r="BC160" s="121"/>
      <c r="BD160" s="121"/>
      <c r="BE160" s="121"/>
      <c r="BF160" s="121"/>
      <c r="BG160" s="121"/>
      <c r="BH160" s="121"/>
      <c r="BI160" s="121"/>
      <c r="BJ160" s="121"/>
      <c r="BK160" s="121"/>
      <c r="BL160" s="121"/>
      <c r="BM160" s="121"/>
      <c r="BN160" s="121"/>
      <c r="BO160" s="121"/>
      <c r="BP160" s="121"/>
      <c r="BQ160" s="121"/>
      <c r="BR160" s="121"/>
      <c r="BS160" s="121"/>
      <c r="BT160" s="121"/>
      <c r="BU160" s="121"/>
    </row>
    <row r="161" spans="1:73" x14ac:dyDescent="0.15">
      <c r="A161" s="109"/>
      <c r="B161" s="109"/>
      <c r="C161" s="12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0"/>
      <c r="AK161" s="90"/>
      <c r="AL161" s="90"/>
      <c r="AM161" s="121"/>
      <c r="AN161" s="121"/>
      <c r="AO161" s="121"/>
      <c r="AP161" s="121"/>
      <c r="AQ161" s="121"/>
      <c r="AR161" s="121"/>
      <c r="AS161" s="121"/>
      <c r="AT161" s="121"/>
      <c r="AU161" s="121"/>
      <c r="AV161" s="121"/>
      <c r="AW161" s="121"/>
      <c r="AX161" s="121"/>
      <c r="AY161" s="121"/>
      <c r="AZ161" s="121"/>
      <c r="BA161" s="121"/>
      <c r="BB161" s="121"/>
      <c r="BC161" s="121"/>
      <c r="BD161" s="121"/>
      <c r="BE161" s="121"/>
      <c r="BF161" s="121"/>
      <c r="BG161" s="121"/>
      <c r="BH161" s="121"/>
      <c r="BI161" s="121"/>
      <c r="BJ161" s="121"/>
      <c r="BK161" s="121"/>
      <c r="BL161" s="121"/>
      <c r="BM161" s="121"/>
      <c r="BN161" s="121"/>
      <c r="BO161" s="121"/>
      <c r="BP161" s="121"/>
      <c r="BQ161" s="121"/>
      <c r="BR161" s="121"/>
      <c r="BS161" s="121"/>
      <c r="BT161" s="121"/>
      <c r="BU161" s="121"/>
    </row>
    <row r="162" spans="1:73" x14ac:dyDescent="0.15">
      <c r="A162" s="109"/>
      <c r="B162" s="109"/>
      <c r="C162" s="12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0"/>
      <c r="AK162" s="90"/>
      <c r="AL162" s="90"/>
      <c r="AM162" s="121"/>
      <c r="AN162" s="121"/>
      <c r="AO162" s="121"/>
      <c r="AP162" s="121"/>
      <c r="AQ162" s="121"/>
      <c r="AR162" s="121"/>
      <c r="AS162" s="121"/>
      <c r="AT162" s="121"/>
      <c r="AU162" s="121"/>
      <c r="AV162" s="121"/>
      <c r="AW162" s="121"/>
      <c r="AX162" s="121"/>
      <c r="AY162" s="121"/>
      <c r="AZ162" s="121"/>
      <c r="BA162" s="121"/>
      <c r="BB162" s="121"/>
      <c r="BC162" s="121"/>
      <c r="BD162" s="121"/>
      <c r="BE162" s="121"/>
      <c r="BF162" s="121"/>
      <c r="BG162" s="121"/>
      <c r="BH162" s="121"/>
      <c r="BI162" s="121"/>
      <c r="BJ162" s="121"/>
      <c r="BK162" s="121"/>
      <c r="BL162" s="121"/>
      <c r="BM162" s="121"/>
      <c r="BN162" s="121"/>
      <c r="BO162" s="121"/>
      <c r="BP162" s="121"/>
      <c r="BQ162" s="121"/>
      <c r="BR162" s="121"/>
      <c r="BS162" s="121"/>
      <c r="BT162" s="121"/>
      <c r="BU162" s="121"/>
    </row>
    <row r="163" spans="1:73" x14ac:dyDescent="0.15">
      <c r="A163" s="109"/>
      <c r="B163" s="109"/>
      <c r="C163" s="12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0"/>
      <c r="AK163" s="90"/>
      <c r="AL163" s="90"/>
      <c r="AM163" s="121"/>
      <c r="AN163" s="121"/>
      <c r="AO163" s="121"/>
      <c r="AP163" s="121"/>
      <c r="AQ163" s="121"/>
      <c r="AR163" s="121"/>
      <c r="AS163" s="121"/>
      <c r="AT163" s="121"/>
      <c r="AU163" s="121"/>
      <c r="AV163" s="121"/>
      <c r="AW163" s="121"/>
      <c r="AX163" s="121"/>
      <c r="AY163" s="121"/>
      <c r="AZ163" s="121"/>
      <c r="BA163" s="121"/>
      <c r="BB163" s="121"/>
      <c r="BC163" s="121"/>
      <c r="BD163" s="121"/>
      <c r="BE163" s="121"/>
      <c r="BF163" s="121"/>
      <c r="BG163" s="121"/>
      <c r="BH163" s="121"/>
      <c r="BI163" s="121"/>
      <c r="BJ163" s="121"/>
      <c r="BK163" s="121"/>
      <c r="BL163" s="121"/>
      <c r="BM163" s="121"/>
      <c r="BN163" s="121"/>
      <c r="BO163" s="121"/>
      <c r="BP163" s="121"/>
      <c r="BQ163" s="121"/>
      <c r="BR163" s="121"/>
      <c r="BS163" s="121"/>
      <c r="BT163" s="121"/>
      <c r="BU163" s="121"/>
    </row>
    <row r="164" spans="1:73" x14ac:dyDescent="0.15">
      <c r="A164" s="109"/>
      <c r="B164" s="109"/>
      <c r="C164" s="12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0"/>
      <c r="AK164" s="90"/>
      <c r="AL164" s="90"/>
      <c r="AM164" s="121"/>
      <c r="AN164" s="121"/>
      <c r="AO164" s="121"/>
      <c r="AP164" s="121"/>
      <c r="AQ164" s="121"/>
      <c r="AR164" s="121"/>
      <c r="AS164" s="121"/>
      <c r="AT164" s="121"/>
      <c r="AU164" s="121"/>
      <c r="AV164" s="121"/>
      <c r="AW164" s="121"/>
      <c r="AX164" s="121"/>
      <c r="AY164" s="121"/>
      <c r="AZ164" s="121"/>
      <c r="BA164" s="121"/>
      <c r="BB164" s="121"/>
      <c r="BC164" s="121"/>
      <c r="BD164" s="121"/>
      <c r="BE164" s="121"/>
      <c r="BF164" s="121"/>
      <c r="BG164" s="121"/>
      <c r="BH164" s="121"/>
      <c r="BI164" s="121"/>
      <c r="BJ164" s="121"/>
      <c r="BK164" s="121"/>
      <c r="BL164" s="121"/>
      <c r="BM164" s="121"/>
      <c r="BN164" s="121"/>
      <c r="BO164" s="121"/>
      <c r="BP164" s="121"/>
      <c r="BQ164" s="121"/>
      <c r="BR164" s="121"/>
      <c r="BS164" s="121"/>
      <c r="BT164" s="121"/>
      <c r="BU164" s="121"/>
    </row>
    <row r="165" spans="1:73" x14ac:dyDescent="0.15">
      <c r="A165" s="109"/>
      <c r="B165" s="109"/>
      <c r="C165" s="12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0"/>
      <c r="AK165" s="90"/>
      <c r="AL165" s="90"/>
      <c r="AM165" s="121"/>
      <c r="AN165" s="121"/>
      <c r="AO165" s="121"/>
      <c r="AP165" s="121"/>
      <c r="AQ165" s="121"/>
      <c r="AR165" s="121"/>
      <c r="AS165" s="121"/>
      <c r="AT165" s="121"/>
      <c r="AU165" s="121"/>
      <c r="AV165" s="121"/>
      <c r="AW165" s="121"/>
      <c r="AX165" s="121"/>
      <c r="AY165" s="121"/>
      <c r="AZ165" s="121"/>
      <c r="BA165" s="121"/>
      <c r="BB165" s="121"/>
      <c r="BC165" s="121"/>
      <c r="BD165" s="121"/>
      <c r="BE165" s="121"/>
      <c r="BF165" s="121"/>
      <c r="BG165" s="121"/>
      <c r="BH165" s="121"/>
      <c r="BI165" s="121"/>
      <c r="BJ165" s="121"/>
      <c r="BK165" s="121"/>
      <c r="BL165" s="121"/>
      <c r="BM165" s="121"/>
      <c r="BN165" s="121"/>
      <c r="BO165" s="121"/>
      <c r="BP165" s="121"/>
      <c r="BQ165" s="121"/>
      <c r="BR165" s="121"/>
      <c r="BS165" s="121"/>
      <c r="BT165" s="121"/>
      <c r="BU165" s="121"/>
    </row>
    <row r="166" spans="1:73" x14ac:dyDescent="0.15">
      <c r="A166" s="109"/>
      <c r="B166" s="109"/>
      <c r="C166" s="12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0"/>
      <c r="AK166" s="90"/>
      <c r="AL166" s="90"/>
      <c r="AM166" s="121"/>
      <c r="AN166" s="121"/>
      <c r="AO166" s="121"/>
      <c r="AP166" s="121"/>
      <c r="AQ166" s="121"/>
      <c r="AR166" s="121"/>
      <c r="AS166" s="121"/>
      <c r="AT166" s="121"/>
      <c r="AU166" s="121"/>
      <c r="AV166" s="121"/>
      <c r="AW166" s="121"/>
      <c r="AX166" s="121"/>
      <c r="AY166" s="121"/>
      <c r="AZ166" s="121"/>
      <c r="BA166" s="121"/>
      <c r="BB166" s="121"/>
      <c r="BC166" s="121"/>
      <c r="BD166" s="121"/>
      <c r="BE166" s="121"/>
      <c r="BF166" s="121"/>
      <c r="BG166" s="121"/>
      <c r="BH166" s="121"/>
      <c r="BI166" s="121"/>
      <c r="BJ166" s="121"/>
      <c r="BK166" s="121"/>
      <c r="BL166" s="121"/>
      <c r="BM166" s="121"/>
      <c r="BN166" s="121"/>
      <c r="BO166" s="121"/>
      <c r="BP166" s="121"/>
      <c r="BQ166" s="121"/>
      <c r="BR166" s="121"/>
      <c r="BS166" s="121"/>
      <c r="BT166" s="121"/>
      <c r="BU166" s="121"/>
    </row>
    <row r="167" spans="1:73" x14ac:dyDescent="0.15">
      <c r="A167" s="109"/>
      <c r="B167" s="109"/>
      <c r="C167" s="12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0"/>
      <c r="AK167" s="90"/>
      <c r="AL167" s="90"/>
      <c r="AM167" s="121"/>
      <c r="AN167" s="121"/>
      <c r="AO167" s="121"/>
      <c r="AP167" s="121"/>
      <c r="AQ167" s="121"/>
      <c r="AR167" s="121"/>
      <c r="AS167" s="121"/>
      <c r="AT167" s="121"/>
      <c r="AU167" s="121"/>
      <c r="AV167" s="121"/>
      <c r="AW167" s="121"/>
      <c r="AX167" s="121"/>
      <c r="AY167" s="121"/>
      <c r="AZ167" s="121"/>
      <c r="BA167" s="121"/>
      <c r="BB167" s="121"/>
      <c r="BC167" s="121"/>
      <c r="BD167" s="121"/>
      <c r="BE167" s="121"/>
      <c r="BF167" s="121"/>
      <c r="BG167" s="121"/>
      <c r="BH167" s="121"/>
      <c r="BI167" s="121"/>
      <c r="BJ167" s="121"/>
      <c r="BK167" s="121"/>
      <c r="BL167" s="121"/>
      <c r="BM167" s="121"/>
      <c r="BN167" s="121"/>
      <c r="BO167" s="121"/>
      <c r="BP167" s="121"/>
      <c r="BQ167" s="121"/>
      <c r="BR167" s="121"/>
      <c r="BS167" s="121"/>
      <c r="BT167" s="121"/>
      <c r="BU167" s="121"/>
    </row>
    <row r="168" spans="1:73" x14ac:dyDescent="0.15">
      <c r="A168" s="109"/>
      <c r="B168" s="109"/>
      <c r="C168" s="12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0"/>
      <c r="AK168" s="90"/>
      <c r="AL168" s="90"/>
      <c r="AM168" s="121"/>
      <c r="AN168" s="121"/>
      <c r="AO168" s="121"/>
      <c r="AP168" s="121"/>
      <c r="AQ168" s="121"/>
      <c r="AR168" s="121"/>
      <c r="AS168" s="121"/>
      <c r="AT168" s="121"/>
      <c r="AU168" s="121"/>
      <c r="AV168" s="121"/>
      <c r="AW168" s="121"/>
      <c r="AX168" s="121"/>
      <c r="AY168" s="121"/>
      <c r="AZ168" s="121"/>
      <c r="BA168" s="121"/>
      <c r="BB168" s="121"/>
      <c r="BC168" s="121"/>
      <c r="BD168" s="121"/>
      <c r="BE168" s="121"/>
      <c r="BF168" s="121"/>
      <c r="BG168" s="121"/>
      <c r="BH168" s="121"/>
      <c r="BI168" s="121"/>
      <c r="BJ168" s="121"/>
      <c r="BK168" s="121"/>
      <c r="BL168" s="121"/>
      <c r="BM168" s="121"/>
      <c r="BN168" s="121"/>
      <c r="BO168" s="121"/>
      <c r="BP168" s="121"/>
      <c r="BQ168" s="121"/>
      <c r="BR168" s="121"/>
      <c r="BS168" s="121"/>
      <c r="BT168" s="121"/>
      <c r="BU168" s="121"/>
    </row>
    <row r="169" spans="1:73" x14ac:dyDescent="0.15">
      <c r="A169" s="109"/>
      <c r="B169" s="109"/>
      <c r="C169" s="12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0"/>
      <c r="AK169" s="90"/>
      <c r="AL169" s="90"/>
      <c r="AM169" s="121"/>
      <c r="AN169" s="121"/>
      <c r="AO169" s="121"/>
      <c r="AP169" s="121"/>
      <c r="AQ169" s="121"/>
      <c r="AR169" s="121"/>
      <c r="AS169" s="121"/>
      <c r="AT169" s="121"/>
      <c r="AU169" s="121"/>
      <c r="AV169" s="121"/>
      <c r="AW169" s="121"/>
      <c r="AX169" s="121"/>
      <c r="AY169" s="121"/>
      <c r="AZ169" s="121"/>
      <c r="BA169" s="121"/>
      <c r="BB169" s="121"/>
      <c r="BC169" s="121"/>
      <c r="BD169" s="121"/>
      <c r="BE169" s="121"/>
      <c r="BF169" s="121"/>
      <c r="BG169" s="121"/>
      <c r="BH169" s="121"/>
      <c r="BI169" s="121"/>
      <c r="BJ169" s="121"/>
      <c r="BK169" s="121"/>
      <c r="BL169" s="121"/>
      <c r="BM169" s="121"/>
      <c r="BN169" s="121"/>
      <c r="BO169" s="121"/>
      <c r="BP169" s="121"/>
      <c r="BQ169" s="121"/>
      <c r="BR169" s="121"/>
      <c r="BS169" s="121"/>
      <c r="BT169" s="121"/>
      <c r="BU169" s="121"/>
    </row>
    <row r="170" spans="1:73" x14ac:dyDescent="0.15">
      <c r="A170" s="109"/>
      <c r="B170" s="109"/>
      <c r="C170" s="12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0"/>
      <c r="AK170" s="90"/>
      <c r="AL170" s="90"/>
      <c r="AM170" s="121"/>
      <c r="AN170" s="121"/>
      <c r="AO170" s="121"/>
      <c r="AP170" s="121"/>
      <c r="AQ170" s="121"/>
      <c r="AR170" s="121"/>
      <c r="AS170" s="121"/>
      <c r="AT170" s="121"/>
      <c r="AU170" s="121"/>
      <c r="AV170" s="121"/>
      <c r="AW170" s="121"/>
      <c r="AX170" s="121"/>
      <c r="AY170" s="121"/>
      <c r="AZ170" s="121"/>
      <c r="BA170" s="121"/>
      <c r="BB170" s="121"/>
      <c r="BC170" s="121"/>
      <c r="BD170" s="121"/>
      <c r="BE170" s="121"/>
      <c r="BF170" s="121"/>
      <c r="BG170" s="121"/>
      <c r="BH170" s="121"/>
      <c r="BI170" s="121"/>
      <c r="BJ170" s="121"/>
      <c r="BK170" s="121"/>
      <c r="BL170" s="121"/>
      <c r="BM170" s="121"/>
      <c r="BN170" s="121"/>
      <c r="BO170" s="121"/>
      <c r="BP170" s="121"/>
      <c r="BQ170" s="121"/>
      <c r="BR170" s="121"/>
      <c r="BS170" s="121"/>
      <c r="BT170" s="121"/>
      <c r="BU170" s="121"/>
    </row>
    <row r="171" spans="1:73" x14ac:dyDescent="0.15">
      <c r="A171" s="109"/>
      <c r="B171" s="109"/>
      <c r="C171" s="12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0"/>
      <c r="AK171" s="90"/>
      <c r="AL171" s="90"/>
      <c r="AM171" s="121"/>
      <c r="AN171" s="121"/>
      <c r="AO171" s="121"/>
      <c r="AP171" s="121"/>
      <c r="AQ171" s="121"/>
      <c r="AR171" s="121"/>
      <c r="AS171" s="121"/>
      <c r="AT171" s="121"/>
      <c r="AU171" s="121"/>
      <c r="AV171" s="121"/>
      <c r="AW171" s="121"/>
      <c r="AX171" s="121"/>
      <c r="AY171" s="121"/>
      <c r="AZ171" s="121"/>
      <c r="BA171" s="121"/>
      <c r="BB171" s="121"/>
      <c r="BC171" s="121"/>
      <c r="BD171" s="121"/>
      <c r="BE171" s="121"/>
      <c r="BF171" s="121"/>
      <c r="BG171" s="121"/>
      <c r="BH171" s="121"/>
      <c r="BI171" s="121"/>
      <c r="BJ171" s="121"/>
      <c r="BK171" s="121"/>
      <c r="BL171" s="121"/>
      <c r="BM171" s="121"/>
      <c r="BN171" s="121"/>
      <c r="BO171" s="121"/>
      <c r="BP171" s="121"/>
      <c r="BQ171" s="121"/>
      <c r="BR171" s="121"/>
      <c r="BS171" s="121"/>
      <c r="BT171" s="121"/>
      <c r="BU171" s="121"/>
    </row>
    <row r="172" spans="1:73" x14ac:dyDescent="0.15">
      <c r="A172" s="109"/>
      <c r="B172" s="109"/>
      <c r="C172" s="12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0"/>
      <c r="AK172" s="90"/>
      <c r="AL172" s="90"/>
      <c r="AM172" s="121"/>
      <c r="AN172" s="121"/>
      <c r="AO172" s="121"/>
      <c r="AP172" s="121"/>
      <c r="AQ172" s="121"/>
      <c r="AR172" s="121"/>
      <c r="AS172" s="121"/>
      <c r="AT172" s="121"/>
      <c r="AU172" s="121"/>
      <c r="AV172" s="121"/>
      <c r="AW172" s="121"/>
      <c r="AX172" s="121"/>
      <c r="AY172" s="121"/>
      <c r="AZ172" s="121"/>
      <c r="BA172" s="121"/>
      <c r="BB172" s="121"/>
      <c r="BC172" s="121"/>
      <c r="BD172" s="121"/>
      <c r="BE172" s="121"/>
      <c r="BF172" s="121"/>
      <c r="BG172" s="121"/>
      <c r="BH172" s="121"/>
      <c r="BI172" s="121"/>
      <c r="BJ172" s="121"/>
      <c r="BK172" s="121"/>
      <c r="BL172" s="121"/>
      <c r="BM172" s="121"/>
      <c r="BN172" s="121"/>
      <c r="BO172" s="121"/>
      <c r="BP172" s="121"/>
      <c r="BQ172" s="121"/>
      <c r="BR172" s="121"/>
      <c r="BS172" s="121"/>
      <c r="BT172" s="121"/>
      <c r="BU172" s="121"/>
    </row>
    <row r="173" spans="1:73" x14ac:dyDescent="0.15">
      <c r="A173" s="109"/>
      <c r="B173" s="109"/>
      <c r="C173" s="12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0"/>
      <c r="AK173" s="90"/>
      <c r="AL173" s="90"/>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c r="BK173" s="121"/>
      <c r="BL173" s="121"/>
      <c r="BM173" s="121"/>
      <c r="BN173" s="121"/>
      <c r="BO173" s="121"/>
      <c r="BP173" s="121"/>
      <c r="BQ173" s="121"/>
      <c r="BR173" s="121"/>
      <c r="BS173" s="121"/>
      <c r="BT173" s="121"/>
      <c r="BU173" s="121"/>
    </row>
    <row r="174" spans="1:73" x14ac:dyDescent="0.15">
      <c r="A174" s="109"/>
      <c r="B174" s="109"/>
      <c r="C174" s="12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0"/>
      <c r="AK174" s="90"/>
      <c r="AL174" s="90"/>
      <c r="AM174" s="121"/>
      <c r="AN174" s="121"/>
      <c r="AO174" s="121"/>
      <c r="AP174" s="121"/>
      <c r="AQ174" s="121"/>
      <c r="AR174" s="121"/>
      <c r="AS174" s="121"/>
      <c r="AT174" s="121"/>
      <c r="AU174" s="121"/>
      <c r="AV174" s="121"/>
      <c r="AW174" s="121"/>
      <c r="AX174" s="121"/>
      <c r="AY174" s="121"/>
      <c r="AZ174" s="121"/>
      <c r="BA174" s="121"/>
      <c r="BB174" s="121"/>
      <c r="BC174" s="121"/>
      <c r="BD174" s="121"/>
      <c r="BE174" s="121"/>
      <c r="BF174" s="121"/>
      <c r="BG174" s="121"/>
      <c r="BH174" s="121"/>
      <c r="BI174" s="121"/>
      <c r="BJ174" s="121"/>
      <c r="BK174" s="121"/>
      <c r="BL174" s="121"/>
      <c r="BM174" s="121"/>
      <c r="BN174" s="121"/>
      <c r="BO174" s="121"/>
      <c r="BP174" s="121"/>
      <c r="BQ174" s="121"/>
      <c r="BR174" s="121"/>
      <c r="BS174" s="121"/>
      <c r="BT174" s="121"/>
      <c r="BU174" s="121"/>
    </row>
    <row r="175" spans="1:73" x14ac:dyDescent="0.15">
      <c r="A175" s="109"/>
      <c r="B175" s="109"/>
      <c r="C175" s="12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0"/>
      <c r="AK175" s="90"/>
      <c r="AL175" s="90"/>
      <c r="AM175" s="121"/>
      <c r="AN175" s="121"/>
      <c r="AO175" s="121"/>
      <c r="AP175" s="121"/>
      <c r="AQ175" s="121"/>
      <c r="AR175" s="121"/>
      <c r="AS175" s="121"/>
      <c r="AT175" s="121"/>
      <c r="AU175" s="121"/>
      <c r="AV175" s="121"/>
      <c r="AW175" s="121"/>
      <c r="AX175" s="121"/>
      <c r="AY175" s="121"/>
      <c r="AZ175" s="121"/>
      <c r="BA175" s="121"/>
      <c r="BB175" s="121"/>
      <c r="BC175" s="121"/>
      <c r="BD175" s="121"/>
      <c r="BE175" s="121"/>
      <c r="BF175" s="121"/>
      <c r="BG175" s="121"/>
      <c r="BH175" s="121"/>
      <c r="BI175" s="121"/>
      <c r="BJ175" s="121"/>
      <c r="BK175" s="121"/>
      <c r="BL175" s="121"/>
      <c r="BM175" s="121"/>
      <c r="BN175" s="121"/>
      <c r="BO175" s="121"/>
      <c r="BP175" s="121"/>
      <c r="BQ175" s="121"/>
      <c r="BR175" s="121"/>
      <c r="BS175" s="121"/>
      <c r="BT175" s="121"/>
      <c r="BU175" s="121"/>
    </row>
    <row r="176" spans="1:73" x14ac:dyDescent="0.15">
      <c r="A176" s="109"/>
      <c r="B176" s="109"/>
      <c r="C176" s="12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0"/>
      <c r="AK176" s="90"/>
      <c r="AL176" s="90"/>
      <c r="AM176" s="121"/>
      <c r="AN176" s="121"/>
      <c r="AO176" s="121"/>
      <c r="AP176" s="121"/>
      <c r="AQ176" s="121"/>
      <c r="AR176" s="121"/>
      <c r="AS176" s="121"/>
      <c r="AT176" s="121"/>
      <c r="AU176" s="121"/>
      <c r="AV176" s="121"/>
      <c r="AW176" s="121"/>
      <c r="AX176" s="121"/>
      <c r="AY176" s="121"/>
      <c r="AZ176" s="121"/>
      <c r="BA176" s="121"/>
      <c r="BB176" s="121"/>
      <c r="BC176" s="121"/>
      <c r="BD176" s="121"/>
      <c r="BE176" s="121"/>
      <c r="BF176" s="121"/>
      <c r="BG176" s="121"/>
      <c r="BH176" s="121"/>
      <c r="BI176" s="121"/>
      <c r="BJ176" s="121"/>
      <c r="BK176" s="121"/>
      <c r="BL176" s="121"/>
      <c r="BM176" s="121"/>
      <c r="BN176" s="121"/>
      <c r="BO176" s="121"/>
      <c r="BP176" s="121"/>
      <c r="BQ176" s="121"/>
      <c r="BR176" s="121"/>
      <c r="BS176" s="121"/>
      <c r="BT176" s="121"/>
      <c r="BU176" s="121"/>
    </row>
    <row r="177" spans="1:73" x14ac:dyDescent="0.15">
      <c r="A177" s="109"/>
      <c r="B177" s="109"/>
      <c r="C177" s="12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0"/>
      <c r="AK177" s="90"/>
      <c r="AL177" s="90"/>
      <c r="AM177" s="121"/>
      <c r="AN177" s="121"/>
      <c r="AO177" s="121"/>
      <c r="AP177" s="121"/>
      <c r="AQ177" s="121"/>
      <c r="AR177" s="121"/>
      <c r="AS177" s="121"/>
      <c r="AT177" s="121"/>
      <c r="AU177" s="121"/>
      <c r="AV177" s="121"/>
      <c r="AW177" s="121"/>
      <c r="AX177" s="121"/>
      <c r="AY177" s="121"/>
      <c r="AZ177" s="121"/>
      <c r="BA177" s="121"/>
      <c r="BB177" s="121"/>
      <c r="BC177" s="121"/>
      <c r="BD177" s="121"/>
      <c r="BE177" s="121"/>
      <c r="BF177" s="121"/>
      <c r="BG177" s="121"/>
      <c r="BH177" s="121"/>
      <c r="BI177" s="121"/>
      <c r="BJ177" s="121"/>
      <c r="BK177" s="121"/>
      <c r="BL177" s="121"/>
      <c r="BM177" s="121"/>
      <c r="BN177" s="121"/>
      <c r="BO177" s="121"/>
      <c r="BP177" s="121"/>
      <c r="BQ177" s="121"/>
      <c r="BR177" s="121"/>
      <c r="BS177" s="121"/>
      <c r="BT177" s="121"/>
      <c r="BU177" s="121"/>
    </row>
    <row r="178" spans="1:73" x14ac:dyDescent="0.15">
      <c r="A178" s="109"/>
      <c r="B178" s="109"/>
      <c r="C178" s="12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0"/>
      <c r="AK178" s="90"/>
      <c r="AL178" s="90"/>
      <c r="AM178" s="121"/>
      <c r="AN178" s="121"/>
      <c r="AO178" s="121"/>
      <c r="AP178" s="121"/>
      <c r="AQ178" s="121"/>
      <c r="AR178" s="121"/>
      <c r="AS178" s="121"/>
      <c r="AT178" s="121"/>
      <c r="AU178" s="121"/>
      <c r="AV178" s="121"/>
      <c r="AW178" s="121"/>
      <c r="AX178" s="121"/>
      <c r="AY178" s="121"/>
      <c r="AZ178" s="121"/>
      <c r="BA178" s="121"/>
      <c r="BB178" s="121"/>
      <c r="BC178" s="121"/>
      <c r="BD178" s="121"/>
      <c r="BE178" s="121"/>
      <c r="BF178" s="121"/>
      <c r="BG178" s="121"/>
      <c r="BH178" s="121"/>
      <c r="BI178" s="121"/>
      <c r="BJ178" s="121"/>
      <c r="BK178" s="121"/>
      <c r="BL178" s="121"/>
      <c r="BM178" s="121"/>
      <c r="BN178" s="121"/>
      <c r="BO178" s="121"/>
      <c r="BP178" s="121"/>
      <c r="BQ178" s="121"/>
      <c r="BR178" s="121"/>
      <c r="BS178" s="121"/>
      <c r="BT178" s="121"/>
      <c r="BU178" s="121"/>
    </row>
    <row r="179" spans="1:73" x14ac:dyDescent="0.15">
      <c r="A179" s="109"/>
      <c r="B179" s="109"/>
      <c r="C179" s="12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0"/>
      <c r="AK179" s="90"/>
      <c r="AL179" s="90"/>
      <c r="AM179" s="121"/>
      <c r="AN179" s="121"/>
      <c r="AO179" s="121"/>
      <c r="AP179" s="121"/>
      <c r="AQ179" s="121"/>
      <c r="AR179" s="121"/>
      <c r="AS179" s="121"/>
      <c r="AT179" s="121"/>
      <c r="AU179" s="121"/>
      <c r="AV179" s="121"/>
      <c r="AW179" s="121"/>
      <c r="AX179" s="121"/>
      <c r="AY179" s="121"/>
      <c r="AZ179" s="121"/>
      <c r="BA179" s="121"/>
      <c r="BB179" s="121"/>
      <c r="BC179" s="121"/>
      <c r="BD179" s="121"/>
      <c r="BE179" s="121"/>
      <c r="BF179" s="121"/>
      <c r="BG179" s="121"/>
      <c r="BH179" s="121"/>
      <c r="BI179" s="121"/>
      <c r="BJ179" s="121"/>
      <c r="BK179" s="121"/>
      <c r="BL179" s="121"/>
      <c r="BM179" s="121"/>
      <c r="BN179" s="121"/>
      <c r="BO179" s="121"/>
      <c r="BP179" s="121"/>
      <c r="BQ179" s="121"/>
      <c r="BR179" s="121"/>
      <c r="BS179" s="121"/>
      <c r="BT179" s="121"/>
      <c r="BU179" s="121"/>
    </row>
    <row r="180" spans="1:73" x14ac:dyDescent="0.15">
      <c r="A180" s="109"/>
      <c r="B180" s="109"/>
      <c r="C180" s="12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0"/>
      <c r="AK180" s="90"/>
      <c r="AL180" s="90"/>
      <c r="AM180" s="121"/>
      <c r="AN180" s="121"/>
      <c r="AO180" s="121"/>
      <c r="AP180" s="121"/>
      <c r="AQ180" s="121"/>
      <c r="AR180" s="121"/>
      <c r="AS180" s="121"/>
      <c r="AT180" s="121"/>
      <c r="AU180" s="121"/>
      <c r="AV180" s="121"/>
      <c r="AW180" s="121"/>
      <c r="AX180" s="121"/>
      <c r="AY180" s="121"/>
      <c r="AZ180" s="121"/>
      <c r="BA180" s="121"/>
      <c r="BB180" s="121"/>
      <c r="BC180" s="121"/>
      <c r="BD180" s="121"/>
      <c r="BE180" s="121"/>
      <c r="BF180" s="121"/>
      <c r="BG180" s="121"/>
      <c r="BH180" s="121"/>
      <c r="BI180" s="121"/>
      <c r="BJ180" s="121"/>
      <c r="BK180" s="121"/>
      <c r="BL180" s="121"/>
      <c r="BM180" s="121"/>
      <c r="BN180" s="121"/>
      <c r="BO180" s="121"/>
      <c r="BP180" s="121"/>
      <c r="BQ180" s="121"/>
      <c r="BR180" s="121"/>
      <c r="BS180" s="121"/>
      <c r="BT180" s="121"/>
      <c r="BU180" s="121"/>
    </row>
    <row r="181" spans="1:73" x14ac:dyDescent="0.15">
      <c r="A181" s="109"/>
      <c r="B181" s="109"/>
      <c r="C181" s="12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0"/>
      <c r="AK181" s="90"/>
      <c r="AL181" s="90"/>
      <c r="AM181" s="121"/>
      <c r="AN181" s="121"/>
      <c r="AO181" s="121"/>
      <c r="AP181" s="121"/>
      <c r="AQ181" s="121"/>
      <c r="AR181" s="121"/>
      <c r="AS181" s="121"/>
      <c r="AT181" s="121"/>
      <c r="AU181" s="121"/>
      <c r="AV181" s="121"/>
      <c r="AW181" s="121"/>
      <c r="AX181" s="121"/>
      <c r="AY181" s="121"/>
      <c r="AZ181" s="121"/>
      <c r="BA181" s="121"/>
      <c r="BB181" s="121"/>
      <c r="BC181" s="121"/>
      <c r="BD181" s="121"/>
      <c r="BE181" s="121"/>
      <c r="BF181" s="121"/>
      <c r="BG181" s="121"/>
      <c r="BH181" s="121"/>
      <c r="BI181" s="121"/>
      <c r="BJ181" s="121"/>
      <c r="BK181" s="121"/>
      <c r="BL181" s="121"/>
      <c r="BM181" s="121"/>
      <c r="BN181" s="121"/>
      <c r="BO181" s="121"/>
      <c r="BP181" s="121"/>
      <c r="BQ181" s="121"/>
      <c r="BR181" s="121"/>
      <c r="BS181" s="121"/>
      <c r="BT181" s="121"/>
      <c r="BU181" s="121"/>
    </row>
    <row r="182" spans="1:73" x14ac:dyDescent="0.15">
      <c r="A182" s="109"/>
      <c r="B182" s="109"/>
      <c r="C182" s="12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0"/>
      <c r="AK182" s="90"/>
      <c r="AL182" s="90"/>
      <c r="AM182" s="121"/>
      <c r="AN182" s="121"/>
      <c r="AO182" s="121"/>
      <c r="AP182" s="121"/>
      <c r="AQ182" s="121"/>
      <c r="AR182" s="121"/>
      <c r="AS182" s="121"/>
      <c r="AT182" s="121"/>
      <c r="AU182" s="121"/>
      <c r="AV182" s="121"/>
      <c r="AW182" s="121"/>
      <c r="AX182" s="121"/>
      <c r="AY182" s="121"/>
      <c r="AZ182" s="121"/>
      <c r="BA182" s="121"/>
      <c r="BB182" s="121"/>
      <c r="BC182" s="121"/>
      <c r="BD182" s="121"/>
      <c r="BE182" s="121"/>
      <c r="BF182" s="121"/>
      <c r="BG182" s="121"/>
      <c r="BH182" s="121"/>
      <c r="BI182" s="121"/>
      <c r="BJ182" s="121"/>
      <c r="BK182" s="121"/>
      <c r="BL182" s="121"/>
      <c r="BM182" s="121"/>
      <c r="BN182" s="121"/>
      <c r="BO182" s="121"/>
      <c r="BP182" s="121"/>
      <c r="BQ182" s="121"/>
      <c r="BR182" s="121"/>
      <c r="BS182" s="121"/>
      <c r="BT182" s="121"/>
      <c r="BU182" s="121"/>
    </row>
    <row r="183" spans="1:73" x14ac:dyDescent="0.15">
      <c r="A183" s="109"/>
      <c r="B183" s="109"/>
      <c r="C183" s="12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0"/>
      <c r="AK183" s="90"/>
      <c r="AL183" s="90"/>
      <c r="AM183" s="121"/>
      <c r="AN183" s="121"/>
      <c r="AO183" s="121"/>
      <c r="AP183" s="121"/>
      <c r="AQ183" s="121"/>
      <c r="AR183" s="121"/>
      <c r="AS183" s="121"/>
      <c r="AT183" s="121"/>
      <c r="AU183" s="121"/>
      <c r="AV183" s="121"/>
      <c r="AW183" s="121"/>
      <c r="AX183" s="121"/>
      <c r="AY183" s="121"/>
      <c r="AZ183" s="121"/>
      <c r="BA183" s="121"/>
      <c r="BB183" s="121"/>
      <c r="BC183" s="121"/>
      <c r="BD183" s="121"/>
      <c r="BE183" s="121"/>
      <c r="BF183" s="121"/>
      <c r="BG183" s="121"/>
      <c r="BH183" s="121"/>
      <c r="BI183" s="121"/>
      <c r="BJ183" s="121"/>
      <c r="BK183" s="121"/>
      <c r="BL183" s="121"/>
      <c r="BM183" s="121"/>
      <c r="BN183" s="121"/>
      <c r="BO183" s="121"/>
      <c r="BP183" s="121"/>
      <c r="BQ183" s="121"/>
      <c r="BR183" s="121"/>
      <c r="BS183" s="121"/>
      <c r="BT183" s="121"/>
      <c r="BU183" s="121"/>
    </row>
    <row r="184" spans="1:73" x14ac:dyDescent="0.15">
      <c r="A184" s="109"/>
      <c r="B184" s="109"/>
      <c r="C184" s="12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0"/>
      <c r="AK184" s="90"/>
      <c r="AL184" s="90"/>
      <c r="AM184" s="121"/>
      <c r="AN184" s="121"/>
      <c r="AO184" s="121"/>
      <c r="AP184" s="121"/>
      <c r="AQ184" s="121"/>
      <c r="AR184" s="121"/>
      <c r="AS184" s="121"/>
      <c r="AT184" s="121"/>
      <c r="AU184" s="121"/>
      <c r="AV184" s="121"/>
      <c r="AW184" s="121"/>
      <c r="AX184" s="121"/>
      <c r="AY184" s="121"/>
      <c r="AZ184" s="121"/>
      <c r="BA184" s="121"/>
      <c r="BB184" s="121"/>
      <c r="BC184" s="121"/>
      <c r="BD184" s="121"/>
      <c r="BE184" s="121"/>
      <c r="BF184" s="121"/>
      <c r="BG184" s="121"/>
      <c r="BH184" s="121"/>
      <c r="BI184" s="121"/>
      <c r="BJ184" s="121"/>
      <c r="BK184" s="121"/>
      <c r="BL184" s="121"/>
      <c r="BM184" s="121"/>
      <c r="BN184" s="121"/>
      <c r="BO184" s="121"/>
      <c r="BP184" s="121"/>
      <c r="BQ184" s="121"/>
      <c r="BR184" s="121"/>
      <c r="BS184" s="121"/>
      <c r="BT184" s="121"/>
      <c r="BU184" s="121"/>
    </row>
    <row r="185" spans="1:73" x14ac:dyDescent="0.15">
      <c r="A185" s="109"/>
      <c r="B185" s="109"/>
      <c r="C185" s="12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0"/>
      <c r="AK185" s="90"/>
      <c r="AL185" s="90"/>
      <c r="AM185" s="121"/>
      <c r="AN185" s="121"/>
      <c r="AO185" s="121"/>
      <c r="AP185" s="121"/>
      <c r="AQ185" s="121"/>
      <c r="AR185" s="121"/>
      <c r="AS185" s="121"/>
      <c r="AT185" s="121"/>
      <c r="AU185" s="121"/>
      <c r="AV185" s="121"/>
      <c r="AW185" s="121"/>
      <c r="AX185" s="121"/>
      <c r="AY185" s="121"/>
      <c r="AZ185" s="121"/>
      <c r="BA185" s="121"/>
      <c r="BB185" s="121"/>
      <c r="BC185" s="121"/>
      <c r="BD185" s="121"/>
      <c r="BE185" s="121"/>
      <c r="BF185" s="121"/>
      <c r="BG185" s="121"/>
      <c r="BH185" s="121"/>
      <c r="BI185" s="121"/>
      <c r="BJ185" s="121"/>
      <c r="BK185" s="121"/>
      <c r="BL185" s="121"/>
      <c r="BM185" s="121"/>
      <c r="BN185" s="121"/>
      <c r="BO185" s="121"/>
      <c r="BP185" s="121"/>
      <c r="BQ185" s="121"/>
      <c r="BR185" s="121"/>
      <c r="BS185" s="121"/>
      <c r="BT185" s="121"/>
      <c r="BU185" s="121"/>
    </row>
    <row r="186" spans="1:73" x14ac:dyDescent="0.15">
      <c r="A186" s="109"/>
      <c r="B186" s="109"/>
      <c r="C186" s="12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121"/>
      <c r="AN186" s="121"/>
      <c r="AO186" s="121"/>
      <c r="AP186" s="121"/>
      <c r="AQ186" s="121"/>
      <c r="AR186" s="121"/>
      <c r="AS186" s="121"/>
      <c r="AT186" s="121"/>
      <c r="AU186" s="121"/>
      <c r="AV186" s="121"/>
      <c r="AW186" s="121"/>
      <c r="AX186" s="121"/>
      <c r="AY186" s="121"/>
      <c r="AZ186" s="121"/>
      <c r="BA186" s="121"/>
      <c r="BB186" s="121"/>
      <c r="BC186" s="121"/>
      <c r="BD186" s="121"/>
      <c r="BE186" s="121"/>
      <c r="BF186" s="121"/>
      <c r="BG186" s="121"/>
      <c r="BH186" s="121"/>
      <c r="BI186" s="121"/>
      <c r="BJ186" s="121"/>
      <c r="BK186" s="121"/>
      <c r="BL186" s="121"/>
      <c r="BM186" s="121"/>
      <c r="BN186" s="121"/>
      <c r="BO186" s="121"/>
      <c r="BP186" s="121"/>
      <c r="BQ186" s="121"/>
      <c r="BR186" s="121"/>
      <c r="BS186" s="121"/>
      <c r="BT186" s="121"/>
      <c r="BU186" s="121"/>
    </row>
    <row r="187" spans="1:73" x14ac:dyDescent="0.15">
      <c r="A187" s="109"/>
      <c r="B187" s="109"/>
      <c r="C187" s="12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0"/>
      <c r="AK187" s="90"/>
      <c r="AL187" s="90"/>
      <c r="AM187" s="121"/>
      <c r="AN187" s="121"/>
      <c r="AO187" s="121"/>
      <c r="AP187" s="121"/>
      <c r="AQ187" s="121"/>
      <c r="AR187" s="121"/>
      <c r="AS187" s="121"/>
      <c r="AT187" s="121"/>
      <c r="AU187" s="121"/>
      <c r="AV187" s="121"/>
      <c r="AW187" s="121"/>
      <c r="AX187" s="121"/>
      <c r="AY187" s="121"/>
      <c r="AZ187" s="121"/>
      <c r="BA187" s="121"/>
      <c r="BB187" s="121"/>
      <c r="BC187" s="121"/>
      <c r="BD187" s="121"/>
      <c r="BE187" s="121"/>
      <c r="BF187" s="121"/>
      <c r="BG187" s="121"/>
      <c r="BH187" s="121"/>
      <c r="BI187" s="121"/>
      <c r="BJ187" s="121"/>
      <c r="BK187" s="121"/>
      <c r="BL187" s="121"/>
      <c r="BM187" s="121"/>
      <c r="BN187" s="121"/>
      <c r="BO187" s="121"/>
      <c r="BP187" s="121"/>
      <c r="BQ187" s="121"/>
      <c r="BR187" s="121"/>
      <c r="BS187" s="121"/>
      <c r="BT187" s="121"/>
      <c r="BU187" s="121"/>
    </row>
    <row r="188" spans="1:73" x14ac:dyDescent="0.15">
      <c r="A188" s="109"/>
      <c r="B188" s="109"/>
      <c r="C188" s="12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0"/>
      <c r="AK188" s="90"/>
      <c r="AL188" s="90"/>
      <c r="AM188" s="121"/>
      <c r="AN188" s="121"/>
      <c r="AO188" s="121"/>
      <c r="AP188" s="121"/>
      <c r="AQ188" s="121"/>
      <c r="AR188" s="121"/>
      <c r="AS188" s="121"/>
      <c r="AT188" s="121"/>
      <c r="AU188" s="121"/>
      <c r="AV188" s="121"/>
      <c r="AW188" s="121"/>
      <c r="AX188" s="121"/>
      <c r="AY188" s="121"/>
      <c r="AZ188" s="121"/>
      <c r="BA188" s="121"/>
      <c r="BB188" s="121"/>
      <c r="BC188" s="121"/>
      <c r="BD188" s="121"/>
      <c r="BE188" s="121"/>
      <c r="BF188" s="121"/>
      <c r="BG188" s="121"/>
      <c r="BH188" s="121"/>
      <c r="BI188" s="121"/>
      <c r="BJ188" s="121"/>
      <c r="BK188" s="121"/>
      <c r="BL188" s="121"/>
      <c r="BM188" s="121"/>
      <c r="BN188" s="121"/>
      <c r="BO188" s="121"/>
      <c r="BP188" s="121"/>
      <c r="BQ188" s="121"/>
      <c r="BR188" s="121"/>
      <c r="BS188" s="121"/>
      <c r="BT188" s="121"/>
      <c r="BU188" s="121"/>
    </row>
    <row r="189" spans="1:73" x14ac:dyDescent="0.15">
      <c r="A189" s="109"/>
      <c r="B189" s="109"/>
      <c r="C189" s="12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0"/>
      <c r="AK189" s="90"/>
      <c r="AL189" s="90"/>
      <c r="AM189" s="121"/>
      <c r="AN189" s="121"/>
      <c r="AO189" s="121"/>
      <c r="AP189" s="121"/>
      <c r="AQ189" s="121"/>
      <c r="AR189" s="121"/>
      <c r="AS189" s="121"/>
      <c r="AT189" s="121"/>
      <c r="AU189" s="121"/>
      <c r="AV189" s="121"/>
      <c r="AW189" s="121"/>
      <c r="AX189" s="121"/>
      <c r="AY189" s="121"/>
      <c r="AZ189" s="121"/>
      <c r="BA189" s="121"/>
      <c r="BB189" s="121"/>
      <c r="BC189" s="121"/>
      <c r="BD189" s="121"/>
      <c r="BE189" s="121"/>
      <c r="BF189" s="121"/>
      <c r="BG189" s="121"/>
      <c r="BH189" s="121"/>
      <c r="BI189" s="121"/>
      <c r="BJ189" s="121"/>
      <c r="BK189" s="121"/>
      <c r="BL189" s="121"/>
      <c r="BM189" s="121"/>
      <c r="BN189" s="121"/>
      <c r="BO189" s="121"/>
      <c r="BP189" s="121"/>
      <c r="BQ189" s="121"/>
      <c r="BR189" s="121"/>
      <c r="BS189" s="121"/>
      <c r="BT189" s="121"/>
      <c r="BU189" s="121"/>
    </row>
    <row r="190" spans="1:73" x14ac:dyDescent="0.15">
      <c r="A190" s="109"/>
      <c r="B190" s="109"/>
      <c r="C190" s="12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0"/>
      <c r="AK190" s="90"/>
      <c r="AL190" s="90"/>
      <c r="AM190" s="121"/>
      <c r="AN190" s="121"/>
      <c r="AO190" s="121"/>
      <c r="AP190" s="121"/>
      <c r="AQ190" s="121"/>
      <c r="AR190" s="121"/>
      <c r="AS190" s="121"/>
      <c r="AT190" s="121"/>
      <c r="AU190" s="121"/>
      <c r="AV190" s="121"/>
      <c r="AW190" s="121"/>
      <c r="AX190" s="121"/>
      <c r="AY190" s="121"/>
      <c r="AZ190" s="121"/>
      <c r="BA190" s="121"/>
      <c r="BB190" s="121"/>
      <c r="BC190" s="121"/>
      <c r="BD190" s="121"/>
      <c r="BE190" s="121"/>
      <c r="BF190" s="121"/>
      <c r="BG190" s="121"/>
      <c r="BH190" s="121"/>
      <c r="BI190" s="121"/>
      <c r="BJ190" s="121"/>
      <c r="BK190" s="121"/>
      <c r="BL190" s="121"/>
      <c r="BM190" s="121"/>
      <c r="BN190" s="121"/>
      <c r="BO190" s="121"/>
      <c r="BP190" s="121"/>
      <c r="BQ190" s="121"/>
      <c r="BR190" s="121"/>
      <c r="BS190" s="121"/>
      <c r="BT190" s="121"/>
      <c r="BU190" s="121"/>
    </row>
    <row r="191" spans="1:73" x14ac:dyDescent="0.15">
      <c r="A191" s="109"/>
      <c r="B191" s="109"/>
      <c r="C191" s="12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0"/>
      <c r="AK191" s="90"/>
      <c r="AL191" s="90"/>
      <c r="AM191" s="121"/>
      <c r="AN191" s="121"/>
      <c r="AO191" s="121"/>
      <c r="AP191" s="121"/>
      <c r="AQ191" s="121"/>
      <c r="AR191" s="121"/>
      <c r="AS191" s="121"/>
      <c r="AT191" s="121"/>
      <c r="AU191" s="121"/>
      <c r="AV191" s="121"/>
      <c r="AW191" s="121"/>
      <c r="AX191" s="121"/>
      <c r="AY191" s="121"/>
      <c r="AZ191" s="121"/>
      <c r="BA191" s="121"/>
      <c r="BB191" s="121"/>
      <c r="BC191" s="121"/>
      <c r="BD191" s="121"/>
      <c r="BE191" s="121"/>
      <c r="BF191" s="121"/>
      <c r="BG191" s="121"/>
      <c r="BH191" s="121"/>
      <c r="BI191" s="121"/>
      <c r="BJ191" s="121"/>
      <c r="BK191" s="121"/>
      <c r="BL191" s="121"/>
      <c r="BM191" s="121"/>
      <c r="BN191" s="121"/>
      <c r="BO191" s="121"/>
      <c r="BP191" s="121"/>
      <c r="BQ191" s="121"/>
      <c r="BR191" s="121"/>
      <c r="BS191" s="121"/>
      <c r="BT191" s="121"/>
      <c r="BU191" s="121"/>
    </row>
    <row r="192" spans="1:73" x14ac:dyDescent="0.15">
      <c r="A192" s="109"/>
      <c r="B192" s="109"/>
      <c r="C192" s="12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0"/>
      <c r="AK192" s="90"/>
      <c r="AL192" s="90"/>
      <c r="AM192" s="121"/>
      <c r="AN192" s="121"/>
      <c r="AO192" s="121"/>
      <c r="AP192" s="121"/>
      <c r="AQ192" s="121"/>
      <c r="AR192" s="121"/>
      <c r="AS192" s="121"/>
      <c r="AT192" s="121"/>
      <c r="AU192" s="121"/>
      <c r="AV192" s="121"/>
      <c r="AW192" s="121"/>
      <c r="AX192" s="121"/>
      <c r="AY192" s="121"/>
      <c r="AZ192" s="121"/>
      <c r="BA192" s="121"/>
      <c r="BB192" s="121"/>
      <c r="BC192" s="121"/>
      <c r="BD192" s="121"/>
      <c r="BE192" s="121"/>
      <c r="BF192" s="121"/>
      <c r="BG192" s="121"/>
      <c r="BH192" s="121"/>
      <c r="BI192" s="121"/>
      <c r="BJ192" s="121"/>
      <c r="BK192" s="121"/>
      <c r="BL192" s="121"/>
      <c r="BM192" s="121"/>
      <c r="BN192" s="121"/>
      <c r="BO192" s="121"/>
      <c r="BP192" s="121"/>
      <c r="BQ192" s="121"/>
      <c r="BR192" s="121"/>
      <c r="BS192" s="121"/>
      <c r="BT192" s="121"/>
      <c r="BU192" s="121"/>
    </row>
    <row r="193" spans="1:73" x14ac:dyDescent="0.15">
      <c r="A193" s="109"/>
      <c r="B193" s="109"/>
      <c r="C193" s="12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0"/>
      <c r="AK193" s="90"/>
      <c r="AL193" s="90"/>
      <c r="AM193" s="121"/>
      <c r="AN193" s="121"/>
      <c r="AO193" s="121"/>
      <c r="AP193" s="121"/>
      <c r="AQ193" s="121"/>
      <c r="AR193" s="121"/>
      <c r="AS193" s="121"/>
      <c r="AT193" s="121"/>
      <c r="AU193" s="121"/>
      <c r="AV193" s="121"/>
      <c r="AW193" s="121"/>
      <c r="AX193" s="121"/>
      <c r="AY193" s="121"/>
      <c r="AZ193" s="121"/>
      <c r="BA193" s="121"/>
      <c r="BB193" s="121"/>
      <c r="BC193" s="121"/>
      <c r="BD193" s="121"/>
      <c r="BE193" s="121"/>
      <c r="BF193" s="121"/>
      <c r="BG193" s="121"/>
      <c r="BH193" s="121"/>
      <c r="BI193" s="121"/>
      <c r="BJ193" s="121"/>
      <c r="BK193" s="121"/>
      <c r="BL193" s="121"/>
      <c r="BM193" s="121"/>
      <c r="BN193" s="121"/>
      <c r="BO193" s="121"/>
      <c r="BP193" s="121"/>
      <c r="BQ193" s="121"/>
      <c r="BR193" s="121"/>
      <c r="BS193" s="121"/>
      <c r="BT193" s="121"/>
      <c r="BU193" s="121"/>
    </row>
    <row r="194" spans="1:73" x14ac:dyDescent="0.15">
      <c r="A194" s="109"/>
      <c r="B194" s="109"/>
      <c r="C194" s="12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0"/>
      <c r="AK194" s="90"/>
      <c r="AL194" s="90"/>
      <c r="AM194" s="121"/>
      <c r="AN194" s="121"/>
      <c r="AO194" s="121"/>
      <c r="AP194" s="121"/>
      <c r="AQ194" s="121"/>
      <c r="AR194" s="121"/>
      <c r="AS194" s="121"/>
      <c r="AT194" s="121"/>
      <c r="AU194" s="121"/>
      <c r="AV194" s="121"/>
      <c r="AW194" s="121"/>
      <c r="AX194" s="121"/>
      <c r="AY194" s="121"/>
      <c r="AZ194" s="121"/>
      <c r="BA194" s="121"/>
      <c r="BB194" s="121"/>
      <c r="BC194" s="121"/>
      <c r="BD194" s="121"/>
      <c r="BE194" s="121"/>
      <c r="BF194" s="121"/>
      <c r="BG194" s="121"/>
      <c r="BH194" s="121"/>
      <c r="BI194" s="121"/>
      <c r="BJ194" s="121"/>
      <c r="BK194" s="121"/>
      <c r="BL194" s="121"/>
      <c r="BM194" s="121"/>
      <c r="BN194" s="121"/>
      <c r="BO194" s="121"/>
      <c r="BP194" s="121"/>
      <c r="BQ194" s="121"/>
      <c r="BR194" s="121"/>
      <c r="BS194" s="121"/>
      <c r="BT194" s="121"/>
      <c r="BU194" s="121"/>
    </row>
    <row r="195" spans="1:73" x14ac:dyDescent="0.15">
      <c r="A195" s="109"/>
      <c r="B195" s="109"/>
      <c r="C195" s="12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0"/>
      <c r="AK195" s="90"/>
      <c r="AL195" s="90"/>
      <c r="AM195" s="121"/>
      <c r="AN195" s="121"/>
      <c r="AO195" s="121"/>
      <c r="AP195" s="121"/>
      <c r="AQ195" s="121"/>
      <c r="AR195" s="121"/>
      <c r="AS195" s="121"/>
      <c r="AT195" s="121"/>
      <c r="AU195" s="121"/>
      <c r="AV195" s="121"/>
      <c r="AW195" s="121"/>
      <c r="AX195" s="121"/>
      <c r="AY195" s="121"/>
      <c r="AZ195" s="121"/>
      <c r="BA195" s="121"/>
      <c r="BB195" s="121"/>
      <c r="BC195" s="121"/>
      <c r="BD195" s="121"/>
      <c r="BE195" s="121"/>
      <c r="BF195" s="121"/>
      <c r="BG195" s="121"/>
      <c r="BH195" s="121"/>
      <c r="BI195" s="121"/>
      <c r="BJ195" s="121"/>
      <c r="BK195" s="121"/>
      <c r="BL195" s="121"/>
      <c r="BM195" s="121"/>
      <c r="BN195" s="121"/>
      <c r="BO195" s="121"/>
      <c r="BP195" s="121"/>
      <c r="BQ195" s="121"/>
      <c r="BR195" s="121"/>
      <c r="BS195" s="121"/>
      <c r="BT195" s="121"/>
      <c r="BU195" s="121"/>
    </row>
    <row r="196" spans="1:73" x14ac:dyDescent="0.15">
      <c r="A196" s="109"/>
      <c r="B196" s="109"/>
      <c r="C196" s="12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0"/>
      <c r="AK196" s="90"/>
      <c r="AL196" s="90"/>
      <c r="AM196" s="121"/>
      <c r="AN196" s="121"/>
      <c r="AO196" s="121"/>
      <c r="AP196" s="121"/>
      <c r="AQ196" s="121"/>
      <c r="AR196" s="121"/>
      <c r="AS196" s="121"/>
      <c r="AT196" s="121"/>
      <c r="AU196" s="121"/>
      <c r="AV196" s="121"/>
      <c r="AW196" s="121"/>
      <c r="AX196" s="121"/>
      <c r="AY196" s="121"/>
      <c r="AZ196" s="121"/>
      <c r="BA196" s="121"/>
      <c r="BB196" s="121"/>
      <c r="BC196" s="121"/>
      <c r="BD196" s="121"/>
      <c r="BE196" s="121"/>
      <c r="BF196" s="121"/>
      <c r="BG196" s="121"/>
      <c r="BH196" s="121"/>
      <c r="BI196" s="121"/>
      <c r="BJ196" s="121"/>
      <c r="BK196" s="121"/>
      <c r="BL196" s="121"/>
      <c r="BM196" s="121"/>
      <c r="BN196" s="121"/>
      <c r="BO196" s="121"/>
      <c r="BP196" s="121"/>
      <c r="BQ196" s="121"/>
      <c r="BR196" s="121"/>
      <c r="BS196" s="121"/>
      <c r="BT196" s="121"/>
      <c r="BU196" s="121"/>
    </row>
    <row r="197" spans="1:73" x14ac:dyDescent="0.15">
      <c r="A197" s="109"/>
      <c r="B197" s="109"/>
      <c r="C197" s="12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0"/>
      <c r="AK197" s="90"/>
      <c r="AL197" s="90"/>
      <c r="AM197" s="121"/>
      <c r="AN197" s="121"/>
      <c r="AO197" s="121"/>
      <c r="AP197" s="121"/>
      <c r="AQ197" s="121"/>
      <c r="AR197" s="121"/>
      <c r="AS197" s="121"/>
      <c r="AT197" s="121"/>
      <c r="AU197" s="121"/>
      <c r="AV197" s="121"/>
      <c r="AW197" s="121"/>
      <c r="AX197" s="121"/>
      <c r="AY197" s="121"/>
      <c r="AZ197" s="121"/>
      <c r="BA197" s="121"/>
      <c r="BB197" s="121"/>
      <c r="BC197" s="121"/>
      <c r="BD197" s="121"/>
      <c r="BE197" s="121"/>
      <c r="BF197" s="121"/>
      <c r="BG197" s="121"/>
      <c r="BH197" s="121"/>
      <c r="BI197" s="121"/>
      <c r="BJ197" s="121"/>
      <c r="BK197" s="121"/>
      <c r="BL197" s="121"/>
      <c r="BM197" s="121"/>
      <c r="BN197" s="121"/>
      <c r="BO197" s="121"/>
      <c r="BP197" s="121"/>
      <c r="BQ197" s="121"/>
      <c r="BR197" s="121"/>
      <c r="BS197" s="121"/>
      <c r="BT197" s="121"/>
      <c r="BU197" s="121"/>
    </row>
    <row r="198" spans="1:73" x14ac:dyDescent="0.15">
      <c r="A198" s="109"/>
      <c r="B198" s="109"/>
      <c r="C198" s="12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0"/>
      <c r="AK198" s="90"/>
      <c r="AL198" s="90"/>
      <c r="AM198" s="121"/>
      <c r="AN198" s="121"/>
      <c r="AO198" s="121"/>
      <c r="AP198" s="121"/>
      <c r="AQ198" s="121"/>
      <c r="AR198" s="121"/>
      <c r="AS198" s="121"/>
      <c r="AT198" s="121"/>
      <c r="AU198" s="121"/>
      <c r="AV198" s="121"/>
      <c r="AW198" s="121"/>
      <c r="AX198" s="121"/>
      <c r="AY198" s="121"/>
      <c r="AZ198" s="121"/>
      <c r="BA198" s="121"/>
      <c r="BB198" s="121"/>
      <c r="BC198" s="121"/>
      <c r="BD198" s="121"/>
      <c r="BE198" s="121"/>
      <c r="BF198" s="121"/>
      <c r="BG198" s="121"/>
      <c r="BH198" s="121"/>
      <c r="BI198" s="121"/>
      <c r="BJ198" s="121"/>
      <c r="BK198" s="121"/>
      <c r="BL198" s="121"/>
      <c r="BM198" s="121"/>
      <c r="BN198" s="121"/>
      <c r="BO198" s="121"/>
      <c r="BP198" s="121"/>
      <c r="BQ198" s="121"/>
      <c r="BR198" s="121"/>
      <c r="BS198" s="121"/>
      <c r="BT198" s="121"/>
      <c r="BU198" s="121"/>
    </row>
    <row r="199" spans="1:73" x14ac:dyDescent="0.15">
      <c r="A199" s="109"/>
      <c r="B199" s="109"/>
      <c r="C199" s="12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0"/>
      <c r="AK199" s="90"/>
      <c r="AL199" s="90"/>
      <c r="AM199" s="121"/>
      <c r="AN199" s="121"/>
      <c r="AO199" s="121"/>
      <c r="AP199" s="121"/>
      <c r="AQ199" s="121"/>
      <c r="AR199" s="121"/>
      <c r="AS199" s="121"/>
      <c r="AT199" s="121"/>
      <c r="AU199" s="121"/>
      <c r="AV199" s="121"/>
      <c r="AW199" s="121"/>
      <c r="AX199" s="121"/>
      <c r="AY199" s="121"/>
      <c r="AZ199" s="121"/>
      <c r="BA199" s="121"/>
      <c r="BB199" s="121"/>
      <c r="BC199" s="121"/>
      <c r="BD199" s="121"/>
      <c r="BE199" s="121"/>
      <c r="BF199" s="121"/>
      <c r="BG199" s="121"/>
      <c r="BH199" s="121"/>
      <c r="BI199" s="121"/>
      <c r="BJ199" s="121"/>
      <c r="BK199" s="121"/>
      <c r="BL199" s="121"/>
      <c r="BM199" s="121"/>
      <c r="BN199" s="121"/>
      <c r="BO199" s="121"/>
      <c r="BP199" s="121"/>
      <c r="BQ199" s="121"/>
      <c r="BR199" s="121"/>
      <c r="BS199" s="121"/>
      <c r="BT199" s="121"/>
      <c r="BU199" s="121"/>
    </row>
    <row r="200" spans="1:73" x14ac:dyDescent="0.15">
      <c r="A200" s="109"/>
      <c r="B200" s="109"/>
      <c r="C200" s="12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0"/>
      <c r="AK200" s="90"/>
      <c r="AL200" s="90"/>
      <c r="AM200" s="121"/>
      <c r="AN200" s="121"/>
      <c r="AO200" s="121"/>
      <c r="AP200" s="121"/>
      <c r="AQ200" s="121"/>
      <c r="AR200" s="121"/>
      <c r="AS200" s="121"/>
      <c r="AT200" s="121"/>
      <c r="AU200" s="121"/>
      <c r="AV200" s="121"/>
      <c r="AW200" s="121"/>
      <c r="AX200" s="121"/>
      <c r="AY200" s="121"/>
      <c r="AZ200" s="121"/>
      <c r="BA200" s="121"/>
      <c r="BB200" s="121"/>
      <c r="BC200" s="121"/>
      <c r="BD200" s="121"/>
      <c r="BE200" s="121"/>
      <c r="BF200" s="121"/>
      <c r="BG200" s="121"/>
      <c r="BH200" s="121"/>
      <c r="BI200" s="121"/>
      <c r="BJ200" s="121"/>
      <c r="BK200" s="121"/>
      <c r="BL200" s="121"/>
      <c r="BM200" s="121"/>
      <c r="BN200" s="121"/>
      <c r="BO200" s="121"/>
      <c r="BP200" s="121"/>
      <c r="BQ200" s="121"/>
      <c r="BR200" s="121"/>
      <c r="BS200" s="121"/>
      <c r="BT200" s="121"/>
      <c r="BU200" s="121"/>
    </row>
    <row r="201" spans="1:73" x14ac:dyDescent="0.15">
      <c r="A201" s="109"/>
      <c r="B201" s="109"/>
      <c r="C201" s="12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0"/>
      <c r="AK201" s="90"/>
      <c r="AL201" s="90"/>
      <c r="AM201" s="121"/>
      <c r="AN201" s="121"/>
      <c r="AO201" s="121"/>
      <c r="AP201" s="121"/>
      <c r="AQ201" s="121"/>
      <c r="AR201" s="121"/>
      <c r="AS201" s="121"/>
      <c r="AT201" s="121"/>
      <c r="AU201" s="121"/>
      <c r="AV201" s="121"/>
      <c r="AW201" s="121"/>
      <c r="AX201" s="121"/>
      <c r="AY201" s="121"/>
      <c r="AZ201" s="121"/>
      <c r="BA201" s="121"/>
      <c r="BB201" s="121"/>
      <c r="BC201" s="121"/>
      <c r="BD201" s="121"/>
      <c r="BE201" s="121"/>
      <c r="BF201" s="121"/>
      <c r="BG201" s="121"/>
      <c r="BH201" s="121"/>
      <c r="BI201" s="121"/>
      <c r="BJ201" s="121"/>
      <c r="BK201" s="121"/>
      <c r="BL201" s="121"/>
      <c r="BM201" s="121"/>
      <c r="BN201" s="121"/>
      <c r="BO201" s="121"/>
      <c r="BP201" s="121"/>
      <c r="BQ201" s="121"/>
      <c r="BR201" s="121"/>
      <c r="BS201" s="121"/>
      <c r="BT201" s="121"/>
      <c r="BU201" s="121"/>
    </row>
    <row r="202" spans="1:73" x14ac:dyDescent="0.15">
      <c r="A202" s="109"/>
      <c r="B202" s="109"/>
      <c r="C202" s="12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0"/>
      <c r="AK202" s="90"/>
      <c r="AL202" s="90"/>
      <c r="AM202" s="121"/>
      <c r="AN202" s="121"/>
      <c r="AO202" s="121"/>
      <c r="AP202" s="121"/>
      <c r="AQ202" s="121"/>
      <c r="AR202" s="121"/>
      <c r="AS202" s="121"/>
      <c r="AT202" s="121"/>
      <c r="AU202" s="121"/>
      <c r="AV202" s="121"/>
      <c r="AW202" s="121"/>
      <c r="AX202" s="121"/>
      <c r="AY202" s="121"/>
      <c r="AZ202" s="121"/>
      <c r="BA202" s="121"/>
      <c r="BB202" s="121"/>
      <c r="BC202" s="121"/>
      <c r="BD202" s="121"/>
      <c r="BE202" s="121"/>
      <c r="BF202" s="121"/>
      <c r="BG202" s="121"/>
      <c r="BH202" s="121"/>
      <c r="BI202" s="121"/>
      <c r="BJ202" s="121"/>
      <c r="BK202" s="121"/>
      <c r="BL202" s="121"/>
      <c r="BM202" s="121"/>
      <c r="BN202" s="121"/>
      <c r="BO202" s="121"/>
      <c r="BP202" s="121"/>
      <c r="BQ202" s="121"/>
      <c r="BR202" s="121"/>
      <c r="BS202" s="121"/>
      <c r="BT202" s="121"/>
      <c r="BU202" s="121"/>
    </row>
    <row r="203" spans="1:73" x14ac:dyDescent="0.15">
      <c r="A203" s="109"/>
      <c r="B203" s="109"/>
      <c r="C203" s="12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0"/>
      <c r="AK203" s="90"/>
      <c r="AL203" s="90"/>
      <c r="AM203" s="121"/>
      <c r="AN203" s="121"/>
      <c r="AO203" s="121"/>
      <c r="AP203" s="121"/>
      <c r="AQ203" s="121"/>
      <c r="AR203" s="121"/>
      <c r="AS203" s="121"/>
      <c r="AT203" s="121"/>
      <c r="AU203" s="121"/>
      <c r="AV203" s="121"/>
      <c r="AW203" s="121"/>
      <c r="AX203" s="121"/>
      <c r="AY203" s="121"/>
      <c r="AZ203" s="121"/>
      <c r="BA203" s="121"/>
      <c r="BB203" s="121"/>
      <c r="BC203" s="121"/>
      <c r="BD203" s="121"/>
      <c r="BE203" s="121"/>
      <c r="BF203" s="121"/>
      <c r="BG203" s="121"/>
      <c r="BH203" s="121"/>
      <c r="BI203" s="121"/>
      <c r="BJ203" s="121"/>
      <c r="BK203" s="121"/>
      <c r="BL203" s="121"/>
      <c r="BM203" s="121"/>
      <c r="BN203" s="121"/>
      <c r="BO203" s="121"/>
      <c r="BP203" s="121"/>
      <c r="BQ203" s="121"/>
      <c r="BR203" s="121"/>
      <c r="BS203" s="121"/>
      <c r="BT203" s="121"/>
      <c r="BU203" s="121"/>
    </row>
    <row r="204" spans="1:73" x14ac:dyDescent="0.15">
      <c r="A204" s="109"/>
      <c r="B204" s="109"/>
      <c r="C204" s="12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0"/>
      <c r="AK204" s="90"/>
      <c r="AL204" s="90"/>
      <c r="AM204" s="121"/>
      <c r="AN204" s="121"/>
      <c r="AO204" s="121"/>
      <c r="AP204" s="121"/>
      <c r="AQ204" s="121"/>
      <c r="AR204" s="121"/>
      <c r="AS204" s="121"/>
      <c r="AT204" s="121"/>
      <c r="AU204" s="121"/>
      <c r="AV204" s="121"/>
      <c r="AW204" s="121"/>
      <c r="AX204" s="121"/>
      <c r="AY204" s="121"/>
      <c r="AZ204" s="121"/>
      <c r="BA204" s="121"/>
      <c r="BB204" s="121"/>
      <c r="BC204" s="121"/>
      <c r="BD204" s="121"/>
      <c r="BE204" s="121"/>
      <c r="BF204" s="121"/>
      <c r="BG204" s="121"/>
      <c r="BH204" s="121"/>
      <c r="BI204" s="121"/>
      <c r="BJ204" s="121"/>
      <c r="BK204" s="121"/>
      <c r="BL204" s="121"/>
      <c r="BM204" s="121"/>
      <c r="BN204" s="121"/>
      <c r="BO204" s="121"/>
      <c r="BP204" s="121"/>
      <c r="BQ204" s="121"/>
      <c r="BR204" s="121"/>
      <c r="BS204" s="121"/>
      <c r="BT204" s="121"/>
      <c r="BU204" s="121"/>
    </row>
    <row r="205" spans="1:73" x14ac:dyDescent="0.15">
      <c r="A205" s="109"/>
      <c r="B205" s="109"/>
      <c r="C205" s="12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0"/>
      <c r="AK205" s="90"/>
      <c r="AL205" s="90"/>
      <c r="AM205" s="121"/>
      <c r="AN205" s="121"/>
      <c r="AO205" s="121"/>
      <c r="AP205" s="121"/>
      <c r="AQ205" s="121"/>
      <c r="AR205" s="121"/>
      <c r="AS205" s="121"/>
      <c r="AT205" s="121"/>
      <c r="AU205" s="121"/>
      <c r="AV205" s="121"/>
      <c r="AW205" s="121"/>
      <c r="AX205" s="121"/>
      <c r="AY205" s="121"/>
      <c r="AZ205" s="121"/>
      <c r="BA205" s="121"/>
      <c r="BB205" s="121"/>
      <c r="BC205" s="121"/>
      <c r="BD205" s="121"/>
      <c r="BE205" s="121"/>
      <c r="BF205" s="121"/>
      <c r="BG205" s="121"/>
      <c r="BH205" s="121"/>
      <c r="BI205" s="121"/>
      <c r="BJ205" s="121"/>
      <c r="BK205" s="121"/>
      <c r="BL205" s="121"/>
      <c r="BM205" s="121"/>
      <c r="BN205" s="121"/>
      <c r="BO205" s="121"/>
      <c r="BP205" s="121"/>
      <c r="BQ205" s="121"/>
      <c r="BR205" s="121"/>
      <c r="BS205" s="121"/>
      <c r="BT205" s="121"/>
      <c r="BU205" s="121"/>
    </row>
    <row r="206" spans="1:73" x14ac:dyDescent="0.15">
      <c r="A206" s="109"/>
      <c r="B206" s="109"/>
      <c r="C206" s="12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0"/>
      <c r="AK206" s="90"/>
      <c r="AL206" s="90"/>
      <c r="AM206" s="121"/>
      <c r="AN206" s="121"/>
      <c r="AO206" s="121"/>
      <c r="AP206" s="121"/>
      <c r="AQ206" s="121"/>
      <c r="AR206" s="121"/>
      <c r="AS206" s="121"/>
      <c r="AT206" s="121"/>
      <c r="AU206" s="121"/>
      <c r="AV206" s="121"/>
      <c r="AW206" s="121"/>
      <c r="AX206" s="121"/>
      <c r="AY206" s="121"/>
      <c r="AZ206" s="121"/>
      <c r="BA206" s="121"/>
      <c r="BB206" s="121"/>
      <c r="BC206" s="121"/>
      <c r="BD206" s="121"/>
      <c r="BE206" s="121"/>
      <c r="BF206" s="121"/>
      <c r="BG206" s="121"/>
      <c r="BH206" s="121"/>
      <c r="BI206" s="121"/>
      <c r="BJ206" s="121"/>
      <c r="BK206" s="121"/>
      <c r="BL206" s="121"/>
      <c r="BM206" s="121"/>
      <c r="BN206" s="121"/>
      <c r="BO206" s="121"/>
      <c r="BP206" s="121"/>
      <c r="BQ206" s="121"/>
      <c r="BR206" s="121"/>
      <c r="BS206" s="121"/>
      <c r="BT206" s="121"/>
      <c r="BU206" s="121"/>
    </row>
    <row r="207" spans="1:73" x14ac:dyDescent="0.15">
      <c r="A207" s="109"/>
      <c r="B207" s="109"/>
      <c r="C207" s="12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0"/>
      <c r="AK207" s="90"/>
      <c r="AL207" s="90"/>
      <c r="AM207" s="121"/>
      <c r="AN207" s="121"/>
      <c r="AO207" s="121"/>
      <c r="AP207" s="121"/>
      <c r="AQ207" s="121"/>
      <c r="AR207" s="121"/>
      <c r="AS207" s="121"/>
      <c r="AT207" s="121"/>
      <c r="AU207" s="121"/>
      <c r="AV207" s="121"/>
      <c r="AW207" s="121"/>
      <c r="AX207" s="121"/>
      <c r="AY207" s="121"/>
      <c r="AZ207" s="121"/>
      <c r="BA207" s="121"/>
      <c r="BB207" s="121"/>
      <c r="BC207" s="121"/>
      <c r="BD207" s="121"/>
      <c r="BE207" s="121"/>
      <c r="BF207" s="121"/>
      <c r="BG207" s="121"/>
      <c r="BH207" s="121"/>
      <c r="BI207" s="121"/>
      <c r="BJ207" s="121"/>
      <c r="BK207" s="121"/>
      <c r="BL207" s="121"/>
      <c r="BM207" s="121"/>
      <c r="BN207" s="121"/>
      <c r="BO207" s="121"/>
      <c r="BP207" s="121"/>
      <c r="BQ207" s="121"/>
      <c r="BR207" s="121"/>
      <c r="BS207" s="121"/>
      <c r="BT207" s="121"/>
      <c r="BU207" s="121"/>
    </row>
    <row r="208" spans="1:73" x14ac:dyDescent="0.15">
      <c r="A208" s="109"/>
      <c r="B208" s="109"/>
      <c r="C208" s="12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0"/>
      <c r="AK208" s="90"/>
      <c r="AL208" s="90"/>
      <c r="AM208" s="121"/>
      <c r="AN208" s="121"/>
      <c r="AO208" s="121"/>
      <c r="AP208" s="121"/>
      <c r="AQ208" s="121"/>
      <c r="AR208" s="121"/>
      <c r="AS208" s="121"/>
      <c r="AT208" s="121"/>
      <c r="AU208" s="121"/>
      <c r="AV208" s="121"/>
      <c r="AW208" s="121"/>
      <c r="AX208" s="121"/>
      <c r="AY208" s="121"/>
      <c r="AZ208" s="121"/>
      <c r="BA208" s="121"/>
      <c r="BB208" s="121"/>
      <c r="BC208" s="121"/>
      <c r="BD208" s="121"/>
      <c r="BE208" s="121"/>
      <c r="BF208" s="121"/>
      <c r="BG208" s="121"/>
      <c r="BH208" s="121"/>
      <c r="BI208" s="121"/>
      <c r="BJ208" s="121"/>
      <c r="BK208" s="121"/>
      <c r="BL208" s="121"/>
      <c r="BM208" s="121"/>
      <c r="BN208" s="121"/>
      <c r="BO208" s="121"/>
      <c r="BP208" s="121"/>
      <c r="BQ208" s="121"/>
      <c r="BR208" s="121"/>
      <c r="BS208" s="121"/>
      <c r="BT208" s="121"/>
      <c r="BU208" s="121"/>
    </row>
    <row r="209" spans="1:73" x14ac:dyDescent="0.15">
      <c r="A209" s="109"/>
      <c r="B209" s="109"/>
      <c r="C209" s="12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0"/>
      <c r="AK209" s="90"/>
      <c r="AL209" s="90"/>
      <c r="AM209" s="121"/>
      <c r="AN209" s="121"/>
      <c r="AO209" s="121"/>
      <c r="AP209" s="121"/>
      <c r="AQ209" s="121"/>
      <c r="AR209" s="121"/>
      <c r="AS209" s="121"/>
      <c r="AT209" s="121"/>
      <c r="AU209" s="121"/>
      <c r="AV209" s="121"/>
      <c r="AW209" s="121"/>
      <c r="AX209" s="121"/>
      <c r="AY209" s="121"/>
      <c r="AZ209" s="121"/>
      <c r="BA209" s="121"/>
      <c r="BB209" s="121"/>
      <c r="BC209" s="121"/>
      <c r="BD209" s="121"/>
      <c r="BE209" s="121"/>
      <c r="BF209" s="121"/>
      <c r="BG209" s="121"/>
      <c r="BH209" s="121"/>
      <c r="BI209" s="121"/>
      <c r="BJ209" s="121"/>
      <c r="BK209" s="121"/>
      <c r="BL209" s="121"/>
      <c r="BM209" s="121"/>
      <c r="BN209" s="121"/>
      <c r="BO209" s="121"/>
      <c r="BP209" s="121"/>
      <c r="BQ209" s="121"/>
      <c r="BR209" s="121"/>
      <c r="BS209" s="121"/>
      <c r="BT209" s="121"/>
      <c r="BU209" s="121"/>
    </row>
    <row r="210" spans="1:73" x14ac:dyDescent="0.15">
      <c r="A210" s="109"/>
      <c r="B210" s="109"/>
      <c r="C210" s="12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0"/>
      <c r="AK210" s="90"/>
      <c r="AL210" s="90"/>
      <c r="AM210" s="121"/>
      <c r="AN210" s="121"/>
      <c r="AO210" s="121"/>
      <c r="AP210" s="121"/>
      <c r="AQ210" s="121"/>
      <c r="AR210" s="121"/>
      <c r="AS210" s="121"/>
      <c r="AT210" s="121"/>
      <c r="AU210" s="121"/>
      <c r="AV210" s="121"/>
      <c r="AW210" s="121"/>
      <c r="AX210" s="121"/>
      <c r="AY210" s="121"/>
      <c r="AZ210" s="121"/>
      <c r="BA210" s="121"/>
      <c r="BB210" s="121"/>
      <c r="BC210" s="121"/>
      <c r="BD210" s="121"/>
      <c r="BE210" s="121"/>
      <c r="BF210" s="121"/>
      <c r="BG210" s="121"/>
      <c r="BH210" s="121"/>
      <c r="BI210" s="121"/>
      <c r="BJ210" s="121"/>
      <c r="BK210" s="121"/>
      <c r="BL210" s="121"/>
      <c r="BM210" s="121"/>
      <c r="BN210" s="121"/>
      <c r="BO210" s="121"/>
      <c r="BP210" s="121"/>
      <c r="BQ210" s="121"/>
      <c r="BR210" s="121"/>
      <c r="BS210" s="121"/>
      <c r="BT210" s="121"/>
      <c r="BU210" s="121"/>
    </row>
    <row r="211" spans="1:73" x14ac:dyDescent="0.15">
      <c r="A211" s="109"/>
      <c r="B211" s="109"/>
      <c r="C211" s="12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0"/>
      <c r="AK211" s="90"/>
      <c r="AL211" s="90"/>
      <c r="AM211" s="121"/>
      <c r="AN211" s="121"/>
      <c r="AO211" s="121"/>
      <c r="AP211" s="121"/>
      <c r="AQ211" s="121"/>
      <c r="AR211" s="121"/>
      <c r="AS211" s="121"/>
      <c r="AT211" s="121"/>
      <c r="AU211" s="121"/>
      <c r="AV211" s="121"/>
      <c r="AW211" s="121"/>
      <c r="AX211" s="121"/>
      <c r="AY211" s="121"/>
      <c r="AZ211" s="121"/>
      <c r="BA211" s="121"/>
      <c r="BB211" s="121"/>
      <c r="BC211" s="121"/>
      <c r="BD211" s="121"/>
      <c r="BE211" s="121"/>
      <c r="BF211" s="121"/>
      <c r="BG211" s="121"/>
      <c r="BH211" s="121"/>
      <c r="BI211" s="121"/>
      <c r="BJ211" s="121"/>
      <c r="BK211" s="121"/>
      <c r="BL211" s="121"/>
      <c r="BM211" s="121"/>
      <c r="BN211" s="121"/>
      <c r="BO211" s="121"/>
      <c r="BP211" s="121"/>
      <c r="BQ211" s="121"/>
      <c r="BR211" s="121"/>
      <c r="BS211" s="121"/>
      <c r="BT211" s="121"/>
      <c r="BU211" s="121"/>
    </row>
    <row r="212" spans="1:73" x14ac:dyDescent="0.15">
      <c r="A212" s="109"/>
      <c r="B212" s="109"/>
      <c r="C212" s="12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0"/>
      <c r="AK212" s="90"/>
      <c r="AL212" s="90"/>
      <c r="AM212" s="121"/>
      <c r="AN212" s="121"/>
      <c r="AO212" s="121"/>
      <c r="AP212" s="121"/>
      <c r="AQ212" s="121"/>
      <c r="AR212" s="121"/>
      <c r="AS212" s="121"/>
      <c r="AT212" s="121"/>
      <c r="AU212" s="121"/>
      <c r="AV212" s="121"/>
      <c r="AW212" s="121"/>
      <c r="AX212" s="121"/>
      <c r="AY212" s="121"/>
      <c r="AZ212" s="121"/>
      <c r="BA212" s="121"/>
      <c r="BB212" s="121"/>
      <c r="BC212" s="121"/>
      <c r="BD212" s="121"/>
      <c r="BE212" s="121"/>
      <c r="BF212" s="121"/>
      <c r="BG212" s="121"/>
      <c r="BH212" s="121"/>
      <c r="BI212" s="121"/>
      <c r="BJ212" s="121"/>
      <c r="BK212" s="121"/>
      <c r="BL212" s="121"/>
      <c r="BM212" s="121"/>
      <c r="BN212" s="121"/>
      <c r="BO212" s="121"/>
      <c r="BP212" s="121"/>
      <c r="BQ212" s="121"/>
      <c r="BR212" s="121"/>
      <c r="BS212" s="121"/>
      <c r="BT212" s="121"/>
      <c r="BU212" s="121"/>
    </row>
    <row r="213" spans="1:73" x14ac:dyDescent="0.15">
      <c r="A213" s="109"/>
      <c r="B213" s="109"/>
      <c r="C213" s="12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0"/>
      <c r="AK213" s="90"/>
      <c r="AL213" s="90"/>
      <c r="AM213" s="121"/>
      <c r="AN213" s="121"/>
      <c r="AO213" s="121"/>
      <c r="AP213" s="121"/>
      <c r="AQ213" s="121"/>
      <c r="AR213" s="121"/>
      <c r="AS213" s="121"/>
      <c r="AT213" s="121"/>
      <c r="AU213" s="121"/>
      <c r="AV213" s="121"/>
      <c r="AW213" s="121"/>
      <c r="AX213" s="121"/>
      <c r="AY213" s="121"/>
      <c r="AZ213" s="121"/>
      <c r="BA213" s="121"/>
      <c r="BB213" s="121"/>
      <c r="BC213" s="121"/>
      <c r="BD213" s="121"/>
      <c r="BE213" s="121"/>
      <c r="BF213" s="121"/>
      <c r="BG213" s="121"/>
      <c r="BH213" s="121"/>
      <c r="BI213" s="121"/>
      <c r="BJ213" s="121"/>
      <c r="BK213" s="121"/>
      <c r="BL213" s="121"/>
      <c r="BM213" s="121"/>
      <c r="BN213" s="121"/>
      <c r="BO213" s="121"/>
      <c r="BP213" s="121"/>
      <c r="BQ213" s="121"/>
      <c r="BR213" s="121"/>
      <c r="BS213" s="121"/>
      <c r="BT213" s="121"/>
      <c r="BU213" s="121"/>
    </row>
    <row r="214" spans="1:73" x14ac:dyDescent="0.15">
      <c r="A214" s="109"/>
      <c r="B214" s="109"/>
      <c r="C214" s="12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0"/>
      <c r="AK214" s="90"/>
      <c r="AL214" s="90"/>
      <c r="AM214" s="121"/>
      <c r="AN214" s="121"/>
      <c r="AO214" s="121"/>
      <c r="AP214" s="121"/>
      <c r="AQ214" s="121"/>
      <c r="AR214" s="121"/>
      <c r="AS214" s="121"/>
      <c r="AT214" s="121"/>
      <c r="AU214" s="121"/>
      <c r="AV214" s="121"/>
      <c r="AW214" s="121"/>
      <c r="AX214" s="121"/>
      <c r="AY214" s="121"/>
      <c r="AZ214" s="121"/>
      <c r="BA214" s="121"/>
      <c r="BB214" s="121"/>
      <c r="BC214" s="121"/>
      <c r="BD214" s="121"/>
      <c r="BE214" s="121"/>
      <c r="BF214" s="121"/>
      <c r="BG214" s="121"/>
      <c r="BH214" s="121"/>
      <c r="BI214" s="121"/>
      <c r="BJ214" s="121"/>
      <c r="BK214" s="121"/>
      <c r="BL214" s="121"/>
      <c r="BM214" s="121"/>
      <c r="BN214" s="121"/>
      <c r="BO214" s="121"/>
      <c r="BP214" s="121"/>
      <c r="BQ214" s="121"/>
      <c r="BR214" s="121"/>
      <c r="BS214" s="121"/>
      <c r="BT214" s="121"/>
      <c r="BU214" s="121"/>
    </row>
    <row r="215" spans="1:73" x14ac:dyDescent="0.15">
      <c r="A215" s="109"/>
      <c r="B215" s="109"/>
      <c r="C215" s="12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0"/>
      <c r="AK215" s="90"/>
      <c r="AL215" s="90"/>
      <c r="AM215" s="121"/>
      <c r="AN215" s="121"/>
      <c r="AO215" s="121"/>
      <c r="AP215" s="121"/>
      <c r="AQ215" s="121"/>
      <c r="AR215" s="121"/>
      <c r="AS215" s="121"/>
      <c r="AT215" s="121"/>
      <c r="AU215" s="121"/>
      <c r="AV215" s="121"/>
      <c r="AW215" s="121"/>
      <c r="AX215" s="121"/>
      <c r="AY215" s="121"/>
      <c r="AZ215" s="121"/>
      <c r="BA215" s="121"/>
      <c r="BB215" s="121"/>
      <c r="BC215" s="121"/>
      <c r="BD215" s="121"/>
      <c r="BE215" s="121"/>
      <c r="BF215" s="121"/>
      <c r="BG215" s="121"/>
      <c r="BH215" s="121"/>
      <c r="BI215" s="121"/>
      <c r="BJ215" s="121"/>
      <c r="BK215" s="121"/>
      <c r="BL215" s="121"/>
      <c r="BM215" s="121"/>
      <c r="BN215" s="121"/>
      <c r="BO215" s="121"/>
      <c r="BP215" s="121"/>
      <c r="BQ215" s="121"/>
      <c r="BR215" s="121"/>
      <c r="BS215" s="121"/>
      <c r="BT215" s="121"/>
      <c r="BU215" s="121"/>
    </row>
    <row r="216" spans="1:73" x14ac:dyDescent="0.15">
      <c r="A216" s="109"/>
      <c r="B216" s="109"/>
      <c r="C216" s="12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0"/>
      <c r="AK216" s="90"/>
      <c r="AL216" s="90"/>
      <c r="AM216" s="121"/>
      <c r="AN216" s="121"/>
      <c r="AO216" s="121"/>
      <c r="AP216" s="121"/>
      <c r="AQ216" s="121"/>
      <c r="AR216" s="121"/>
      <c r="AS216" s="121"/>
      <c r="AT216" s="121"/>
      <c r="AU216" s="121"/>
      <c r="AV216" s="121"/>
      <c r="AW216" s="121"/>
      <c r="AX216" s="121"/>
      <c r="AY216" s="121"/>
      <c r="AZ216" s="121"/>
      <c r="BA216" s="121"/>
      <c r="BB216" s="121"/>
      <c r="BC216" s="121"/>
      <c r="BD216" s="121"/>
      <c r="BE216" s="121"/>
      <c r="BF216" s="121"/>
      <c r="BG216" s="121"/>
      <c r="BH216" s="121"/>
      <c r="BI216" s="121"/>
      <c r="BJ216" s="121"/>
      <c r="BK216" s="121"/>
      <c r="BL216" s="121"/>
      <c r="BM216" s="121"/>
      <c r="BN216" s="121"/>
      <c r="BO216" s="121"/>
      <c r="BP216" s="121"/>
      <c r="BQ216" s="121"/>
      <c r="BR216" s="121"/>
      <c r="BS216" s="121"/>
      <c r="BT216" s="121"/>
      <c r="BU216" s="121"/>
    </row>
    <row r="217" spans="1:73" x14ac:dyDescent="0.15">
      <c r="A217" s="109"/>
      <c r="B217" s="109"/>
      <c r="C217" s="12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0"/>
      <c r="AK217" s="90"/>
      <c r="AL217" s="90"/>
      <c r="AM217" s="121"/>
      <c r="AN217" s="121"/>
      <c r="AO217" s="121"/>
      <c r="AP217" s="121"/>
      <c r="AQ217" s="121"/>
      <c r="AR217" s="121"/>
      <c r="AS217" s="121"/>
      <c r="AT217" s="121"/>
      <c r="AU217" s="121"/>
      <c r="AV217" s="121"/>
      <c r="AW217" s="121"/>
      <c r="AX217" s="121"/>
      <c r="AY217" s="121"/>
      <c r="AZ217" s="121"/>
      <c r="BA217" s="121"/>
      <c r="BB217" s="121"/>
      <c r="BC217" s="121"/>
      <c r="BD217" s="121"/>
      <c r="BE217" s="121"/>
      <c r="BF217" s="121"/>
      <c r="BG217" s="121"/>
      <c r="BH217" s="121"/>
      <c r="BI217" s="121"/>
      <c r="BJ217" s="121"/>
      <c r="BK217" s="121"/>
      <c r="BL217" s="121"/>
      <c r="BM217" s="121"/>
      <c r="BN217" s="121"/>
      <c r="BO217" s="121"/>
      <c r="BP217" s="121"/>
      <c r="BQ217" s="121"/>
      <c r="BR217" s="121"/>
      <c r="BS217" s="121"/>
      <c r="BT217" s="121"/>
      <c r="BU217" s="121"/>
    </row>
    <row r="218" spans="1:73" x14ac:dyDescent="0.15">
      <c r="A218" s="109"/>
      <c r="B218" s="109"/>
      <c r="C218" s="12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0"/>
      <c r="AK218" s="90"/>
      <c r="AL218" s="90"/>
      <c r="AM218" s="121"/>
      <c r="AN218" s="121"/>
      <c r="AO218" s="121"/>
      <c r="AP218" s="121"/>
      <c r="AQ218" s="121"/>
      <c r="AR218" s="121"/>
      <c r="AS218" s="121"/>
      <c r="AT218" s="121"/>
      <c r="AU218" s="121"/>
      <c r="AV218" s="121"/>
      <c r="AW218" s="121"/>
      <c r="AX218" s="121"/>
      <c r="AY218" s="121"/>
      <c r="AZ218" s="121"/>
      <c r="BA218" s="121"/>
      <c r="BB218" s="121"/>
      <c r="BC218" s="121"/>
      <c r="BD218" s="121"/>
      <c r="BE218" s="121"/>
      <c r="BF218" s="121"/>
      <c r="BG218" s="121"/>
      <c r="BH218" s="121"/>
      <c r="BI218" s="121"/>
      <c r="BJ218" s="121"/>
      <c r="BK218" s="121"/>
      <c r="BL218" s="121"/>
      <c r="BM218" s="121"/>
      <c r="BN218" s="121"/>
      <c r="BO218" s="121"/>
      <c r="BP218" s="121"/>
      <c r="BQ218" s="121"/>
      <c r="BR218" s="121"/>
      <c r="BS218" s="121"/>
      <c r="BT218" s="121"/>
      <c r="BU218" s="121"/>
    </row>
    <row r="219" spans="1:73" x14ac:dyDescent="0.15">
      <c r="A219" s="109"/>
      <c r="B219" s="109"/>
      <c r="C219" s="12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0"/>
      <c r="AK219" s="90"/>
      <c r="AL219" s="90"/>
      <c r="AM219" s="121"/>
      <c r="AN219" s="121"/>
      <c r="AO219" s="121"/>
      <c r="AP219" s="121"/>
      <c r="AQ219" s="121"/>
      <c r="AR219" s="121"/>
      <c r="AS219" s="121"/>
      <c r="AT219" s="121"/>
      <c r="AU219" s="121"/>
      <c r="AV219" s="121"/>
      <c r="AW219" s="121"/>
      <c r="AX219" s="121"/>
      <c r="AY219" s="121"/>
      <c r="AZ219" s="121"/>
      <c r="BA219" s="121"/>
      <c r="BB219" s="121"/>
      <c r="BC219" s="121"/>
      <c r="BD219" s="121"/>
      <c r="BE219" s="121"/>
      <c r="BF219" s="121"/>
      <c r="BG219" s="121"/>
      <c r="BH219" s="121"/>
      <c r="BI219" s="121"/>
      <c r="BJ219" s="121"/>
      <c r="BK219" s="121"/>
      <c r="BL219" s="121"/>
      <c r="BM219" s="121"/>
      <c r="BN219" s="121"/>
      <c r="BO219" s="121"/>
      <c r="BP219" s="121"/>
      <c r="BQ219" s="121"/>
      <c r="BR219" s="121"/>
      <c r="BS219" s="121"/>
      <c r="BT219" s="121"/>
      <c r="BU219" s="121"/>
    </row>
    <row r="220" spans="1:73" x14ac:dyDescent="0.15">
      <c r="A220" s="109"/>
      <c r="B220" s="109"/>
      <c r="C220" s="12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0"/>
      <c r="AK220" s="90"/>
      <c r="AL220" s="90"/>
      <c r="AM220" s="121"/>
      <c r="AN220" s="121"/>
      <c r="AO220" s="121"/>
      <c r="AP220" s="121"/>
      <c r="AQ220" s="121"/>
      <c r="AR220" s="121"/>
      <c r="AS220" s="121"/>
      <c r="AT220" s="121"/>
      <c r="AU220" s="121"/>
      <c r="AV220" s="121"/>
      <c r="AW220" s="121"/>
      <c r="AX220" s="121"/>
      <c r="AY220" s="121"/>
      <c r="AZ220" s="121"/>
      <c r="BA220" s="121"/>
      <c r="BB220" s="121"/>
      <c r="BC220" s="121"/>
      <c r="BD220" s="121"/>
      <c r="BE220" s="121"/>
      <c r="BF220" s="121"/>
      <c r="BG220" s="121"/>
      <c r="BH220" s="121"/>
      <c r="BI220" s="121"/>
      <c r="BJ220" s="121"/>
      <c r="BK220" s="121"/>
      <c r="BL220" s="121"/>
      <c r="BM220" s="121"/>
      <c r="BN220" s="121"/>
      <c r="BO220" s="121"/>
      <c r="BP220" s="121"/>
      <c r="BQ220" s="121"/>
      <c r="BR220" s="121"/>
      <c r="BS220" s="121"/>
      <c r="BT220" s="121"/>
      <c r="BU220" s="121"/>
    </row>
    <row r="221" spans="1:73" x14ac:dyDescent="0.15">
      <c r="A221" s="109"/>
      <c r="B221" s="109"/>
      <c r="C221" s="12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0"/>
      <c r="AK221" s="90"/>
      <c r="AL221" s="90"/>
      <c r="AM221" s="121"/>
      <c r="AN221" s="121"/>
      <c r="AO221" s="121"/>
      <c r="AP221" s="121"/>
      <c r="AQ221" s="121"/>
      <c r="AR221" s="121"/>
      <c r="AS221" s="121"/>
      <c r="AT221" s="121"/>
      <c r="AU221" s="121"/>
      <c r="AV221" s="121"/>
      <c r="AW221" s="121"/>
      <c r="AX221" s="121"/>
      <c r="AY221" s="121"/>
      <c r="AZ221" s="121"/>
      <c r="BA221" s="121"/>
      <c r="BB221" s="121"/>
      <c r="BC221" s="121"/>
      <c r="BD221" s="121"/>
      <c r="BE221" s="121"/>
      <c r="BF221" s="121"/>
      <c r="BG221" s="121"/>
      <c r="BH221" s="121"/>
      <c r="BI221" s="121"/>
      <c r="BJ221" s="121"/>
      <c r="BK221" s="121"/>
      <c r="BL221" s="121"/>
      <c r="BM221" s="121"/>
      <c r="BN221" s="121"/>
      <c r="BO221" s="121"/>
      <c r="BP221" s="121"/>
      <c r="BQ221" s="121"/>
      <c r="BR221" s="121"/>
      <c r="BS221" s="121"/>
      <c r="BT221" s="121"/>
      <c r="BU221" s="121"/>
    </row>
    <row r="222" spans="1:73" x14ac:dyDescent="0.15">
      <c r="A222" s="109"/>
      <c r="B222" s="109"/>
      <c r="C222" s="12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0"/>
      <c r="AK222" s="90"/>
      <c r="AL222" s="90"/>
      <c r="AM222" s="121"/>
      <c r="AN222" s="121"/>
      <c r="AO222" s="121"/>
      <c r="AP222" s="121"/>
      <c r="AQ222" s="121"/>
      <c r="AR222" s="121"/>
      <c r="AS222" s="121"/>
      <c r="AT222" s="121"/>
      <c r="AU222" s="121"/>
      <c r="AV222" s="121"/>
      <c r="AW222" s="121"/>
      <c r="AX222" s="121"/>
      <c r="AY222" s="121"/>
      <c r="AZ222" s="121"/>
      <c r="BA222" s="121"/>
      <c r="BB222" s="121"/>
      <c r="BC222" s="121"/>
      <c r="BD222" s="121"/>
      <c r="BE222" s="121"/>
      <c r="BF222" s="121"/>
      <c r="BG222" s="121"/>
      <c r="BH222" s="121"/>
      <c r="BI222" s="121"/>
      <c r="BJ222" s="121"/>
      <c r="BK222" s="121"/>
      <c r="BL222" s="121"/>
      <c r="BM222" s="121"/>
      <c r="BN222" s="121"/>
      <c r="BO222" s="121"/>
      <c r="BP222" s="121"/>
      <c r="BQ222" s="121"/>
      <c r="BR222" s="121"/>
      <c r="BS222" s="121"/>
      <c r="BT222" s="121"/>
      <c r="BU222" s="121"/>
    </row>
    <row r="223" spans="1:73" x14ac:dyDescent="0.15">
      <c r="A223" s="109"/>
      <c r="B223" s="109"/>
      <c r="C223" s="12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0"/>
      <c r="AK223" s="90"/>
      <c r="AL223" s="90"/>
      <c r="AM223" s="121"/>
      <c r="AN223" s="121"/>
      <c r="AO223" s="121"/>
      <c r="AP223" s="121"/>
      <c r="AQ223" s="121"/>
      <c r="AR223" s="121"/>
      <c r="AS223" s="121"/>
      <c r="AT223" s="121"/>
      <c r="AU223" s="121"/>
      <c r="AV223" s="121"/>
      <c r="AW223" s="121"/>
      <c r="AX223" s="121"/>
      <c r="AY223" s="121"/>
      <c r="AZ223" s="121"/>
      <c r="BA223" s="121"/>
      <c r="BB223" s="121"/>
      <c r="BC223" s="121"/>
      <c r="BD223" s="121"/>
      <c r="BE223" s="121"/>
      <c r="BF223" s="121"/>
      <c r="BG223" s="121"/>
      <c r="BH223" s="121"/>
      <c r="BI223" s="121"/>
      <c r="BJ223" s="121"/>
      <c r="BK223" s="121"/>
      <c r="BL223" s="121"/>
      <c r="BM223" s="121"/>
      <c r="BN223" s="121"/>
      <c r="BO223" s="121"/>
      <c r="BP223" s="121"/>
      <c r="BQ223" s="121"/>
      <c r="BR223" s="121"/>
      <c r="BS223" s="121"/>
      <c r="BT223" s="121"/>
      <c r="BU223" s="121"/>
    </row>
    <row r="224" spans="1:73" x14ac:dyDescent="0.15">
      <c r="A224" s="109"/>
      <c r="B224" s="109"/>
      <c r="C224" s="12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0"/>
      <c r="AK224" s="90"/>
      <c r="AL224" s="90"/>
      <c r="AM224" s="121"/>
      <c r="AN224" s="121"/>
      <c r="AO224" s="121"/>
      <c r="AP224" s="121"/>
      <c r="AQ224" s="121"/>
      <c r="AR224" s="121"/>
      <c r="AS224" s="121"/>
      <c r="AT224" s="121"/>
      <c r="AU224" s="121"/>
      <c r="AV224" s="121"/>
      <c r="AW224" s="121"/>
      <c r="AX224" s="121"/>
      <c r="AY224" s="121"/>
      <c r="AZ224" s="121"/>
      <c r="BA224" s="121"/>
      <c r="BB224" s="121"/>
      <c r="BC224" s="121"/>
      <c r="BD224" s="121"/>
      <c r="BE224" s="121"/>
      <c r="BF224" s="121"/>
      <c r="BG224" s="121"/>
      <c r="BH224" s="121"/>
      <c r="BI224" s="121"/>
      <c r="BJ224" s="121"/>
      <c r="BK224" s="121"/>
      <c r="BL224" s="121"/>
      <c r="BM224" s="121"/>
      <c r="BN224" s="121"/>
      <c r="BO224" s="121"/>
      <c r="BP224" s="121"/>
      <c r="BQ224" s="121"/>
      <c r="BR224" s="121"/>
      <c r="BS224" s="121"/>
      <c r="BT224" s="121"/>
      <c r="BU224" s="121"/>
    </row>
    <row r="225" spans="1:73" x14ac:dyDescent="0.15">
      <c r="A225" s="109"/>
      <c r="B225" s="109"/>
      <c r="C225" s="12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0"/>
      <c r="AK225" s="90"/>
      <c r="AL225" s="90"/>
      <c r="AM225" s="121"/>
      <c r="AN225" s="121"/>
      <c r="AO225" s="121"/>
      <c r="AP225" s="121"/>
      <c r="AQ225" s="121"/>
      <c r="AR225" s="121"/>
      <c r="AS225" s="121"/>
      <c r="AT225" s="121"/>
      <c r="AU225" s="121"/>
      <c r="AV225" s="121"/>
      <c r="AW225" s="121"/>
      <c r="AX225" s="121"/>
      <c r="AY225" s="121"/>
      <c r="AZ225" s="121"/>
      <c r="BA225" s="121"/>
      <c r="BB225" s="121"/>
      <c r="BC225" s="121"/>
      <c r="BD225" s="121"/>
      <c r="BE225" s="121"/>
      <c r="BF225" s="121"/>
      <c r="BG225" s="121"/>
      <c r="BH225" s="121"/>
      <c r="BI225" s="121"/>
      <c r="BJ225" s="121"/>
      <c r="BK225" s="121"/>
      <c r="BL225" s="121"/>
      <c r="BM225" s="121"/>
      <c r="BN225" s="121"/>
      <c r="BO225" s="121"/>
      <c r="BP225" s="121"/>
      <c r="BQ225" s="121"/>
      <c r="BR225" s="121"/>
      <c r="BS225" s="121"/>
      <c r="BT225" s="121"/>
      <c r="BU225" s="121"/>
    </row>
    <row r="226" spans="1:73" x14ac:dyDescent="0.15">
      <c r="A226" s="109"/>
      <c r="B226" s="109"/>
      <c r="C226" s="12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0"/>
      <c r="AK226" s="90"/>
      <c r="AL226" s="90"/>
      <c r="AM226" s="121"/>
      <c r="AN226" s="121"/>
      <c r="AO226" s="121"/>
      <c r="AP226" s="121"/>
      <c r="AQ226" s="121"/>
      <c r="AR226" s="121"/>
      <c r="AS226" s="121"/>
      <c r="AT226" s="121"/>
      <c r="AU226" s="121"/>
      <c r="AV226" s="121"/>
      <c r="AW226" s="121"/>
      <c r="AX226" s="121"/>
      <c r="AY226" s="121"/>
      <c r="AZ226" s="121"/>
      <c r="BA226" s="121"/>
      <c r="BB226" s="121"/>
      <c r="BC226" s="121"/>
      <c r="BD226" s="121"/>
      <c r="BE226" s="121"/>
      <c r="BF226" s="121"/>
      <c r="BG226" s="121"/>
      <c r="BH226" s="121"/>
      <c r="BI226" s="121"/>
      <c r="BJ226" s="121"/>
      <c r="BK226" s="121"/>
      <c r="BL226" s="121"/>
      <c r="BM226" s="121"/>
      <c r="BN226" s="121"/>
      <c r="BO226" s="121"/>
      <c r="BP226" s="121"/>
      <c r="BQ226" s="121"/>
      <c r="BR226" s="121"/>
      <c r="BS226" s="121"/>
      <c r="BT226" s="121"/>
      <c r="BU226" s="121"/>
    </row>
    <row r="227" spans="1:73" x14ac:dyDescent="0.15">
      <c r="A227" s="109"/>
      <c r="B227" s="109"/>
      <c r="C227" s="12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0"/>
      <c r="AK227" s="90"/>
      <c r="AL227" s="90"/>
      <c r="AM227" s="121"/>
      <c r="AN227" s="121"/>
      <c r="AO227" s="121"/>
      <c r="AP227" s="121"/>
      <c r="AQ227" s="121"/>
      <c r="AR227" s="121"/>
      <c r="AS227" s="121"/>
      <c r="AT227" s="121"/>
      <c r="AU227" s="121"/>
      <c r="AV227" s="121"/>
      <c r="AW227" s="121"/>
      <c r="AX227" s="121"/>
      <c r="AY227" s="121"/>
      <c r="AZ227" s="121"/>
      <c r="BA227" s="121"/>
      <c r="BB227" s="121"/>
      <c r="BC227" s="121"/>
      <c r="BD227" s="121"/>
      <c r="BE227" s="121"/>
      <c r="BF227" s="121"/>
      <c r="BG227" s="121"/>
      <c r="BH227" s="121"/>
      <c r="BI227" s="121"/>
      <c r="BJ227" s="121"/>
      <c r="BK227" s="121"/>
      <c r="BL227" s="121"/>
      <c r="BM227" s="121"/>
      <c r="BN227" s="121"/>
      <c r="BO227" s="121"/>
      <c r="BP227" s="121"/>
      <c r="BQ227" s="121"/>
      <c r="BR227" s="121"/>
      <c r="BS227" s="121"/>
      <c r="BT227" s="121"/>
      <c r="BU227" s="121"/>
    </row>
    <row r="228" spans="1:73" x14ac:dyDescent="0.15">
      <c r="A228" s="109"/>
      <c r="B228" s="109"/>
      <c r="C228" s="12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0"/>
      <c r="AK228" s="90"/>
      <c r="AL228" s="90"/>
      <c r="AM228" s="121"/>
      <c r="AN228" s="121"/>
      <c r="AO228" s="121"/>
      <c r="AP228" s="121"/>
      <c r="AQ228" s="121"/>
      <c r="AR228" s="121"/>
      <c r="AS228" s="121"/>
      <c r="AT228" s="121"/>
      <c r="AU228" s="121"/>
      <c r="AV228" s="121"/>
      <c r="AW228" s="121"/>
      <c r="AX228" s="121"/>
      <c r="AY228" s="121"/>
      <c r="AZ228" s="121"/>
      <c r="BA228" s="121"/>
      <c r="BB228" s="121"/>
      <c r="BC228" s="121"/>
      <c r="BD228" s="121"/>
      <c r="BE228" s="121"/>
      <c r="BF228" s="121"/>
      <c r="BG228" s="121"/>
      <c r="BH228" s="121"/>
      <c r="BI228" s="121"/>
      <c r="BJ228" s="121"/>
      <c r="BK228" s="121"/>
      <c r="BL228" s="121"/>
      <c r="BM228" s="121"/>
      <c r="BN228" s="121"/>
      <c r="BO228" s="121"/>
      <c r="BP228" s="121"/>
      <c r="BQ228" s="121"/>
      <c r="BR228" s="121"/>
      <c r="BS228" s="121"/>
      <c r="BT228" s="121"/>
      <c r="BU228" s="121"/>
    </row>
    <row r="229" spans="1:73" x14ac:dyDescent="0.15">
      <c r="A229" s="109"/>
      <c r="B229" s="109"/>
      <c r="C229" s="12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0"/>
      <c r="AK229" s="90"/>
      <c r="AL229" s="90"/>
      <c r="AM229" s="121"/>
      <c r="AN229" s="121"/>
      <c r="AO229" s="121"/>
      <c r="AP229" s="121"/>
      <c r="AQ229" s="121"/>
      <c r="AR229" s="121"/>
      <c r="AS229" s="121"/>
      <c r="AT229" s="121"/>
      <c r="AU229" s="121"/>
      <c r="AV229" s="121"/>
      <c r="AW229" s="121"/>
      <c r="AX229" s="121"/>
      <c r="AY229" s="121"/>
      <c r="AZ229" s="121"/>
      <c r="BA229" s="121"/>
      <c r="BB229" s="121"/>
      <c r="BC229" s="121"/>
      <c r="BD229" s="121"/>
      <c r="BE229" s="121"/>
      <c r="BF229" s="121"/>
      <c r="BG229" s="121"/>
      <c r="BH229" s="121"/>
      <c r="BI229" s="121"/>
      <c r="BJ229" s="121"/>
      <c r="BK229" s="121"/>
      <c r="BL229" s="121"/>
      <c r="BM229" s="121"/>
      <c r="BN229" s="121"/>
      <c r="BO229" s="121"/>
      <c r="BP229" s="121"/>
      <c r="BQ229" s="121"/>
      <c r="BR229" s="121"/>
      <c r="BS229" s="121"/>
      <c r="BT229" s="121"/>
      <c r="BU229" s="121"/>
    </row>
    <row r="230" spans="1:73" x14ac:dyDescent="0.15">
      <c r="A230" s="109"/>
      <c r="B230" s="109"/>
      <c r="C230" s="12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0"/>
      <c r="AK230" s="90"/>
      <c r="AL230" s="90"/>
      <c r="AM230" s="121"/>
      <c r="AN230" s="121"/>
      <c r="AO230" s="121"/>
      <c r="AP230" s="121"/>
      <c r="AQ230" s="121"/>
      <c r="AR230" s="121"/>
      <c r="AS230" s="121"/>
      <c r="AT230" s="121"/>
      <c r="AU230" s="121"/>
      <c r="AV230" s="121"/>
      <c r="AW230" s="121"/>
      <c r="AX230" s="121"/>
      <c r="AY230" s="121"/>
      <c r="AZ230" s="121"/>
      <c r="BA230" s="121"/>
      <c r="BB230" s="121"/>
      <c r="BC230" s="121"/>
      <c r="BD230" s="121"/>
      <c r="BE230" s="121"/>
      <c r="BF230" s="121"/>
      <c r="BG230" s="121"/>
      <c r="BH230" s="121"/>
      <c r="BI230" s="121"/>
      <c r="BJ230" s="121"/>
      <c r="BK230" s="121"/>
      <c r="BL230" s="121"/>
      <c r="BM230" s="121"/>
      <c r="BN230" s="121"/>
      <c r="BO230" s="121"/>
      <c r="BP230" s="121"/>
      <c r="BQ230" s="121"/>
      <c r="BR230" s="121"/>
      <c r="BS230" s="121"/>
      <c r="BT230" s="121"/>
      <c r="BU230" s="121"/>
    </row>
    <row r="231" spans="1:73" x14ac:dyDescent="0.15">
      <c r="A231" s="109"/>
      <c r="B231" s="109"/>
      <c r="C231" s="12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0"/>
      <c r="AK231" s="90"/>
      <c r="AL231" s="90"/>
      <c r="AM231" s="121"/>
      <c r="AN231" s="121"/>
      <c r="AO231" s="121"/>
      <c r="AP231" s="121"/>
      <c r="AQ231" s="121"/>
      <c r="AR231" s="121"/>
      <c r="AS231" s="121"/>
      <c r="AT231" s="121"/>
      <c r="AU231" s="121"/>
      <c r="AV231" s="121"/>
      <c r="AW231" s="121"/>
      <c r="AX231" s="121"/>
      <c r="AY231" s="121"/>
      <c r="AZ231" s="121"/>
      <c r="BA231" s="121"/>
      <c r="BB231" s="121"/>
      <c r="BC231" s="121"/>
      <c r="BD231" s="121"/>
      <c r="BE231" s="121"/>
      <c r="BF231" s="121"/>
      <c r="BG231" s="121"/>
      <c r="BH231" s="121"/>
      <c r="BI231" s="121"/>
      <c r="BJ231" s="121"/>
      <c r="BK231" s="121"/>
      <c r="BL231" s="121"/>
      <c r="BM231" s="121"/>
      <c r="BN231" s="121"/>
      <c r="BO231" s="121"/>
      <c r="BP231" s="121"/>
      <c r="BQ231" s="121"/>
      <c r="BR231" s="121"/>
      <c r="BS231" s="121"/>
      <c r="BT231" s="121"/>
      <c r="BU231" s="121"/>
    </row>
    <row r="232" spans="1:73" x14ac:dyDescent="0.15">
      <c r="A232" s="109"/>
      <c r="B232" s="109"/>
      <c r="C232" s="12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0"/>
      <c r="AK232" s="90"/>
      <c r="AL232" s="90"/>
      <c r="AM232" s="121"/>
      <c r="AN232" s="121"/>
      <c r="AO232" s="121"/>
      <c r="AP232" s="121"/>
      <c r="AQ232" s="121"/>
      <c r="AR232" s="121"/>
      <c r="AS232" s="121"/>
      <c r="AT232" s="121"/>
      <c r="AU232" s="121"/>
      <c r="AV232" s="121"/>
      <c r="AW232" s="121"/>
      <c r="AX232" s="121"/>
      <c r="AY232" s="121"/>
      <c r="AZ232" s="121"/>
      <c r="BA232" s="121"/>
      <c r="BB232" s="121"/>
      <c r="BC232" s="121"/>
      <c r="BD232" s="121"/>
      <c r="BE232" s="121"/>
      <c r="BF232" s="121"/>
      <c r="BG232" s="121"/>
      <c r="BH232" s="121"/>
      <c r="BI232" s="121"/>
      <c r="BJ232" s="121"/>
      <c r="BK232" s="121"/>
      <c r="BL232" s="121"/>
      <c r="BM232" s="121"/>
      <c r="BN232" s="121"/>
      <c r="BO232" s="121"/>
      <c r="BP232" s="121"/>
      <c r="BQ232" s="121"/>
      <c r="BR232" s="121"/>
      <c r="BS232" s="121"/>
      <c r="BT232" s="121"/>
      <c r="BU232" s="121"/>
    </row>
    <row r="233" spans="1:73" x14ac:dyDescent="0.15">
      <c r="A233" s="109"/>
      <c r="B233" s="109"/>
      <c r="C233" s="12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0"/>
      <c r="AK233" s="90"/>
      <c r="AL233" s="90"/>
      <c r="AM233" s="121"/>
      <c r="AN233" s="121"/>
      <c r="AO233" s="121"/>
      <c r="AP233" s="121"/>
      <c r="AQ233" s="121"/>
      <c r="AR233" s="121"/>
      <c r="AS233" s="121"/>
      <c r="AT233" s="121"/>
      <c r="AU233" s="121"/>
      <c r="AV233" s="121"/>
      <c r="AW233" s="121"/>
      <c r="AX233" s="121"/>
      <c r="AY233" s="121"/>
      <c r="AZ233" s="121"/>
      <c r="BA233" s="121"/>
      <c r="BB233" s="121"/>
      <c r="BC233" s="121"/>
      <c r="BD233" s="121"/>
      <c r="BE233" s="121"/>
      <c r="BF233" s="121"/>
      <c r="BG233" s="121"/>
      <c r="BH233" s="121"/>
      <c r="BI233" s="121"/>
      <c r="BJ233" s="121"/>
      <c r="BK233" s="121"/>
      <c r="BL233" s="121"/>
      <c r="BM233" s="121"/>
      <c r="BN233" s="121"/>
      <c r="BO233" s="121"/>
      <c r="BP233" s="121"/>
      <c r="BQ233" s="121"/>
      <c r="BR233" s="121"/>
      <c r="BS233" s="121"/>
      <c r="BT233" s="121"/>
      <c r="BU233" s="121"/>
    </row>
    <row r="234" spans="1:73" x14ac:dyDescent="0.15">
      <c r="A234" s="109"/>
      <c r="B234" s="109"/>
      <c r="C234" s="12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0"/>
      <c r="AK234" s="90"/>
      <c r="AL234" s="90"/>
      <c r="AM234" s="121"/>
      <c r="AN234" s="121"/>
      <c r="AO234" s="121"/>
      <c r="AP234" s="121"/>
      <c r="AQ234" s="121"/>
      <c r="AR234" s="121"/>
      <c r="AS234" s="121"/>
      <c r="AT234" s="121"/>
      <c r="AU234" s="121"/>
      <c r="AV234" s="121"/>
      <c r="AW234" s="121"/>
      <c r="AX234" s="121"/>
      <c r="AY234" s="121"/>
      <c r="AZ234" s="121"/>
      <c r="BA234" s="121"/>
      <c r="BB234" s="121"/>
      <c r="BC234" s="121"/>
      <c r="BD234" s="121"/>
      <c r="BE234" s="121"/>
      <c r="BF234" s="121"/>
      <c r="BG234" s="121"/>
      <c r="BH234" s="121"/>
      <c r="BI234" s="121"/>
      <c r="BJ234" s="121"/>
      <c r="BK234" s="121"/>
      <c r="BL234" s="121"/>
      <c r="BM234" s="121"/>
      <c r="BN234" s="121"/>
      <c r="BO234" s="121"/>
      <c r="BP234" s="121"/>
      <c r="BQ234" s="121"/>
      <c r="BR234" s="121"/>
      <c r="BS234" s="121"/>
      <c r="BT234" s="121"/>
      <c r="BU234" s="121"/>
    </row>
    <row r="235" spans="1:73" x14ac:dyDescent="0.15">
      <c r="A235" s="109"/>
      <c r="B235" s="109"/>
      <c r="C235" s="12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0"/>
      <c r="AK235" s="90"/>
      <c r="AL235" s="90"/>
      <c r="AM235" s="121"/>
      <c r="AN235" s="121"/>
      <c r="AO235" s="121"/>
      <c r="AP235" s="121"/>
      <c r="AQ235" s="121"/>
      <c r="AR235" s="121"/>
      <c r="AS235" s="121"/>
      <c r="AT235" s="121"/>
      <c r="AU235" s="121"/>
      <c r="AV235" s="121"/>
      <c r="AW235" s="121"/>
      <c r="AX235" s="121"/>
      <c r="AY235" s="121"/>
      <c r="AZ235" s="121"/>
      <c r="BA235" s="121"/>
      <c r="BB235" s="121"/>
      <c r="BC235" s="121"/>
      <c r="BD235" s="121"/>
      <c r="BE235" s="121"/>
      <c r="BF235" s="121"/>
      <c r="BG235" s="121"/>
      <c r="BH235" s="121"/>
      <c r="BI235" s="121"/>
      <c r="BJ235" s="121"/>
      <c r="BK235" s="121"/>
      <c r="BL235" s="121"/>
      <c r="BM235" s="121"/>
      <c r="BN235" s="121"/>
      <c r="BO235" s="121"/>
      <c r="BP235" s="121"/>
      <c r="BQ235" s="121"/>
      <c r="BR235" s="121"/>
      <c r="BS235" s="121"/>
      <c r="BT235" s="121"/>
      <c r="BU235" s="121"/>
    </row>
    <row r="236" spans="1:73" x14ac:dyDescent="0.15">
      <c r="A236" s="109"/>
      <c r="B236" s="109"/>
      <c r="C236" s="12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0"/>
      <c r="AK236" s="90"/>
      <c r="AL236" s="90"/>
      <c r="AM236" s="121"/>
      <c r="AN236" s="121"/>
      <c r="AO236" s="121"/>
      <c r="AP236" s="121"/>
      <c r="AQ236" s="121"/>
      <c r="AR236" s="121"/>
      <c r="AS236" s="121"/>
      <c r="AT236" s="121"/>
      <c r="AU236" s="121"/>
      <c r="AV236" s="121"/>
      <c r="AW236" s="121"/>
      <c r="AX236" s="121"/>
      <c r="AY236" s="121"/>
      <c r="AZ236" s="121"/>
      <c r="BA236" s="121"/>
      <c r="BB236" s="121"/>
      <c r="BC236" s="121"/>
      <c r="BD236" s="121"/>
      <c r="BE236" s="121"/>
      <c r="BF236" s="121"/>
      <c r="BG236" s="121"/>
      <c r="BH236" s="121"/>
      <c r="BI236" s="121"/>
      <c r="BJ236" s="121"/>
      <c r="BK236" s="121"/>
      <c r="BL236" s="121"/>
      <c r="BM236" s="121"/>
      <c r="BN236" s="121"/>
      <c r="BO236" s="121"/>
      <c r="BP236" s="121"/>
      <c r="BQ236" s="121"/>
      <c r="BR236" s="121"/>
      <c r="BS236" s="121"/>
      <c r="BT236" s="121"/>
      <c r="BU236" s="121"/>
    </row>
    <row r="237" spans="1:73" x14ac:dyDescent="0.15">
      <c r="A237" s="109"/>
      <c r="B237" s="109"/>
      <c r="C237" s="12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0"/>
      <c r="AK237" s="90"/>
      <c r="AL237" s="90"/>
      <c r="AM237" s="121"/>
      <c r="AN237" s="121"/>
      <c r="AO237" s="121"/>
      <c r="AP237" s="121"/>
      <c r="AQ237" s="121"/>
      <c r="AR237" s="121"/>
      <c r="AS237" s="121"/>
      <c r="AT237" s="121"/>
      <c r="AU237" s="121"/>
      <c r="AV237" s="121"/>
      <c r="AW237" s="121"/>
      <c r="AX237" s="121"/>
      <c r="AY237" s="121"/>
      <c r="AZ237" s="121"/>
      <c r="BA237" s="121"/>
      <c r="BB237" s="121"/>
      <c r="BC237" s="121"/>
      <c r="BD237" s="121"/>
      <c r="BE237" s="121"/>
      <c r="BF237" s="121"/>
      <c r="BG237" s="121"/>
      <c r="BH237" s="121"/>
      <c r="BI237" s="121"/>
      <c r="BJ237" s="121"/>
      <c r="BK237" s="121"/>
      <c r="BL237" s="121"/>
      <c r="BM237" s="121"/>
      <c r="BN237" s="121"/>
      <c r="BO237" s="121"/>
      <c r="BP237" s="121"/>
      <c r="BQ237" s="121"/>
      <c r="BR237" s="121"/>
      <c r="BS237" s="121"/>
      <c r="BT237" s="121"/>
      <c r="BU237" s="121"/>
    </row>
    <row r="238" spans="1:73" x14ac:dyDescent="0.15">
      <c r="A238" s="109"/>
      <c r="B238" s="109"/>
      <c r="C238" s="12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0"/>
      <c r="AK238" s="90"/>
      <c r="AL238" s="90"/>
      <c r="AM238" s="121"/>
      <c r="AN238" s="121"/>
      <c r="AO238" s="121"/>
      <c r="AP238" s="121"/>
      <c r="AQ238" s="121"/>
      <c r="AR238" s="121"/>
      <c r="AS238" s="121"/>
      <c r="AT238" s="121"/>
      <c r="AU238" s="121"/>
      <c r="AV238" s="121"/>
      <c r="AW238" s="121"/>
      <c r="AX238" s="121"/>
      <c r="AY238" s="121"/>
      <c r="AZ238" s="121"/>
      <c r="BA238" s="121"/>
      <c r="BB238" s="121"/>
      <c r="BC238" s="121"/>
      <c r="BD238" s="121"/>
      <c r="BE238" s="121"/>
      <c r="BF238" s="121"/>
      <c r="BG238" s="121"/>
      <c r="BH238" s="121"/>
      <c r="BI238" s="121"/>
      <c r="BJ238" s="121"/>
      <c r="BK238" s="121"/>
      <c r="BL238" s="121"/>
      <c r="BM238" s="121"/>
      <c r="BN238" s="121"/>
      <c r="BO238" s="121"/>
      <c r="BP238" s="121"/>
      <c r="BQ238" s="121"/>
      <c r="BR238" s="121"/>
      <c r="BS238" s="121"/>
      <c r="BT238" s="121"/>
      <c r="BU238" s="121"/>
    </row>
    <row r="239" spans="1:73" x14ac:dyDescent="0.15">
      <c r="A239" s="109"/>
      <c r="B239" s="109"/>
      <c r="C239" s="12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0"/>
      <c r="AK239" s="90"/>
      <c r="AL239" s="90"/>
      <c r="AM239" s="121"/>
      <c r="AN239" s="121"/>
      <c r="AO239" s="121"/>
      <c r="AP239" s="121"/>
      <c r="AQ239" s="121"/>
      <c r="AR239" s="121"/>
      <c r="AS239" s="121"/>
      <c r="AT239" s="121"/>
      <c r="AU239" s="121"/>
      <c r="AV239" s="121"/>
      <c r="AW239" s="121"/>
      <c r="AX239" s="121"/>
      <c r="AY239" s="121"/>
      <c r="AZ239" s="121"/>
      <c r="BA239" s="121"/>
      <c r="BB239" s="121"/>
      <c r="BC239" s="121"/>
      <c r="BD239" s="121"/>
      <c r="BE239" s="121"/>
      <c r="BF239" s="121"/>
      <c r="BG239" s="121"/>
      <c r="BH239" s="121"/>
      <c r="BI239" s="121"/>
      <c r="BJ239" s="121"/>
      <c r="BK239" s="121"/>
      <c r="BL239" s="121"/>
      <c r="BM239" s="121"/>
      <c r="BN239" s="121"/>
      <c r="BO239" s="121"/>
      <c r="BP239" s="121"/>
      <c r="BQ239" s="121"/>
      <c r="BR239" s="121"/>
      <c r="BS239" s="121"/>
      <c r="BT239" s="121"/>
      <c r="BU239" s="121"/>
    </row>
    <row r="240" spans="1:73" x14ac:dyDescent="0.15">
      <c r="A240" s="109"/>
      <c r="B240" s="109"/>
      <c r="C240" s="12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0"/>
      <c r="AK240" s="90"/>
      <c r="AL240" s="90"/>
      <c r="AM240" s="121"/>
      <c r="AN240" s="121"/>
      <c r="AO240" s="121"/>
      <c r="AP240" s="121"/>
      <c r="AQ240" s="121"/>
      <c r="AR240" s="121"/>
      <c r="AS240" s="121"/>
      <c r="AT240" s="121"/>
      <c r="AU240" s="121"/>
      <c r="AV240" s="121"/>
      <c r="AW240" s="121"/>
      <c r="AX240" s="121"/>
      <c r="AY240" s="121"/>
      <c r="AZ240" s="121"/>
      <c r="BA240" s="121"/>
      <c r="BB240" s="121"/>
      <c r="BC240" s="121"/>
      <c r="BD240" s="121"/>
      <c r="BE240" s="121"/>
      <c r="BF240" s="121"/>
      <c r="BG240" s="121"/>
      <c r="BH240" s="121"/>
      <c r="BI240" s="121"/>
      <c r="BJ240" s="121"/>
      <c r="BK240" s="121"/>
      <c r="BL240" s="121"/>
      <c r="BM240" s="121"/>
      <c r="BN240" s="121"/>
      <c r="BO240" s="121"/>
      <c r="BP240" s="121"/>
      <c r="BQ240" s="121"/>
      <c r="BR240" s="121"/>
      <c r="BS240" s="121"/>
      <c r="BT240" s="121"/>
      <c r="BU240" s="121"/>
    </row>
    <row r="241" spans="1:73" x14ac:dyDescent="0.15">
      <c r="A241" s="109"/>
      <c r="B241" s="109"/>
      <c r="C241" s="12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0"/>
      <c r="AK241" s="90"/>
      <c r="AL241" s="90"/>
      <c r="AM241" s="121"/>
      <c r="AN241" s="121"/>
      <c r="AO241" s="121"/>
      <c r="AP241" s="121"/>
      <c r="AQ241" s="121"/>
      <c r="AR241" s="121"/>
      <c r="AS241" s="121"/>
      <c r="AT241" s="121"/>
      <c r="AU241" s="121"/>
      <c r="AV241" s="121"/>
      <c r="AW241" s="121"/>
      <c r="AX241" s="121"/>
      <c r="AY241" s="121"/>
      <c r="AZ241" s="121"/>
      <c r="BA241" s="121"/>
      <c r="BB241" s="121"/>
      <c r="BC241" s="121"/>
      <c r="BD241" s="121"/>
      <c r="BE241" s="121"/>
      <c r="BF241" s="121"/>
      <c r="BG241" s="121"/>
      <c r="BH241" s="121"/>
      <c r="BI241" s="121"/>
      <c r="BJ241" s="121"/>
      <c r="BK241" s="121"/>
      <c r="BL241" s="121"/>
      <c r="BM241" s="121"/>
      <c r="BN241" s="121"/>
      <c r="BO241" s="121"/>
      <c r="BP241" s="121"/>
      <c r="BQ241" s="121"/>
      <c r="BR241" s="121"/>
      <c r="BS241" s="121"/>
      <c r="BT241" s="121"/>
      <c r="BU241" s="121"/>
    </row>
    <row r="242" spans="1:73" x14ac:dyDescent="0.15">
      <c r="A242" s="109"/>
      <c r="B242" s="109"/>
      <c r="C242" s="12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0"/>
      <c r="AK242" s="90"/>
      <c r="AL242" s="90"/>
      <c r="AM242" s="121"/>
      <c r="AN242" s="121"/>
      <c r="AO242" s="121"/>
      <c r="AP242" s="121"/>
      <c r="AQ242" s="121"/>
      <c r="AR242" s="121"/>
      <c r="AS242" s="121"/>
      <c r="AT242" s="121"/>
      <c r="AU242" s="121"/>
      <c r="AV242" s="121"/>
      <c r="AW242" s="121"/>
      <c r="AX242" s="121"/>
      <c r="AY242" s="121"/>
      <c r="AZ242" s="121"/>
      <c r="BA242" s="121"/>
      <c r="BB242" s="121"/>
      <c r="BC242" s="121"/>
      <c r="BD242" s="121"/>
      <c r="BE242" s="121"/>
      <c r="BF242" s="121"/>
      <c r="BG242" s="121"/>
      <c r="BH242" s="121"/>
      <c r="BI242" s="121"/>
      <c r="BJ242" s="121"/>
      <c r="BK242" s="121"/>
      <c r="BL242" s="121"/>
      <c r="BM242" s="121"/>
      <c r="BN242" s="121"/>
      <c r="BO242" s="121"/>
      <c r="BP242" s="121"/>
      <c r="BQ242" s="121"/>
      <c r="BR242" s="121"/>
      <c r="BS242" s="121"/>
      <c r="BT242" s="121"/>
      <c r="BU242" s="121"/>
    </row>
    <row r="243" spans="1:73" x14ac:dyDescent="0.15">
      <c r="A243" s="109"/>
      <c r="B243" s="109"/>
      <c r="C243" s="12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0"/>
      <c r="AK243" s="90"/>
      <c r="AL243" s="90"/>
      <c r="AM243" s="121"/>
      <c r="AN243" s="121"/>
      <c r="AO243" s="121"/>
      <c r="AP243" s="121"/>
      <c r="AQ243" s="121"/>
      <c r="AR243" s="121"/>
      <c r="AS243" s="121"/>
      <c r="AT243" s="121"/>
      <c r="AU243" s="121"/>
      <c r="AV243" s="121"/>
      <c r="AW243" s="121"/>
      <c r="AX243" s="121"/>
      <c r="AY243" s="121"/>
      <c r="AZ243" s="121"/>
      <c r="BA243" s="121"/>
      <c r="BB243" s="121"/>
      <c r="BC243" s="121"/>
      <c r="BD243" s="121"/>
      <c r="BE243" s="121"/>
      <c r="BF243" s="121"/>
      <c r="BG243" s="121"/>
      <c r="BH243" s="121"/>
      <c r="BI243" s="121"/>
      <c r="BJ243" s="121"/>
      <c r="BK243" s="121"/>
      <c r="BL243" s="121"/>
      <c r="BM243" s="121"/>
      <c r="BN243" s="121"/>
      <c r="BO243" s="121"/>
      <c r="BP243" s="121"/>
      <c r="BQ243" s="121"/>
      <c r="BR243" s="121"/>
      <c r="BS243" s="121"/>
      <c r="BT243" s="121"/>
      <c r="BU243" s="121"/>
    </row>
    <row r="244" spans="1:73" x14ac:dyDescent="0.15">
      <c r="A244" s="109"/>
      <c r="B244" s="109"/>
      <c r="C244" s="12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0"/>
      <c r="AK244" s="90"/>
      <c r="AL244" s="90"/>
      <c r="AM244" s="121"/>
      <c r="AN244" s="121"/>
      <c r="AO244" s="121"/>
      <c r="AP244" s="121"/>
      <c r="AQ244" s="121"/>
      <c r="AR244" s="121"/>
      <c r="AS244" s="121"/>
      <c r="AT244" s="121"/>
      <c r="AU244" s="121"/>
      <c r="AV244" s="121"/>
      <c r="AW244" s="121"/>
      <c r="AX244" s="121"/>
      <c r="AY244" s="121"/>
      <c r="AZ244" s="121"/>
      <c r="BA244" s="121"/>
      <c r="BB244" s="121"/>
      <c r="BC244" s="121"/>
      <c r="BD244" s="121"/>
      <c r="BE244" s="121"/>
      <c r="BF244" s="121"/>
      <c r="BG244" s="121"/>
      <c r="BH244" s="121"/>
      <c r="BI244" s="121"/>
      <c r="BJ244" s="121"/>
      <c r="BK244" s="121"/>
      <c r="BL244" s="121"/>
      <c r="BM244" s="121"/>
      <c r="BN244" s="121"/>
      <c r="BO244" s="121"/>
      <c r="BP244" s="121"/>
      <c r="BQ244" s="121"/>
      <c r="BR244" s="121"/>
      <c r="BS244" s="121"/>
      <c r="BT244" s="121"/>
      <c r="BU244" s="121"/>
    </row>
    <row r="245" spans="1:73" x14ac:dyDescent="0.15">
      <c r="A245" s="109"/>
      <c r="B245" s="109"/>
      <c r="C245" s="12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0"/>
      <c r="AK245" s="90"/>
      <c r="AL245" s="90"/>
      <c r="AM245" s="121"/>
      <c r="AN245" s="121"/>
      <c r="AO245" s="121"/>
      <c r="AP245" s="121"/>
      <c r="AQ245" s="121"/>
      <c r="AR245" s="121"/>
      <c r="AS245" s="121"/>
      <c r="AT245" s="121"/>
      <c r="AU245" s="121"/>
      <c r="AV245" s="121"/>
      <c r="AW245" s="121"/>
      <c r="AX245" s="121"/>
      <c r="AY245" s="121"/>
      <c r="AZ245" s="121"/>
      <c r="BA245" s="121"/>
      <c r="BB245" s="121"/>
      <c r="BC245" s="121"/>
      <c r="BD245" s="121"/>
      <c r="BE245" s="121"/>
      <c r="BF245" s="121"/>
      <c r="BG245" s="121"/>
      <c r="BH245" s="121"/>
      <c r="BI245" s="121"/>
      <c r="BJ245" s="121"/>
      <c r="BK245" s="121"/>
      <c r="BL245" s="121"/>
      <c r="BM245" s="121"/>
      <c r="BN245" s="121"/>
      <c r="BO245" s="121"/>
      <c r="BP245" s="121"/>
      <c r="BQ245" s="121"/>
      <c r="BR245" s="121"/>
      <c r="BS245" s="121"/>
      <c r="BT245" s="121"/>
      <c r="BU245" s="121"/>
    </row>
    <row r="246" spans="1:73" x14ac:dyDescent="0.15">
      <c r="A246" s="109"/>
      <c r="B246" s="109"/>
      <c r="C246" s="12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0"/>
      <c r="AK246" s="90"/>
      <c r="AL246" s="90"/>
      <c r="AM246" s="121"/>
      <c r="AN246" s="121"/>
      <c r="AO246" s="121"/>
      <c r="AP246" s="121"/>
      <c r="AQ246" s="121"/>
      <c r="AR246" s="121"/>
      <c r="AS246" s="121"/>
      <c r="AT246" s="121"/>
      <c r="AU246" s="121"/>
      <c r="AV246" s="121"/>
      <c r="AW246" s="121"/>
      <c r="AX246" s="121"/>
      <c r="AY246" s="121"/>
      <c r="AZ246" s="121"/>
      <c r="BA246" s="121"/>
      <c r="BB246" s="121"/>
      <c r="BC246" s="121"/>
      <c r="BD246" s="121"/>
      <c r="BE246" s="121"/>
      <c r="BF246" s="121"/>
      <c r="BG246" s="121"/>
      <c r="BH246" s="121"/>
      <c r="BI246" s="121"/>
      <c r="BJ246" s="121"/>
      <c r="BK246" s="121"/>
      <c r="BL246" s="121"/>
      <c r="BM246" s="121"/>
      <c r="BN246" s="121"/>
      <c r="BO246" s="121"/>
      <c r="BP246" s="121"/>
      <c r="BQ246" s="121"/>
      <c r="BR246" s="121"/>
      <c r="BS246" s="121"/>
      <c r="BT246" s="121"/>
      <c r="BU246" s="121"/>
    </row>
    <row r="247" spans="1:73" x14ac:dyDescent="0.15">
      <c r="A247" s="109"/>
      <c r="B247" s="109"/>
      <c r="C247" s="12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0"/>
      <c r="AK247" s="90"/>
      <c r="AL247" s="90"/>
      <c r="AM247" s="121"/>
      <c r="AN247" s="121"/>
      <c r="AO247" s="121"/>
      <c r="AP247" s="121"/>
      <c r="AQ247" s="121"/>
      <c r="AR247" s="121"/>
      <c r="AS247" s="121"/>
      <c r="AT247" s="121"/>
      <c r="AU247" s="121"/>
      <c r="AV247" s="121"/>
      <c r="AW247" s="121"/>
      <c r="AX247" s="121"/>
      <c r="AY247" s="121"/>
      <c r="AZ247" s="121"/>
      <c r="BA247" s="121"/>
      <c r="BB247" s="121"/>
      <c r="BC247" s="121"/>
      <c r="BD247" s="121"/>
      <c r="BE247" s="121"/>
      <c r="BF247" s="121"/>
      <c r="BG247" s="121"/>
      <c r="BH247" s="121"/>
      <c r="BI247" s="121"/>
      <c r="BJ247" s="121"/>
      <c r="BK247" s="121"/>
      <c r="BL247" s="121"/>
      <c r="BM247" s="121"/>
      <c r="BN247" s="121"/>
      <c r="BO247" s="121"/>
      <c r="BP247" s="121"/>
      <c r="BQ247" s="121"/>
      <c r="BR247" s="121"/>
      <c r="BS247" s="121"/>
      <c r="BT247" s="121"/>
      <c r="BU247" s="121"/>
    </row>
    <row r="248" spans="1:73" x14ac:dyDescent="0.15">
      <c r="A248" s="109"/>
      <c r="B248" s="109"/>
      <c r="C248" s="12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0"/>
      <c r="AK248" s="90"/>
      <c r="AL248" s="90"/>
      <c r="AM248" s="121"/>
      <c r="AN248" s="121"/>
      <c r="AO248" s="121"/>
      <c r="AP248" s="121"/>
      <c r="AQ248" s="121"/>
      <c r="AR248" s="121"/>
      <c r="AS248" s="121"/>
      <c r="AT248" s="121"/>
      <c r="AU248" s="121"/>
      <c r="AV248" s="121"/>
      <c r="AW248" s="121"/>
      <c r="AX248" s="121"/>
      <c r="AY248" s="121"/>
      <c r="AZ248" s="121"/>
      <c r="BA248" s="121"/>
      <c r="BB248" s="121"/>
      <c r="BC248" s="121"/>
      <c r="BD248" s="121"/>
      <c r="BE248" s="121"/>
      <c r="BF248" s="121"/>
      <c r="BG248" s="121"/>
      <c r="BH248" s="121"/>
      <c r="BI248" s="121"/>
      <c r="BJ248" s="121"/>
      <c r="BK248" s="121"/>
      <c r="BL248" s="121"/>
      <c r="BM248" s="121"/>
      <c r="BN248" s="121"/>
      <c r="BO248" s="121"/>
      <c r="BP248" s="121"/>
      <c r="BQ248" s="121"/>
      <c r="BR248" s="121"/>
      <c r="BS248" s="121"/>
      <c r="BT248" s="121"/>
      <c r="BU248" s="121"/>
    </row>
    <row r="249" spans="1:73" x14ac:dyDescent="0.15">
      <c r="A249" s="109"/>
      <c r="B249" s="109"/>
      <c r="C249" s="12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0"/>
      <c r="AK249" s="90"/>
      <c r="AL249" s="90"/>
      <c r="AM249" s="121"/>
      <c r="AN249" s="121"/>
      <c r="AO249" s="121"/>
      <c r="AP249" s="121"/>
      <c r="AQ249" s="121"/>
      <c r="AR249" s="121"/>
      <c r="AS249" s="121"/>
      <c r="AT249" s="121"/>
      <c r="AU249" s="121"/>
      <c r="AV249" s="121"/>
      <c r="AW249" s="121"/>
      <c r="AX249" s="121"/>
      <c r="AY249" s="121"/>
      <c r="AZ249" s="121"/>
      <c r="BA249" s="121"/>
      <c r="BB249" s="121"/>
      <c r="BC249" s="121"/>
      <c r="BD249" s="121"/>
      <c r="BE249" s="121"/>
      <c r="BF249" s="121"/>
      <c r="BG249" s="121"/>
      <c r="BH249" s="121"/>
      <c r="BI249" s="121"/>
      <c r="BJ249" s="121"/>
      <c r="BK249" s="121"/>
      <c r="BL249" s="121"/>
      <c r="BM249" s="121"/>
      <c r="BN249" s="121"/>
      <c r="BO249" s="121"/>
      <c r="BP249" s="121"/>
      <c r="BQ249" s="121"/>
      <c r="BR249" s="121"/>
      <c r="BS249" s="121"/>
      <c r="BT249" s="121"/>
      <c r="BU249" s="121"/>
    </row>
    <row r="250" spans="1:73" x14ac:dyDescent="0.15">
      <c r="A250" s="109"/>
      <c r="B250" s="109"/>
      <c r="C250" s="12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0"/>
      <c r="AK250" s="90"/>
      <c r="AL250" s="90"/>
      <c r="AM250" s="121"/>
      <c r="AN250" s="121"/>
      <c r="AO250" s="121"/>
      <c r="AP250" s="121"/>
      <c r="AQ250" s="121"/>
      <c r="AR250" s="121"/>
      <c r="AS250" s="121"/>
      <c r="AT250" s="121"/>
      <c r="AU250" s="121"/>
      <c r="AV250" s="121"/>
      <c r="AW250" s="121"/>
      <c r="AX250" s="121"/>
      <c r="AY250" s="121"/>
      <c r="AZ250" s="121"/>
      <c r="BA250" s="121"/>
      <c r="BB250" s="121"/>
      <c r="BC250" s="121"/>
      <c r="BD250" s="121"/>
      <c r="BE250" s="121"/>
      <c r="BF250" s="121"/>
      <c r="BG250" s="121"/>
      <c r="BH250" s="121"/>
      <c r="BI250" s="121"/>
      <c r="BJ250" s="121"/>
      <c r="BK250" s="121"/>
      <c r="BL250" s="121"/>
      <c r="BM250" s="121"/>
      <c r="BN250" s="121"/>
      <c r="BO250" s="121"/>
      <c r="BP250" s="121"/>
      <c r="BQ250" s="121"/>
      <c r="BR250" s="121"/>
      <c r="BS250" s="121"/>
      <c r="BT250" s="121"/>
      <c r="BU250" s="121"/>
    </row>
    <row r="251" spans="1:73" x14ac:dyDescent="0.15">
      <c r="A251" s="109"/>
      <c r="B251" s="109"/>
      <c r="C251" s="12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0"/>
      <c r="AK251" s="90"/>
      <c r="AL251" s="90"/>
      <c r="AM251" s="121"/>
      <c r="AN251" s="121"/>
      <c r="AO251" s="121"/>
      <c r="AP251" s="121"/>
      <c r="AQ251" s="121"/>
      <c r="AR251" s="121"/>
      <c r="AS251" s="121"/>
      <c r="AT251" s="121"/>
      <c r="AU251" s="121"/>
      <c r="AV251" s="121"/>
      <c r="AW251" s="121"/>
      <c r="AX251" s="121"/>
      <c r="AY251" s="121"/>
      <c r="AZ251" s="121"/>
      <c r="BA251" s="121"/>
      <c r="BB251" s="121"/>
      <c r="BC251" s="121"/>
      <c r="BD251" s="121"/>
      <c r="BE251" s="121"/>
      <c r="BF251" s="121"/>
      <c r="BG251" s="121"/>
      <c r="BH251" s="121"/>
      <c r="BI251" s="121"/>
      <c r="BJ251" s="121"/>
      <c r="BK251" s="121"/>
      <c r="BL251" s="121"/>
      <c r="BM251" s="121"/>
      <c r="BN251" s="121"/>
      <c r="BO251" s="121"/>
      <c r="BP251" s="121"/>
      <c r="BQ251" s="121"/>
      <c r="BR251" s="121"/>
      <c r="BS251" s="121"/>
      <c r="BT251" s="121"/>
      <c r="BU251" s="121"/>
    </row>
    <row r="252" spans="1:73" x14ac:dyDescent="0.15">
      <c r="A252" s="109"/>
      <c r="B252" s="109"/>
      <c r="C252" s="12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0"/>
      <c r="AK252" s="90"/>
      <c r="AL252" s="90"/>
      <c r="AM252" s="121"/>
      <c r="AN252" s="121"/>
      <c r="AO252" s="121"/>
      <c r="AP252" s="121"/>
      <c r="AQ252" s="121"/>
      <c r="AR252" s="121"/>
      <c r="AS252" s="121"/>
      <c r="AT252" s="121"/>
      <c r="AU252" s="121"/>
      <c r="AV252" s="121"/>
      <c r="AW252" s="121"/>
      <c r="AX252" s="121"/>
      <c r="AY252" s="121"/>
      <c r="AZ252" s="121"/>
      <c r="BA252" s="121"/>
      <c r="BB252" s="121"/>
      <c r="BC252" s="121"/>
      <c r="BD252" s="121"/>
      <c r="BE252" s="121"/>
      <c r="BF252" s="121"/>
      <c r="BG252" s="121"/>
      <c r="BH252" s="121"/>
      <c r="BI252" s="121"/>
      <c r="BJ252" s="121"/>
      <c r="BK252" s="121"/>
      <c r="BL252" s="121"/>
      <c r="BM252" s="121"/>
      <c r="BN252" s="121"/>
      <c r="BO252" s="121"/>
      <c r="BP252" s="121"/>
      <c r="BQ252" s="121"/>
      <c r="BR252" s="121"/>
      <c r="BS252" s="121"/>
      <c r="BT252" s="121"/>
      <c r="BU252" s="121"/>
    </row>
    <row r="253" spans="1:73" x14ac:dyDescent="0.15">
      <c r="A253" s="109"/>
      <c r="B253" s="109"/>
      <c r="C253" s="12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0"/>
      <c r="AK253" s="90"/>
      <c r="AL253" s="90"/>
      <c r="AM253" s="121"/>
      <c r="AN253" s="121"/>
      <c r="AO253" s="121"/>
      <c r="AP253" s="121"/>
      <c r="AQ253" s="121"/>
      <c r="AR253" s="121"/>
      <c r="AS253" s="121"/>
      <c r="AT253" s="121"/>
      <c r="AU253" s="121"/>
      <c r="AV253" s="121"/>
      <c r="AW253" s="121"/>
      <c r="AX253" s="121"/>
      <c r="AY253" s="121"/>
      <c r="AZ253" s="121"/>
      <c r="BA253" s="121"/>
      <c r="BB253" s="121"/>
      <c r="BC253" s="121"/>
      <c r="BD253" s="121"/>
      <c r="BE253" s="121"/>
      <c r="BF253" s="121"/>
      <c r="BG253" s="121"/>
      <c r="BH253" s="121"/>
      <c r="BI253" s="121"/>
      <c r="BJ253" s="121"/>
      <c r="BK253" s="121"/>
      <c r="BL253" s="121"/>
      <c r="BM253" s="121"/>
      <c r="BN253" s="121"/>
      <c r="BO253" s="121"/>
      <c r="BP253" s="121"/>
      <c r="BQ253" s="121"/>
      <c r="BR253" s="121"/>
      <c r="BS253" s="121"/>
      <c r="BT253" s="121"/>
      <c r="BU253" s="121"/>
    </row>
    <row r="254" spans="1:73" x14ac:dyDescent="0.15">
      <c r="A254" s="109"/>
      <c r="B254" s="109"/>
      <c r="C254" s="12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0"/>
      <c r="AK254" s="90"/>
      <c r="AL254" s="90"/>
      <c r="AM254" s="121"/>
      <c r="AN254" s="121"/>
      <c r="AO254" s="121"/>
      <c r="AP254" s="121"/>
      <c r="AQ254" s="121"/>
      <c r="AR254" s="121"/>
      <c r="AS254" s="121"/>
      <c r="AT254" s="121"/>
      <c r="AU254" s="121"/>
      <c r="AV254" s="121"/>
      <c r="AW254" s="121"/>
      <c r="AX254" s="121"/>
      <c r="AY254" s="121"/>
      <c r="AZ254" s="121"/>
      <c r="BA254" s="121"/>
      <c r="BB254" s="121"/>
      <c r="BC254" s="121"/>
      <c r="BD254" s="121"/>
      <c r="BE254" s="121"/>
      <c r="BF254" s="121"/>
      <c r="BG254" s="121"/>
      <c r="BH254" s="121"/>
      <c r="BI254" s="121"/>
      <c r="BJ254" s="121"/>
      <c r="BK254" s="121"/>
      <c r="BL254" s="121"/>
      <c r="BM254" s="121"/>
      <c r="BN254" s="121"/>
      <c r="BO254" s="121"/>
      <c r="BP254" s="121"/>
      <c r="BQ254" s="121"/>
      <c r="BR254" s="121"/>
      <c r="BS254" s="121"/>
      <c r="BT254" s="121"/>
      <c r="BU254" s="121"/>
    </row>
    <row r="255" spans="1:73" x14ac:dyDescent="0.15">
      <c r="A255" s="109"/>
      <c r="B255" s="109"/>
      <c r="C255" s="12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0"/>
      <c r="AK255" s="90"/>
      <c r="AL255" s="90"/>
      <c r="AM255" s="121"/>
      <c r="AN255" s="121"/>
      <c r="AO255" s="121"/>
      <c r="AP255" s="121"/>
      <c r="AQ255" s="121"/>
      <c r="AR255" s="121"/>
      <c r="AS255" s="121"/>
      <c r="AT255" s="121"/>
      <c r="AU255" s="121"/>
      <c r="AV255" s="121"/>
      <c r="AW255" s="121"/>
      <c r="AX255" s="121"/>
      <c r="AY255" s="121"/>
      <c r="AZ255" s="121"/>
      <c r="BA255" s="121"/>
      <c r="BB255" s="121"/>
      <c r="BC255" s="121"/>
      <c r="BD255" s="121"/>
      <c r="BE255" s="121"/>
      <c r="BF255" s="121"/>
      <c r="BG255" s="121"/>
      <c r="BH255" s="121"/>
      <c r="BI255" s="121"/>
      <c r="BJ255" s="121"/>
      <c r="BK255" s="121"/>
      <c r="BL255" s="121"/>
      <c r="BM255" s="121"/>
      <c r="BN255" s="121"/>
      <c r="BO255" s="121"/>
      <c r="BP255" s="121"/>
      <c r="BQ255" s="121"/>
      <c r="BR255" s="121"/>
      <c r="BS255" s="121"/>
      <c r="BT255" s="121"/>
      <c r="BU255" s="121"/>
    </row>
    <row r="256" spans="1:73" x14ac:dyDescent="0.15">
      <c r="A256" s="109"/>
      <c r="B256" s="109"/>
      <c r="C256" s="12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0"/>
      <c r="AK256" s="90"/>
      <c r="AL256" s="90"/>
      <c r="AM256" s="121"/>
      <c r="AN256" s="121"/>
      <c r="AO256" s="121"/>
      <c r="AP256" s="121"/>
      <c r="AQ256" s="121"/>
      <c r="AR256" s="121"/>
      <c r="AS256" s="121"/>
      <c r="AT256" s="121"/>
      <c r="AU256" s="121"/>
      <c r="AV256" s="121"/>
      <c r="AW256" s="121"/>
      <c r="AX256" s="121"/>
      <c r="AY256" s="121"/>
      <c r="AZ256" s="121"/>
      <c r="BA256" s="121"/>
      <c r="BB256" s="121"/>
      <c r="BC256" s="121"/>
      <c r="BD256" s="121"/>
      <c r="BE256" s="121"/>
      <c r="BF256" s="121"/>
      <c r="BG256" s="121"/>
      <c r="BH256" s="121"/>
      <c r="BI256" s="121"/>
      <c r="BJ256" s="121"/>
      <c r="BK256" s="121"/>
      <c r="BL256" s="121"/>
      <c r="BM256" s="121"/>
      <c r="BN256" s="121"/>
      <c r="BO256" s="121"/>
      <c r="BP256" s="121"/>
      <c r="BQ256" s="121"/>
      <c r="BR256" s="121"/>
      <c r="BS256" s="121"/>
      <c r="BT256" s="121"/>
      <c r="BU256" s="121"/>
    </row>
    <row r="257" spans="1:73" x14ac:dyDescent="0.15">
      <c r="A257" s="109"/>
      <c r="B257" s="109"/>
      <c r="C257" s="12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0"/>
      <c r="AK257" s="90"/>
      <c r="AL257" s="90"/>
      <c r="AM257" s="121"/>
      <c r="AN257" s="121"/>
      <c r="AO257" s="121"/>
      <c r="AP257" s="121"/>
      <c r="AQ257" s="121"/>
      <c r="AR257" s="121"/>
      <c r="AS257" s="121"/>
      <c r="AT257" s="121"/>
      <c r="AU257" s="121"/>
      <c r="AV257" s="121"/>
      <c r="AW257" s="121"/>
      <c r="AX257" s="121"/>
      <c r="AY257" s="121"/>
      <c r="AZ257" s="121"/>
      <c r="BA257" s="121"/>
      <c r="BB257" s="121"/>
      <c r="BC257" s="121"/>
      <c r="BD257" s="121"/>
      <c r="BE257" s="121"/>
      <c r="BF257" s="121"/>
      <c r="BG257" s="121"/>
      <c r="BH257" s="121"/>
      <c r="BI257" s="121"/>
      <c r="BJ257" s="121"/>
      <c r="BK257" s="121"/>
      <c r="BL257" s="121"/>
      <c r="BM257" s="121"/>
      <c r="BN257" s="121"/>
      <c r="BO257" s="121"/>
      <c r="BP257" s="121"/>
      <c r="BQ257" s="121"/>
      <c r="BR257" s="121"/>
      <c r="BS257" s="121"/>
      <c r="BT257" s="121"/>
      <c r="BU257" s="121"/>
    </row>
    <row r="258" spans="1:73" x14ac:dyDescent="0.15">
      <c r="A258" s="109"/>
      <c r="B258" s="109"/>
      <c r="C258" s="12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0"/>
      <c r="AK258" s="90"/>
      <c r="AL258" s="90"/>
      <c r="AM258" s="121"/>
      <c r="AN258" s="121"/>
      <c r="AO258" s="121"/>
      <c r="AP258" s="121"/>
      <c r="AQ258" s="121"/>
      <c r="AR258" s="121"/>
      <c r="AS258" s="121"/>
      <c r="AT258" s="121"/>
      <c r="AU258" s="121"/>
      <c r="AV258" s="121"/>
      <c r="AW258" s="121"/>
      <c r="AX258" s="121"/>
      <c r="AY258" s="121"/>
      <c r="AZ258" s="121"/>
      <c r="BA258" s="121"/>
      <c r="BB258" s="121"/>
      <c r="BC258" s="121"/>
      <c r="BD258" s="121"/>
      <c r="BE258" s="121"/>
      <c r="BF258" s="121"/>
      <c r="BG258" s="121"/>
      <c r="BH258" s="121"/>
      <c r="BI258" s="121"/>
      <c r="BJ258" s="121"/>
      <c r="BK258" s="121"/>
      <c r="BL258" s="121"/>
      <c r="BM258" s="121"/>
      <c r="BN258" s="121"/>
      <c r="BO258" s="121"/>
      <c r="BP258" s="121"/>
      <c r="BQ258" s="121"/>
      <c r="BR258" s="121"/>
      <c r="BS258" s="121"/>
      <c r="BT258" s="121"/>
      <c r="BU258" s="121"/>
    </row>
    <row r="259" spans="1:73" x14ac:dyDescent="0.15">
      <c r="A259" s="109"/>
      <c r="B259" s="109"/>
      <c r="C259" s="12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0"/>
      <c r="AK259" s="90"/>
      <c r="AL259" s="90"/>
      <c r="AM259" s="121"/>
      <c r="AN259" s="121"/>
      <c r="AO259" s="121"/>
      <c r="AP259" s="121"/>
      <c r="AQ259" s="121"/>
      <c r="AR259" s="121"/>
      <c r="AS259" s="121"/>
      <c r="AT259" s="121"/>
      <c r="AU259" s="121"/>
      <c r="AV259" s="121"/>
      <c r="AW259" s="121"/>
      <c r="AX259" s="121"/>
      <c r="AY259" s="121"/>
      <c r="AZ259" s="121"/>
      <c r="BA259" s="121"/>
      <c r="BB259" s="121"/>
      <c r="BC259" s="121"/>
      <c r="BD259" s="121"/>
      <c r="BE259" s="121"/>
      <c r="BF259" s="121"/>
      <c r="BG259" s="121"/>
      <c r="BH259" s="121"/>
      <c r="BI259" s="121"/>
      <c r="BJ259" s="121"/>
      <c r="BK259" s="121"/>
      <c r="BL259" s="121"/>
      <c r="BM259" s="121"/>
      <c r="BN259" s="121"/>
      <c r="BO259" s="121"/>
      <c r="BP259" s="121"/>
      <c r="BQ259" s="121"/>
      <c r="BR259" s="121"/>
      <c r="BS259" s="121"/>
      <c r="BT259" s="121"/>
      <c r="BU259" s="121"/>
    </row>
    <row r="260" spans="1:73" x14ac:dyDescent="0.15">
      <c r="A260" s="109"/>
      <c r="B260" s="109"/>
      <c r="C260" s="12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0"/>
      <c r="AK260" s="90"/>
      <c r="AL260" s="90"/>
      <c r="AM260" s="121"/>
      <c r="AN260" s="121"/>
      <c r="AO260" s="121"/>
      <c r="AP260" s="121"/>
      <c r="AQ260" s="121"/>
      <c r="AR260" s="121"/>
      <c r="AS260" s="121"/>
      <c r="AT260" s="121"/>
      <c r="AU260" s="121"/>
      <c r="AV260" s="121"/>
      <c r="AW260" s="121"/>
      <c r="AX260" s="121"/>
      <c r="AY260" s="121"/>
      <c r="AZ260" s="121"/>
      <c r="BA260" s="121"/>
      <c r="BB260" s="121"/>
      <c r="BC260" s="121"/>
      <c r="BD260" s="121"/>
      <c r="BE260" s="121"/>
      <c r="BF260" s="121"/>
      <c r="BG260" s="121"/>
      <c r="BH260" s="121"/>
      <c r="BI260" s="121"/>
      <c r="BJ260" s="121"/>
      <c r="BK260" s="121"/>
      <c r="BL260" s="121"/>
      <c r="BM260" s="121"/>
      <c r="BN260" s="121"/>
      <c r="BO260" s="121"/>
      <c r="BP260" s="121"/>
      <c r="BQ260" s="121"/>
      <c r="BR260" s="121"/>
      <c r="BS260" s="121"/>
      <c r="BT260" s="121"/>
      <c r="BU260" s="121"/>
    </row>
    <row r="261" spans="1:73" x14ac:dyDescent="0.15">
      <c r="A261" s="109"/>
      <c r="B261" s="109"/>
      <c r="C261" s="12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0"/>
      <c r="AK261" s="90"/>
      <c r="AL261" s="90"/>
      <c r="AM261" s="121"/>
      <c r="AN261" s="121"/>
      <c r="AO261" s="121"/>
      <c r="AP261" s="121"/>
      <c r="AQ261" s="121"/>
      <c r="AR261" s="121"/>
      <c r="AS261" s="121"/>
      <c r="AT261" s="121"/>
      <c r="AU261" s="121"/>
      <c r="AV261" s="121"/>
      <c r="AW261" s="121"/>
      <c r="AX261" s="121"/>
      <c r="AY261" s="121"/>
      <c r="AZ261" s="121"/>
      <c r="BA261" s="121"/>
      <c r="BB261" s="121"/>
      <c r="BC261" s="121"/>
      <c r="BD261" s="121"/>
      <c r="BE261" s="121"/>
      <c r="BF261" s="121"/>
      <c r="BG261" s="121"/>
      <c r="BH261" s="121"/>
      <c r="BI261" s="121"/>
      <c r="BJ261" s="121"/>
      <c r="BK261" s="121"/>
      <c r="BL261" s="121"/>
      <c r="BM261" s="121"/>
      <c r="BN261" s="121"/>
      <c r="BO261" s="121"/>
      <c r="BP261" s="121"/>
      <c r="BQ261" s="121"/>
      <c r="BR261" s="121"/>
      <c r="BS261" s="121"/>
      <c r="BT261" s="121"/>
      <c r="BU261" s="121"/>
    </row>
    <row r="262" spans="1:73" x14ac:dyDescent="0.15">
      <c r="A262" s="109"/>
      <c r="B262" s="109"/>
      <c r="C262" s="12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0"/>
      <c r="AK262" s="90"/>
      <c r="AL262" s="90"/>
      <c r="AM262" s="121"/>
      <c r="AN262" s="121"/>
      <c r="AO262" s="121"/>
      <c r="AP262" s="121"/>
      <c r="AQ262" s="121"/>
      <c r="AR262" s="121"/>
      <c r="AS262" s="121"/>
      <c r="AT262" s="121"/>
      <c r="AU262" s="121"/>
      <c r="AV262" s="121"/>
      <c r="AW262" s="121"/>
      <c r="AX262" s="121"/>
      <c r="AY262" s="121"/>
      <c r="AZ262" s="121"/>
      <c r="BA262" s="121"/>
      <c r="BB262" s="121"/>
      <c r="BC262" s="121"/>
      <c r="BD262" s="121"/>
      <c r="BE262" s="121"/>
      <c r="BF262" s="121"/>
      <c r="BG262" s="121"/>
      <c r="BH262" s="121"/>
      <c r="BI262" s="121"/>
      <c r="BJ262" s="121"/>
      <c r="BK262" s="121"/>
      <c r="BL262" s="121"/>
      <c r="BM262" s="121"/>
      <c r="BN262" s="121"/>
      <c r="BO262" s="121"/>
      <c r="BP262" s="121"/>
      <c r="BQ262" s="121"/>
      <c r="BR262" s="121"/>
      <c r="BS262" s="121"/>
      <c r="BT262" s="121"/>
      <c r="BU262" s="121"/>
    </row>
    <row r="263" spans="1:73" x14ac:dyDescent="0.15">
      <c r="A263" s="109"/>
      <c r="B263" s="109"/>
      <c r="C263" s="12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0"/>
      <c r="AK263" s="90"/>
      <c r="AL263" s="90"/>
      <c r="AM263" s="121"/>
      <c r="AN263" s="121"/>
      <c r="AO263" s="121"/>
      <c r="AP263" s="121"/>
      <c r="AQ263" s="121"/>
      <c r="AR263" s="121"/>
      <c r="AS263" s="121"/>
      <c r="AT263" s="121"/>
      <c r="AU263" s="121"/>
      <c r="AV263" s="121"/>
      <c r="AW263" s="121"/>
      <c r="AX263" s="121"/>
      <c r="AY263" s="121"/>
      <c r="AZ263" s="121"/>
      <c r="BA263" s="121"/>
      <c r="BB263" s="121"/>
      <c r="BC263" s="121"/>
      <c r="BD263" s="121"/>
      <c r="BE263" s="121"/>
      <c r="BF263" s="121"/>
      <c r="BG263" s="121"/>
      <c r="BH263" s="121"/>
      <c r="BI263" s="121"/>
      <c r="BJ263" s="121"/>
      <c r="BK263" s="121"/>
      <c r="BL263" s="121"/>
      <c r="BM263" s="121"/>
      <c r="BN263" s="121"/>
      <c r="BO263" s="121"/>
      <c r="BP263" s="121"/>
      <c r="BQ263" s="121"/>
      <c r="BR263" s="121"/>
      <c r="BS263" s="121"/>
      <c r="BT263" s="121"/>
      <c r="BU263" s="121"/>
    </row>
    <row r="264" spans="1:73" x14ac:dyDescent="0.15">
      <c r="A264" s="109"/>
      <c r="B264" s="109"/>
      <c r="C264" s="12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0"/>
      <c r="AK264" s="90"/>
      <c r="AL264" s="90"/>
      <c r="AM264" s="121"/>
      <c r="AN264" s="121"/>
      <c r="AO264" s="121"/>
      <c r="AP264" s="121"/>
      <c r="AQ264" s="121"/>
      <c r="AR264" s="121"/>
      <c r="AS264" s="121"/>
      <c r="AT264" s="121"/>
      <c r="AU264" s="121"/>
      <c r="AV264" s="121"/>
      <c r="AW264" s="121"/>
      <c r="AX264" s="121"/>
      <c r="AY264" s="121"/>
      <c r="AZ264" s="121"/>
      <c r="BA264" s="121"/>
      <c r="BB264" s="121"/>
      <c r="BC264" s="121"/>
      <c r="BD264" s="121"/>
      <c r="BE264" s="121"/>
      <c r="BF264" s="121"/>
      <c r="BG264" s="121"/>
      <c r="BH264" s="121"/>
      <c r="BI264" s="121"/>
      <c r="BJ264" s="121"/>
      <c r="BK264" s="121"/>
      <c r="BL264" s="121"/>
      <c r="BM264" s="121"/>
      <c r="BN264" s="121"/>
      <c r="BO264" s="121"/>
      <c r="BP264" s="121"/>
      <c r="BQ264" s="121"/>
      <c r="BR264" s="121"/>
      <c r="BS264" s="121"/>
      <c r="BT264" s="121"/>
      <c r="BU264" s="121"/>
    </row>
    <row r="265" spans="1:73" x14ac:dyDescent="0.15">
      <c r="A265" s="109"/>
      <c r="B265" s="109"/>
      <c r="C265" s="12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0"/>
      <c r="AK265" s="90"/>
      <c r="AL265" s="90"/>
      <c r="AM265" s="121"/>
      <c r="AN265" s="121"/>
      <c r="AO265" s="121"/>
      <c r="AP265" s="121"/>
      <c r="AQ265" s="121"/>
      <c r="AR265" s="121"/>
      <c r="AS265" s="121"/>
      <c r="AT265" s="121"/>
      <c r="AU265" s="121"/>
      <c r="AV265" s="121"/>
      <c r="AW265" s="121"/>
      <c r="AX265" s="121"/>
      <c r="AY265" s="121"/>
      <c r="AZ265" s="121"/>
      <c r="BA265" s="121"/>
      <c r="BB265" s="121"/>
      <c r="BC265" s="121"/>
      <c r="BD265" s="121"/>
      <c r="BE265" s="121"/>
      <c r="BF265" s="121"/>
      <c r="BG265" s="121"/>
      <c r="BH265" s="121"/>
      <c r="BI265" s="121"/>
      <c r="BJ265" s="121"/>
      <c r="BK265" s="121"/>
      <c r="BL265" s="121"/>
      <c r="BM265" s="121"/>
      <c r="BN265" s="121"/>
      <c r="BO265" s="121"/>
      <c r="BP265" s="121"/>
      <c r="BQ265" s="121"/>
      <c r="BR265" s="121"/>
      <c r="BS265" s="121"/>
      <c r="BT265" s="121"/>
      <c r="BU265" s="121"/>
    </row>
    <row r="266" spans="1:73" x14ac:dyDescent="0.15">
      <c r="A266" s="109"/>
      <c r="B266" s="109"/>
      <c r="C266" s="12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0"/>
      <c r="AK266" s="90"/>
      <c r="AL266" s="90"/>
      <c r="AM266" s="121"/>
      <c r="AN266" s="121"/>
      <c r="AO266" s="121"/>
      <c r="AP266" s="121"/>
      <c r="AQ266" s="121"/>
      <c r="AR266" s="121"/>
      <c r="AS266" s="121"/>
      <c r="AT266" s="121"/>
      <c r="AU266" s="121"/>
      <c r="AV266" s="121"/>
      <c r="AW266" s="121"/>
      <c r="AX266" s="121"/>
      <c r="AY266" s="121"/>
      <c r="AZ266" s="121"/>
      <c r="BA266" s="121"/>
      <c r="BB266" s="121"/>
      <c r="BC266" s="121"/>
      <c r="BD266" s="121"/>
      <c r="BE266" s="121"/>
      <c r="BF266" s="121"/>
      <c r="BG266" s="121"/>
      <c r="BH266" s="121"/>
      <c r="BI266" s="121"/>
      <c r="BJ266" s="121"/>
      <c r="BK266" s="121"/>
      <c r="BL266" s="121"/>
      <c r="BM266" s="121"/>
      <c r="BN266" s="121"/>
      <c r="BO266" s="121"/>
      <c r="BP266" s="121"/>
      <c r="BQ266" s="121"/>
      <c r="BR266" s="121"/>
      <c r="BS266" s="121"/>
      <c r="BT266" s="121"/>
      <c r="BU266" s="121"/>
    </row>
    <row r="267" spans="1:73" x14ac:dyDescent="0.15">
      <c r="A267" s="109"/>
      <c r="B267" s="109"/>
      <c r="C267" s="12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0"/>
      <c r="AK267" s="90"/>
      <c r="AL267" s="90"/>
      <c r="AM267" s="121"/>
      <c r="AN267" s="121"/>
      <c r="AO267" s="121"/>
      <c r="AP267" s="121"/>
      <c r="AQ267" s="121"/>
      <c r="AR267" s="121"/>
      <c r="AS267" s="121"/>
      <c r="AT267" s="121"/>
      <c r="AU267" s="121"/>
      <c r="AV267" s="121"/>
      <c r="AW267" s="121"/>
      <c r="AX267" s="121"/>
      <c r="AY267" s="121"/>
      <c r="AZ267" s="121"/>
      <c r="BA267" s="121"/>
      <c r="BB267" s="121"/>
      <c r="BC267" s="121"/>
      <c r="BD267" s="121"/>
      <c r="BE267" s="121"/>
      <c r="BF267" s="121"/>
      <c r="BG267" s="121"/>
      <c r="BH267" s="121"/>
      <c r="BI267" s="121"/>
      <c r="BJ267" s="121"/>
      <c r="BK267" s="121"/>
      <c r="BL267" s="121"/>
      <c r="BM267" s="121"/>
      <c r="BN267" s="121"/>
      <c r="BO267" s="121"/>
      <c r="BP267" s="121"/>
      <c r="BQ267" s="121"/>
      <c r="BR267" s="121"/>
      <c r="BS267" s="121"/>
      <c r="BT267" s="121"/>
      <c r="BU267" s="121"/>
    </row>
    <row r="268" spans="1:73" x14ac:dyDescent="0.15">
      <c r="A268" s="109"/>
      <c r="B268" s="109"/>
      <c r="C268" s="12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0"/>
      <c r="AK268" s="90"/>
      <c r="AL268" s="90"/>
      <c r="AM268" s="121"/>
      <c r="AN268" s="121"/>
      <c r="AO268" s="121"/>
      <c r="AP268" s="121"/>
      <c r="AQ268" s="121"/>
      <c r="AR268" s="121"/>
      <c r="AS268" s="121"/>
      <c r="AT268" s="121"/>
      <c r="AU268" s="121"/>
      <c r="AV268" s="121"/>
      <c r="AW268" s="121"/>
      <c r="AX268" s="121"/>
      <c r="AY268" s="121"/>
      <c r="AZ268" s="121"/>
      <c r="BA268" s="121"/>
      <c r="BB268" s="121"/>
      <c r="BC268" s="121"/>
      <c r="BD268" s="121"/>
      <c r="BE268" s="121"/>
      <c r="BF268" s="121"/>
      <c r="BG268" s="121"/>
      <c r="BH268" s="121"/>
      <c r="BI268" s="121"/>
      <c r="BJ268" s="121"/>
      <c r="BK268" s="121"/>
      <c r="BL268" s="121"/>
      <c r="BM268" s="121"/>
      <c r="BN268" s="121"/>
      <c r="BO268" s="121"/>
      <c r="BP268" s="121"/>
      <c r="BQ268" s="121"/>
      <c r="BR268" s="121"/>
      <c r="BS268" s="121"/>
      <c r="BT268" s="121"/>
      <c r="BU268" s="121"/>
    </row>
    <row r="269" spans="1:73" x14ac:dyDescent="0.15">
      <c r="A269" s="109"/>
      <c r="B269" s="109"/>
      <c r="C269" s="12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0"/>
      <c r="AK269" s="90"/>
      <c r="AL269" s="90"/>
      <c r="AM269" s="121"/>
      <c r="AN269" s="121"/>
      <c r="AO269" s="121"/>
      <c r="AP269" s="121"/>
      <c r="AQ269" s="121"/>
      <c r="AR269" s="121"/>
      <c r="AS269" s="121"/>
      <c r="AT269" s="121"/>
      <c r="AU269" s="121"/>
      <c r="AV269" s="121"/>
      <c r="AW269" s="121"/>
      <c r="AX269" s="121"/>
      <c r="AY269" s="121"/>
      <c r="AZ269" s="121"/>
      <c r="BA269" s="121"/>
      <c r="BB269" s="121"/>
      <c r="BC269" s="121"/>
      <c r="BD269" s="121"/>
      <c r="BE269" s="121"/>
      <c r="BF269" s="121"/>
      <c r="BG269" s="121"/>
      <c r="BH269" s="121"/>
      <c r="BI269" s="121"/>
      <c r="BJ269" s="121"/>
      <c r="BK269" s="121"/>
      <c r="BL269" s="121"/>
      <c r="BM269" s="121"/>
      <c r="BN269" s="121"/>
      <c r="BO269" s="121"/>
      <c r="BP269" s="121"/>
      <c r="BQ269" s="121"/>
      <c r="BR269" s="121"/>
      <c r="BS269" s="121"/>
      <c r="BT269" s="121"/>
      <c r="BU269" s="121"/>
    </row>
    <row r="270" spans="1:73" x14ac:dyDescent="0.15">
      <c r="A270" s="109"/>
      <c r="B270" s="109"/>
      <c r="C270" s="12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0"/>
      <c r="AK270" s="90"/>
      <c r="AL270" s="90"/>
      <c r="AM270" s="121"/>
      <c r="AN270" s="121"/>
      <c r="AO270" s="121"/>
      <c r="AP270" s="121"/>
      <c r="AQ270" s="121"/>
      <c r="AR270" s="121"/>
      <c r="AS270" s="121"/>
      <c r="AT270" s="121"/>
      <c r="AU270" s="121"/>
      <c r="AV270" s="121"/>
      <c r="AW270" s="121"/>
      <c r="AX270" s="121"/>
      <c r="AY270" s="121"/>
      <c r="AZ270" s="121"/>
      <c r="BA270" s="121"/>
      <c r="BB270" s="121"/>
      <c r="BC270" s="121"/>
      <c r="BD270" s="121"/>
      <c r="BE270" s="121"/>
      <c r="BF270" s="121"/>
      <c r="BG270" s="121"/>
      <c r="BH270" s="121"/>
      <c r="BI270" s="121"/>
      <c r="BJ270" s="121"/>
      <c r="BK270" s="121"/>
      <c r="BL270" s="121"/>
      <c r="BM270" s="121"/>
      <c r="BN270" s="121"/>
      <c r="BO270" s="121"/>
      <c r="BP270" s="121"/>
      <c r="BQ270" s="121"/>
      <c r="BR270" s="121"/>
      <c r="BS270" s="121"/>
      <c r="BT270" s="121"/>
      <c r="BU270" s="121"/>
    </row>
    <row r="271" spans="1:73" x14ac:dyDescent="0.15">
      <c r="A271" s="109"/>
      <c r="B271" s="109"/>
      <c r="C271" s="12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0"/>
      <c r="AK271" s="90"/>
      <c r="AL271" s="90"/>
      <c r="AM271" s="121"/>
      <c r="AN271" s="121"/>
      <c r="AO271" s="121"/>
      <c r="AP271" s="121"/>
      <c r="AQ271" s="121"/>
      <c r="AR271" s="121"/>
      <c r="AS271" s="121"/>
      <c r="AT271" s="121"/>
      <c r="AU271" s="121"/>
      <c r="AV271" s="121"/>
      <c r="AW271" s="121"/>
      <c r="AX271" s="121"/>
      <c r="AY271" s="121"/>
      <c r="AZ271" s="121"/>
      <c r="BA271" s="121"/>
      <c r="BB271" s="121"/>
      <c r="BC271" s="121"/>
      <c r="BD271" s="121"/>
      <c r="BE271" s="121"/>
      <c r="BF271" s="121"/>
      <c r="BG271" s="121"/>
      <c r="BH271" s="121"/>
      <c r="BI271" s="121"/>
      <c r="BJ271" s="121"/>
      <c r="BK271" s="121"/>
      <c r="BL271" s="121"/>
      <c r="BM271" s="121"/>
      <c r="BN271" s="121"/>
      <c r="BO271" s="121"/>
      <c r="BP271" s="121"/>
      <c r="BQ271" s="121"/>
      <c r="BR271" s="121"/>
      <c r="BS271" s="121"/>
      <c r="BT271" s="121"/>
      <c r="BU271" s="121"/>
    </row>
    <row r="272" spans="1:73" x14ac:dyDescent="0.15">
      <c r="A272" s="109"/>
      <c r="B272" s="109"/>
      <c r="C272" s="12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0"/>
      <c r="AK272" s="90"/>
      <c r="AL272" s="90"/>
      <c r="AM272" s="121"/>
      <c r="AN272" s="121"/>
      <c r="AO272" s="121"/>
      <c r="AP272" s="121"/>
      <c r="AQ272" s="121"/>
      <c r="AR272" s="121"/>
      <c r="AS272" s="121"/>
      <c r="AT272" s="121"/>
      <c r="AU272" s="121"/>
      <c r="AV272" s="121"/>
      <c r="AW272" s="121"/>
      <c r="AX272" s="121"/>
      <c r="AY272" s="121"/>
      <c r="AZ272" s="121"/>
      <c r="BA272" s="121"/>
      <c r="BB272" s="121"/>
      <c r="BC272" s="121"/>
      <c r="BD272" s="121"/>
      <c r="BE272" s="121"/>
      <c r="BF272" s="121"/>
      <c r="BG272" s="121"/>
      <c r="BH272" s="121"/>
      <c r="BI272" s="121"/>
      <c r="BJ272" s="121"/>
      <c r="BK272" s="121"/>
      <c r="BL272" s="121"/>
      <c r="BM272" s="121"/>
      <c r="BN272" s="121"/>
      <c r="BO272" s="121"/>
      <c r="BP272" s="121"/>
      <c r="BQ272" s="121"/>
      <c r="BR272" s="121"/>
      <c r="BS272" s="121"/>
      <c r="BT272" s="121"/>
      <c r="BU272" s="121"/>
    </row>
    <row r="273" spans="1:73" x14ac:dyDescent="0.15">
      <c r="A273" s="109"/>
      <c r="B273" s="109"/>
      <c r="C273" s="12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0"/>
      <c r="AK273" s="90"/>
      <c r="AL273" s="90"/>
      <c r="AM273" s="121"/>
      <c r="AN273" s="121"/>
      <c r="AO273" s="121"/>
      <c r="AP273" s="121"/>
      <c r="AQ273" s="121"/>
      <c r="AR273" s="121"/>
      <c r="AS273" s="121"/>
      <c r="AT273" s="121"/>
      <c r="AU273" s="121"/>
      <c r="AV273" s="121"/>
      <c r="AW273" s="121"/>
      <c r="AX273" s="121"/>
      <c r="AY273" s="121"/>
      <c r="AZ273" s="121"/>
      <c r="BA273" s="121"/>
      <c r="BB273" s="121"/>
      <c r="BC273" s="121"/>
      <c r="BD273" s="121"/>
      <c r="BE273" s="121"/>
      <c r="BF273" s="121"/>
      <c r="BG273" s="121"/>
      <c r="BH273" s="121"/>
      <c r="BI273" s="121"/>
      <c r="BJ273" s="121"/>
      <c r="BK273" s="121"/>
      <c r="BL273" s="121"/>
      <c r="BM273" s="121"/>
      <c r="BN273" s="121"/>
      <c r="BO273" s="121"/>
      <c r="BP273" s="121"/>
      <c r="BQ273" s="121"/>
      <c r="BR273" s="121"/>
      <c r="BS273" s="121"/>
      <c r="BT273" s="121"/>
      <c r="BU273" s="121"/>
    </row>
    <row r="274" spans="1:73" x14ac:dyDescent="0.15">
      <c r="A274" s="109"/>
      <c r="B274" s="109"/>
      <c r="C274" s="12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0"/>
      <c r="AK274" s="90"/>
      <c r="AL274" s="90"/>
      <c r="AM274" s="121"/>
      <c r="AN274" s="121"/>
      <c r="AO274" s="121"/>
      <c r="AP274" s="121"/>
      <c r="AQ274" s="121"/>
      <c r="AR274" s="121"/>
      <c r="AS274" s="121"/>
      <c r="AT274" s="121"/>
      <c r="AU274" s="121"/>
      <c r="AV274" s="121"/>
      <c r="AW274" s="121"/>
      <c r="AX274" s="121"/>
      <c r="AY274" s="121"/>
      <c r="AZ274" s="121"/>
      <c r="BA274" s="121"/>
      <c r="BB274" s="121"/>
      <c r="BC274" s="121"/>
      <c r="BD274" s="121"/>
      <c r="BE274" s="121"/>
      <c r="BF274" s="121"/>
      <c r="BG274" s="121"/>
      <c r="BH274" s="121"/>
      <c r="BI274" s="121"/>
      <c r="BJ274" s="121"/>
      <c r="BK274" s="121"/>
      <c r="BL274" s="121"/>
      <c r="BM274" s="121"/>
      <c r="BN274" s="121"/>
      <c r="BO274" s="121"/>
      <c r="BP274" s="121"/>
      <c r="BQ274" s="121"/>
      <c r="BR274" s="121"/>
      <c r="BS274" s="121"/>
      <c r="BT274" s="121"/>
      <c r="BU274" s="121"/>
    </row>
    <row r="275" spans="1:73" x14ac:dyDescent="0.15">
      <c r="A275" s="109"/>
      <c r="B275" s="109"/>
      <c r="C275" s="12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0"/>
      <c r="AK275" s="90"/>
      <c r="AL275" s="90"/>
      <c r="AM275" s="121"/>
      <c r="AN275" s="121"/>
      <c r="AO275" s="121"/>
      <c r="AP275" s="121"/>
      <c r="AQ275" s="121"/>
      <c r="AR275" s="121"/>
      <c r="AS275" s="121"/>
      <c r="AT275" s="121"/>
      <c r="AU275" s="121"/>
      <c r="AV275" s="121"/>
      <c r="AW275" s="121"/>
      <c r="AX275" s="121"/>
      <c r="AY275" s="121"/>
      <c r="AZ275" s="121"/>
      <c r="BA275" s="121"/>
      <c r="BB275" s="121"/>
      <c r="BC275" s="121"/>
      <c r="BD275" s="121"/>
      <c r="BE275" s="121"/>
      <c r="BF275" s="121"/>
      <c r="BG275" s="121"/>
      <c r="BH275" s="121"/>
      <c r="BI275" s="121"/>
      <c r="BJ275" s="121"/>
      <c r="BK275" s="121"/>
      <c r="BL275" s="121"/>
      <c r="BM275" s="121"/>
      <c r="BN275" s="121"/>
      <c r="BO275" s="121"/>
      <c r="BP275" s="121"/>
      <c r="BQ275" s="121"/>
      <c r="BR275" s="121"/>
      <c r="BS275" s="121"/>
      <c r="BT275" s="121"/>
      <c r="BU275" s="121"/>
    </row>
    <row r="276" spans="1:73" x14ac:dyDescent="0.15">
      <c r="A276" s="109"/>
      <c r="B276" s="109"/>
      <c r="C276" s="12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0"/>
      <c r="AK276" s="90"/>
      <c r="AL276" s="90"/>
      <c r="AM276" s="121"/>
      <c r="AN276" s="121"/>
      <c r="AO276" s="121"/>
      <c r="AP276" s="121"/>
      <c r="AQ276" s="121"/>
      <c r="AR276" s="121"/>
      <c r="AS276" s="121"/>
      <c r="AT276" s="121"/>
      <c r="AU276" s="121"/>
      <c r="AV276" s="121"/>
      <c r="AW276" s="121"/>
      <c r="AX276" s="121"/>
      <c r="AY276" s="121"/>
      <c r="AZ276" s="121"/>
      <c r="BA276" s="121"/>
      <c r="BB276" s="121"/>
      <c r="BC276" s="121"/>
      <c r="BD276" s="121"/>
      <c r="BE276" s="121"/>
      <c r="BF276" s="121"/>
      <c r="BG276" s="121"/>
      <c r="BH276" s="121"/>
      <c r="BI276" s="121"/>
      <c r="BJ276" s="121"/>
      <c r="BK276" s="121"/>
      <c r="BL276" s="121"/>
      <c r="BM276" s="121"/>
      <c r="BN276" s="121"/>
      <c r="BO276" s="121"/>
      <c r="BP276" s="121"/>
      <c r="BQ276" s="121"/>
      <c r="BR276" s="121"/>
      <c r="BS276" s="121"/>
      <c r="BT276" s="121"/>
      <c r="BU276" s="121"/>
    </row>
    <row r="277" spans="1:73" x14ac:dyDescent="0.15">
      <c r="A277" s="109"/>
      <c r="B277" s="109"/>
      <c r="C277" s="12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0"/>
      <c r="AK277" s="90"/>
      <c r="AL277" s="90"/>
      <c r="AM277" s="121"/>
      <c r="AN277" s="121"/>
      <c r="AO277" s="121"/>
      <c r="AP277" s="121"/>
      <c r="AQ277" s="121"/>
      <c r="AR277" s="121"/>
      <c r="AS277" s="121"/>
      <c r="AT277" s="121"/>
      <c r="AU277" s="121"/>
      <c r="AV277" s="121"/>
      <c r="AW277" s="121"/>
      <c r="AX277" s="121"/>
      <c r="AY277" s="121"/>
      <c r="AZ277" s="121"/>
      <c r="BA277" s="121"/>
      <c r="BB277" s="121"/>
      <c r="BC277" s="121"/>
      <c r="BD277" s="121"/>
      <c r="BE277" s="121"/>
      <c r="BF277" s="121"/>
      <c r="BG277" s="121"/>
      <c r="BH277" s="121"/>
      <c r="BI277" s="121"/>
      <c r="BJ277" s="121"/>
      <c r="BK277" s="121"/>
      <c r="BL277" s="121"/>
      <c r="BM277" s="121"/>
      <c r="BN277" s="121"/>
      <c r="BO277" s="121"/>
      <c r="BP277" s="121"/>
      <c r="BQ277" s="121"/>
      <c r="BR277" s="121"/>
      <c r="BS277" s="121"/>
      <c r="BT277" s="121"/>
      <c r="BU277" s="121"/>
    </row>
    <row r="278" spans="1:73" x14ac:dyDescent="0.15">
      <c r="A278" s="109"/>
      <c r="B278" s="109"/>
      <c r="C278" s="12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0"/>
      <c r="AK278" s="90"/>
      <c r="AL278" s="90"/>
      <c r="AM278" s="121"/>
      <c r="AN278" s="121"/>
      <c r="AO278" s="121"/>
      <c r="AP278" s="121"/>
      <c r="AQ278" s="121"/>
      <c r="AR278" s="121"/>
      <c r="AS278" s="121"/>
      <c r="AT278" s="121"/>
      <c r="AU278" s="121"/>
      <c r="AV278" s="121"/>
      <c r="AW278" s="121"/>
      <c r="AX278" s="121"/>
      <c r="AY278" s="121"/>
      <c r="AZ278" s="121"/>
      <c r="BA278" s="121"/>
      <c r="BB278" s="121"/>
      <c r="BC278" s="121"/>
      <c r="BD278" s="121"/>
      <c r="BE278" s="121"/>
      <c r="BF278" s="121"/>
      <c r="BG278" s="121"/>
      <c r="BH278" s="121"/>
      <c r="BI278" s="121"/>
      <c r="BJ278" s="121"/>
      <c r="BK278" s="121"/>
      <c r="BL278" s="121"/>
      <c r="BM278" s="121"/>
      <c r="BN278" s="121"/>
      <c r="BO278" s="121"/>
      <c r="BP278" s="121"/>
      <c r="BQ278" s="121"/>
      <c r="BR278" s="121"/>
      <c r="BS278" s="121"/>
      <c r="BT278" s="121"/>
      <c r="BU278" s="121"/>
    </row>
    <row r="279" spans="1:73" x14ac:dyDescent="0.15">
      <c r="A279" s="109"/>
      <c r="B279" s="109"/>
      <c r="C279" s="12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0"/>
      <c r="AK279" s="90"/>
      <c r="AL279" s="90"/>
      <c r="AM279" s="121"/>
      <c r="AN279" s="121"/>
      <c r="AO279" s="121"/>
      <c r="AP279" s="121"/>
      <c r="AQ279" s="121"/>
      <c r="AR279" s="121"/>
      <c r="AS279" s="121"/>
      <c r="AT279" s="121"/>
      <c r="AU279" s="121"/>
      <c r="AV279" s="121"/>
      <c r="AW279" s="121"/>
      <c r="AX279" s="121"/>
      <c r="AY279" s="121"/>
      <c r="AZ279" s="121"/>
      <c r="BA279" s="121"/>
      <c r="BB279" s="121"/>
      <c r="BC279" s="121"/>
      <c r="BD279" s="121"/>
      <c r="BE279" s="121"/>
      <c r="BF279" s="121"/>
      <c r="BG279" s="121"/>
      <c r="BH279" s="121"/>
      <c r="BI279" s="121"/>
      <c r="BJ279" s="121"/>
      <c r="BK279" s="121"/>
      <c r="BL279" s="121"/>
      <c r="BM279" s="121"/>
      <c r="BN279" s="121"/>
      <c r="BO279" s="121"/>
      <c r="BP279" s="121"/>
      <c r="BQ279" s="121"/>
      <c r="BR279" s="121"/>
      <c r="BS279" s="121"/>
      <c r="BT279" s="121"/>
      <c r="BU279" s="121"/>
    </row>
    <row r="280" spans="1:73" x14ac:dyDescent="0.15">
      <c r="A280" s="109"/>
      <c r="B280" s="109"/>
      <c r="C280" s="12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0"/>
      <c r="AK280" s="90"/>
      <c r="AL280" s="90"/>
      <c r="AM280" s="121"/>
      <c r="AN280" s="121"/>
      <c r="AO280" s="121"/>
      <c r="AP280" s="121"/>
      <c r="AQ280" s="121"/>
      <c r="AR280" s="121"/>
      <c r="AS280" s="121"/>
      <c r="AT280" s="121"/>
      <c r="AU280" s="121"/>
      <c r="AV280" s="121"/>
      <c r="AW280" s="121"/>
      <c r="AX280" s="121"/>
      <c r="AY280" s="121"/>
      <c r="AZ280" s="121"/>
      <c r="BA280" s="121"/>
      <c r="BB280" s="121"/>
      <c r="BC280" s="121"/>
      <c r="BD280" s="121"/>
      <c r="BE280" s="121"/>
      <c r="BF280" s="121"/>
      <c r="BG280" s="121"/>
      <c r="BH280" s="121"/>
      <c r="BI280" s="121"/>
      <c r="BJ280" s="121"/>
      <c r="BK280" s="121"/>
      <c r="BL280" s="121"/>
      <c r="BM280" s="121"/>
      <c r="BN280" s="121"/>
      <c r="BO280" s="121"/>
      <c r="BP280" s="121"/>
      <c r="BQ280" s="121"/>
      <c r="BR280" s="121"/>
      <c r="BS280" s="121"/>
      <c r="BT280" s="121"/>
      <c r="BU280" s="121"/>
    </row>
    <row r="281" spans="1:73" x14ac:dyDescent="0.15">
      <c r="A281" s="109"/>
      <c r="B281" s="109"/>
      <c r="C281" s="12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0"/>
      <c r="AK281" s="90"/>
      <c r="AL281" s="90"/>
      <c r="AM281" s="121"/>
      <c r="AN281" s="121"/>
      <c r="AO281" s="121"/>
      <c r="AP281" s="121"/>
      <c r="AQ281" s="121"/>
      <c r="AR281" s="121"/>
      <c r="AS281" s="121"/>
      <c r="AT281" s="121"/>
      <c r="AU281" s="121"/>
      <c r="AV281" s="121"/>
      <c r="AW281" s="121"/>
      <c r="AX281" s="121"/>
      <c r="AY281" s="121"/>
      <c r="AZ281" s="121"/>
      <c r="BA281" s="121"/>
      <c r="BB281" s="121"/>
      <c r="BC281" s="121"/>
      <c r="BD281" s="121"/>
      <c r="BE281" s="121"/>
      <c r="BF281" s="121"/>
      <c r="BG281" s="121"/>
      <c r="BH281" s="121"/>
      <c r="BI281" s="121"/>
      <c r="BJ281" s="121"/>
      <c r="BK281" s="121"/>
      <c r="BL281" s="121"/>
      <c r="BM281" s="121"/>
      <c r="BN281" s="121"/>
      <c r="BO281" s="121"/>
      <c r="BP281" s="121"/>
      <c r="BQ281" s="121"/>
      <c r="BR281" s="121"/>
      <c r="BS281" s="121"/>
      <c r="BT281" s="121"/>
      <c r="BU281" s="121"/>
    </row>
    <row r="282" spans="1:73" x14ac:dyDescent="0.15">
      <c r="A282" s="109"/>
      <c r="B282" s="109"/>
      <c r="C282" s="12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0"/>
      <c r="AK282" s="90"/>
      <c r="AL282" s="90"/>
      <c r="AM282" s="121"/>
      <c r="AN282" s="121"/>
      <c r="AO282" s="121"/>
      <c r="AP282" s="121"/>
      <c r="AQ282" s="121"/>
      <c r="AR282" s="121"/>
      <c r="AS282" s="121"/>
      <c r="AT282" s="121"/>
      <c r="AU282" s="121"/>
      <c r="AV282" s="121"/>
      <c r="AW282" s="121"/>
      <c r="AX282" s="121"/>
      <c r="AY282" s="121"/>
      <c r="AZ282" s="121"/>
      <c r="BA282" s="121"/>
      <c r="BB282" s="121"/>
      <c r="BC282" s="121"/>
      <c r="BD282" s="121"/>
      <c r="BE282" s="121"/>
      <c r="BF282" s="121"/>
      <c r="BG282" s="121"/>
      <c r="BH282" s="121"/>
      <c r="BI282" s="121"/>
      <c r="BJ282" s="121"/>
      <c r="BK282" s="121"/>
      <c r="BL282" s="121"/>
      <c r="BM282" s="121"/>
      <c r="BN282" s="121"/>
      <c r="BO282" s="121"/>
      <c r="BP282" s="121"/>
      <c r="BQ282" s="121"/>
      <c r="BR282" s="121"/>
      <c r="BS282" s="121"/>
      <c r="BT282" s="121"/>
      <c r="BU282" s="121"/>
    </row>
    <row r="283" spans="1:73" x14ac:dyDescent="0.15">
      <c r="A283" s="109"/>
      <c r="B283" s="109"/>
      <c r="C283" s="12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0"/>
      <c r="AK283" s="90"/>
      <c r="AL283" s="90"/>
      <c r="AM283" s="121"/>
      <c r="AN283" s="121"/>
      <c r="AO283" s="121"/>
      <c r="AP283" s="121"/>
      <c r="AQ283" s="121"/>
      <c r="AR283" s="121"/>
      <c r="AS283" s="121"/>
      <c r="AT283" s="121"/>
      <c r="AU283" s="121"/>
      <c r="AV283" s="121"/>
      <c r="AW283" s="121"/>
      <c r="AX283" s="121"/>
      <c r="AY283" s="121"/>
      <c r="AZ283" s="121"/>
      <c r="BA283" s="121"/>
      <c r="BB283" s="121"/>
      <c r="BC283" s="121"/>
      <c r="BD283" s="121"/>
      <c r="BE283" s="121"/>
      <c r="BF283" s="121"/>
      <c r="BG283" s="121"/>
      <c r="BH283" s="121"/>
      <c r="BI283" s="121"/>
      <c r="BJ283" s="121"/>
      <c r="BK283" s="121"/>
      <c r="BL283" s="121"/>
      <c r="BM283" s="121"/>
      <c r="BN283" s="121"/>
      <c r="BO283" s="121"/>
      <c r="BP283" s="121"/>
      <c r="BQ283" s="121"/>
      <c r="BR283" s="121"/>
      <c r="BS283" s="121"/>
      <c r="BT283" s="121"/>
      <c r="BU283" s="121"/>
    </row>
    <row r="284" spans="1:73" x14ac:dyDescent="0.15">
      <c r="A284" s="109"/>
      <c r="B284" s="109"/>
      <c r="C284" s="12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0"/>
      <c r="AK284" s="90"/>
      <c r="AL284" s="90"/>
      <c r="AM284" s="121"/>
      <c r="AN284" s="121"/>
      <c r="AO284" s="121"/>
      <c r="AP284" s="121"/>
      <c r="AQ284" s="121"/>
      <c r="AR284" s="121"/>
      <c r="AS284" s="121"/>
      <c r="AT284" s="121"/>
      <c r="AU284" s="121"/>
      <c r="AV284" s="121"/>
      <c r="AW284" s="121"/>
      <c r="AX284" s="121"/>
      <c r="AY284" s="121"/>
      <c r="AZ284" s="121"/>
      <c r="BA284" s="121"/>
      <c r="BB284" s="121"/>
      <c r="BC284" s="121"/>
      <c r="BD284" s="121"/>
      <c r="BE284" s="121"/>
      <c r="BF284" s="121"/>
      <c r="BG284" s="121"/>
      <c r="BH284" s="121"/>
      <c r="BI284" s="121"/>
      <c r="BJ284" s="121"/>
      <c r="BK284" s="121"/>
      <c r="BL284" s="121"/>
      <c r="BM284" s="121"/>
      <c r="BN284" s="121"/>
      <c r="BO284" s="121"/>
      <c r="BP284" s="121"/>
      <c r="BQ284" s="121"/>
      <c r="BR284" s="121"/>
      <c r="BS284" s="121"/>
      <c r="BT284" s="121"/>
      <c r="BU284" s="121"/>
    </row>
    <row r="285" spans="1:73" x14ac:dyDescent="0.15">
      <c r="A285" s="109"/>
      <c r="B285" s="109"/>
      <c r="C285" s="12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0"/>
      <c r="AK285" s="90"/>
      <c r="AL285" s="90"/>
      <c r="AM285" s="121"/>
      <c r="AN285" s="121"/>
      <c r="AO285" s="121"/>
      <c r="AP285" s="121"/>
      <c r="AQ285" s="121"/>
      <c r="AR285" s="121"/>
      <c r="AS285" s="121"/>
      <c r="AT285" s="121"/>
      <c r="AU285" s="121"/>
      <c r="AV285" s="121"/>
      <c r="AW285" s="121"/>
      <c r="AX285" s="121"/>
      <c r="AY285" s="121"/>
      <c r="AZ285" s="121"/>
      <c r="BA285" s="121"/>
      <c r="BB285" s="121"/>
      <c r="BC285" s="121"/>
      <c r="BD285" s="121"/>
      <c r="BE285" s="121"/>
      <c r="BF285" s="121"/>
      <c r="BG285" s="121"/>
      <c r="BH285" s="121"/>
      <c r="BI285" s="121"/>
      <c r="BJ285" s="121"/>
      <c r="BK285" s="121"/>
      <c r="BL285" s="121"/>
      <c r="BM285" s="121"/>
      <c r="BN285" s="121"/>
      <c r="BO285" s="121"/>
      <c r="BP285" s="121"/>
      <c r="BQ285" s="121"/>
      <c r="BR285" s="121"/>
      <c r="BS285" s="121"/>
      <c r="BT285" s="121"/>
      <c r="BU285" s="121"/>
    </row>
    <row r="286" spans="1:73" x14ac:dyDescent="0.15">
      <c r="A286" s="109"/>
      <c r="B286" s="109"/>
      <c r="C286" s="12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0"/>
      <c r="AK286" s="90"/>
      <c r="AL286" s="90"/>
      <c r="AM286" s="121"/>
      <c r="AN286" s="121"/>
      <c r="AO286" s="121"/>
      <c r="AP286" s="121"/>
      <c r="AQ286" s="121"/>
      <c r="AR286" s="121"/>
      <c r="AS286" s="121"/>
      <c r="AT286" s="121"/>
      <c r="AU286" s="121"/>
      <c r="AV286" s="121"/>
      <c r="AW286" s="121"/>
      <c r="AX286" s="121"/>
      <c r="AY286" s="121"/>
      <c r="AZ286" s="121"/>
      <c r="BA286" s="121"/>
      <c r="BB286" s="121"/>
      <c r="BC286" s="121"/>
      <c r="BD286" s="121"/>
      <c r="BE286" s="121"/>
      <c r="BF286" s="121"/>
      <c r="BG286" s="121"/>
      <c r="BH286" s="121"/>
      <c r="BI286" s="121"/>
      <c r="BJ286" s="121"/>
      <c r="BK286" s="121"/>
      <c r="BL286" s="121"/>
      <c r="BM286" s="121"/>
      <c r="BN286" s="121"/>
      <c r="BO286" s="121"/>
      <c r="BP286" s="121"/>
      <c r="BQ286" s="121"/>
      <c r="BR286" s="121"/>
      <c r="BS286" s="121"/>
      <c r="BT286" s="121"/>
      <c r="BU286" s="121"/>
    </row>
    <row r="287" spans="1:73" x14ac:dyDescent="0.15">
      <c r="A287" s="109"/>
      <c r="B287" s="109"/>
      <c r="C287" s="12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0"/>
      <c r="AK287" s="90"/>
      <c r="AL287" s="90"/>
      <c r="AM287" s="121"/>
      <c r="AN287" s="121"/>
      <c r="AO287" s="121"/>
      <c r="AP287" s="121"/>
      <c r="AQ287" s="121"/>
      <c r="AR287" s="121"/>
      <c r="AS287" s="121"/>
      <c r="AT287" s="121"/>
      <c r="AU287" s="121"/>
      <c r="AV287" s="121"/>
      <c r="AW287" s="121"/>
      <c r="AX287" s="121"/>
      <c r="AY287" s="121"/>
      <c r="AZ287" s="121"/>
      <c r="BA287" s="121"/>
      <c r="BB287" s="121"/>
      <c r="BC287" s="121"/>
      <c r="BD287" s="121"/>
      <c r="BE287" s="121"/>
      <c r="BF287" s="121"/>
      <c r="BG287" s="121"/>
      <c r="BH287" s="121"/>
      <c r="BI287" s="121"/>
      <c r="BJ287" s="121"/>
      <c r="BK287" s="121"/>
      <c r="BL287" s="121"/>
      <c r="BM287" s="121"/>
      <c r="BN287" s="121"/>
      <c r="BO287" s="121"/>
      <c r="BP287" s="121"/>
      <c r="BQ287" s="121"/>
      <c r="BR287" s="121"/>
      <c r="BS287" s="121"/>
      <c r="BT287" s="121"/>
      <c r="BU287" s="121"/>
    </row>
    <row r="288" spans="1:73" x14ac:dyDescent="0.15">
      <c r="A288" s="109"/>
      <c r="B288" s="109"/>
      <c r="C288" s="12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0"/>
      <c r="AK288" s="90"/>
      <c r="AL288" s="90"/>
      <c r="AM288" s="121"/>
      <c r="AN288" s="121"/>
      <c r="AO288" s="121"/>
      <c r="AP288" s="121"/>
      <c r="AQ288" s="121"/>
      <c r="AR288" s="121"/>
      <c r="AS288" s="121"/>
      <c r="AT288" s="121"/>
      <c r="AU288" s="121"/>
      <c r="AV288" s="121"/>
      <c r="AW288" s="121"/>
      <c r="AX288" s="121"/>
      <c r="AY288" s="121"/>
      <c r="AZ288" s="121"/>
      <c r="BA288" s="121"/>
      <c r="BB288" s="121"/>
      <c r="BC288" s="121"/>
      <c r="BD288" s="121"/>
      <c r="BE288" s="121"/>
      <c r="BF288" s="121"/>
      <c r="BG288" s="121"/>
      <c r="BH288" s="121"/>
      <c r="BI288" s="121"/>
      <c r="BJ288" s="121"/>
      <c r="BK288" s="121"/>
      <c r="BL288" s="121"/>
      <c r="BM288" s="121"/>
      <c r="BN288" s="121"/>
      <c r="BO288" s="121"/>
      <c r="BP288" s="121"/>
      <c r="BQ288" s="121"/>
      <c r="BR288" s="121"/>
      <c r="BS288" s="121"/>
      <c r="BT288" s="121"/>
      <c r="BU288" s="121"/>
    </row>
    <row r="289" spans="1:73" x14ac:dyDescent="0.15">
      <c r="A289" s="109"/>
      <c r="B289" s="109"/>
      <c r="C289" s="12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0"/>
      <c r="AK289" s="90"/>
      <c r="AL289" s="90"/>
      <c r="AM289" s="121"/>
      <c r="AN289" s="121"/>
      <c r="AO289" s="121"/>
      <c r="AP289" s="121"/>
      <c r="AQ289" s="121"/>
      <c r="AR289" s="121"/>
      <c r="AS289" s="121"/>
      <c r="AT289" s="121"/>
      <c r="AU289" s="121"/>
      <c r="AV289" s="121"/>
      <c r="AW289" s="121"/>
      <c r="AX289" s="121"/>
      <c r="AY289" s="121"/>
      <c r="AZ289" s="121"/>
      <c r="BA289" s="121"/>
      <c r="BB289" s="121"/>
      <c r="BC289" s="121"/>
      <c r="BD289" s="121"/>
      <c r="BE289" s="121"/>
      <c r="BF289" s="121"/>
      <c r="BG289" s="121"/>
      <c r="BH289" s="121"/>
      <c r="BI289" s="121"/>
      <c r="BJ289" s="121"/>
      <c r="BK289" s="121"/>
      <c r="BL289" s="121"/>
      <c r="BM289" s="121"/>
      <c r="BN289" s="121"/>
      <c r="BO289" s="121"/>
      <c r="BP289" s="121"/>
      <c r="BQ289" s="121"/>
      <c r="BR289" s="121"/>
      <c r="BS289" s="121"/>
      <c r="BT289" s="121"/>
      <c r="BU289" s="121"/>
    </row>
    <row r="290" spans="1:73" x14ac:dyDescent="0.15">
      <c r="A290" s="109"/>
      <c r="B290" s="109"/>
      <c r="C290" s="12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0"/>
      <c r="AK290" s="90"/>
      <c r="AL290" s="90"/>
      <c r="AM290" s="121"/>
      <c r="AN290" s="121"/>
      <c r="AO290" s="121"/>
      <c r="AP290" s="121"/>
      <c r="AQ290" s="121"/>
      <c r="AR290" s="121"/>
      <c r="AS290" s="121"/>
      <c r="AT290" s="121"/>
      <c r="AU290" s="121"/>
      <c r="AV290" s="121"/>
      <c r="AW290" s="121"/>
      <c r="AX290" s="121"/>
      <c r="AY290" s="121"/>
      <c r="AZ290" s="121"/>
      <c r="BA290" s="121"/>
      <c r="BB290" s="121"/>
      <c r="BC290" s="121"/>
      <c r="BD290" s="121"/>
      <c r="BE290" s="121"/>
      <c r="BF290" s="121"/>
      <c r="BG290" s="121"/>
      <c r="BH290" s="121"/>
      <c r="BI290" s="121"/>
      <c r="BJ290" s="121"/>
      <c r="BK290" s="121"/>
      <c r="BL290" s="121"/>
      <c r="BM290" s="121"/>
      <c r="BN290" s="121"/>
      <c r="BO290" s="121"/>
      <c r="BP290" s="121"/>
      <c r="BQ290" s="121"/>
      <c r="BR290" s="121"/>
      <c r="BS290" s="121"/>
      <c r="BT290" s="121"/>
      <c r="BU290" s="121"/>
    </row>
    <row r="291" spans="1:73" x14ac:dyDescent="0.15">
      <c r="A291" s="109"/>
      <c r="B291" s="109"/>
      <c r="C291" s="12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0"/>
      <c r="AK291" s="90"/>
      <c r="AL291" s="90"/>
      <c r="AM291" s="121"/>
      <c r="AN291" s="121"/>
      <c r="AO291" s="121"/>
      <c r="AP291" s="121"/>
      <c r="AQ291" s="121"/>
      <c r="AR291" s="121"/>
      <c r="AS291" s="121"/>
      <c r="AT291" s="121"/>
      <c r="AU291" s="121"/>
      <c r="AV291" s="121"/>
      <c r="AW291" s="121"/>
      <c r="AX291" s="121"/>
      <c r="AY291" s="121"/>
      <c r="AZ291" s="121"/>
      <c r="BA291" s="121"/>
      <c r="BB291" s="121"/>
      <c r="BC291" s="121"/>
      <c r="BD291" s="121"/>
      <c r="BE291" s="121"/>
      <c r="BF291" s="121"/>
      <c r="BG291" s="121"/>
      <c r="BH291" s="121"/>
      <c r="BI291" s="121"/>
      <c r="BJ291" s="121"/>
      <c r="BK291" s="121"/>
      <c r="BL291" s="121"/>
      <c r="BM291" s="121"/>
      <c r="BN291" s="121"/>
      <c r="BO291" s="121"/>
      <c r="BP291" s="121"/>
      <c r="BQ291" s="121"/>
      <c r="BR291" s="121"/>
      <c r="BS291" s="121"/>
      <c r="BT291" s="121"/>
      <c r="BU291" s="121"/>
    </row>
    <row r="292" spans="1:73" x14ac:dyDescent="0.15">
      <c r="A292" s="109"/>
      <c r="B292" s="109"/>
      <c r="C292" s="12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0"/>
      <c r="AK292" s="90"/>
      <c r="AL292" s="90"/>
      <c r="AM292" s="121"/>
      <c r="AN292" s="121"/>
      <c r="AO292" s="121"/>
      <c r="AP292" s="121"/>
      <c r="AQ292" s="121"/>
      <c r="AR292" s="121"/>
      <c r="AS292" s="121"/>
      <c r="AT292" s="121"/>
      <c r="AU292" s="121"/>
      <c r="AV292" s="121"/>
      <c r="AW292" s="121"/>
      <c r="AX292" s="121"/>
      <c r="AY292" s="121"/>
      <c r="AZ292" s="121"/>
      <c r="BA292" s="121"/>
      <c r="BB292" s="121"/>
      <c r="BC292" s="121"/>
      <c r="BD292" s="121"/>
      <c r="BE292" s="121"/>
      <c r="BF292" s="121"/>
      <c r="BG292" s="121"/>
      <c r="BH292" s="121"/>
      <c r="BI292" s="121"/>
      <c r="BJ292" s="121"/>
      <c r="BK292" s="121"/>
      <c r="BL292" s="121"/>
      <c r="BM292" s="121"/>
      <c r="BN292" s="121"/>
      <c r="BO292" s="121"/>
      <c r="BP292" s="121"/>
      <c r="BQ292" s="121"/>
      <c r="BR292" s="121"/>
      <c r="BS292" s="121"/>
      <c r="BT292" s="121"/>
      <c r="BU292" s="121"/>
    </row>
    <row r="293" spans="1:73" x14ac:dyDescent="0.15">
      <c r="A293" s="109"/>
      <c r="B293" s="109"/>
      <c r="C293" s="12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0"/>
      <c r="AK293" s="90"/>
      <c r="AL293" s="90"/>
      <c r="AM293" s="121"/>
      <c r="AN293" s="121"/>
      <c r="AO293" s="121"/>
      <c r="AP293" s="121"/>
      <c r="AQ293" s="121"/>
      <c r="AR293" s="121"/>
      <c r="AS293" s="121"/>
      <c r="AT293" s="121"/>
      <c r="AU293" s="121"/>
      <c r="AV293" s="121"/>
      <c r="AW293" s="121"/>
      <c r="AX293" s="121"/>
      <c r="AY293" s="121"/>
      <c r="AZ293" s="121"/>
      <c r="BA293" s="121"/>
      <c r="BB293" s="121"/>
      <c r="BC293" s="121"/>
      <c r="BD293" s="121"/>
      <c r="BE293" s="121"/>
      <c r="BF293" s="121"/>
      <c r="BG293" s="121"/>
      <c r="BH293" s="121"/>
      <c r="BI293" s="121"/>
      <c r="BJ293" s="121"/>
      <c r="BK293" s="121"/>
      <c r="BL293" s="121"/>
      <c r="BM293" s="121"/>
      <c r="BN293" s="121"/>
      <c r="BO293" s="121"/>
      <c r="BP293" s="121"/>
      <c r="BQ293" s="121"/>
      <c r="BR293" s="121"/>
      <c r="BS293" s="121"/>
      <c r="BT293" s="121"/>
      <c r="BU293" s="121"/>
    </row>
    <row r="294" spans="1:73" x14ac:dyDescent="0.15">
      <c r="A294" s="109"/>
      <c r="B294" s="109"/>
      <c r="C294" s="12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0"/>
      <c r="AK294" s="90"/>
      <c r="AL294" s="90"/>
      <c r="AM294" s="121"/>
      <c r="AN294" s="121"/>
      <c r="AO294" s="121"/>
      <c r="AP294" s="121"/>
      <c r="AQ294" s="121"/>
      <c r="AR294" s="121"/>
      <c r="AS294" s="121"/>
      <c r="AT294" s="121"/>
      <c r="AU294" s="121"/>
      <c r="AV294" s="121"/>
      <c r="AW294" s="121"/>
      <c r="AX294" s="121"/>
      <c r="AY294" s="121"/>
      <c r="AZ294" s="121"/>
      <c r="BA294" s="121"/>
      <c r="BB294" s="121"/>
      <c r="BC294" s="121"/>
      <c r="BD294" s="121"/>
      <c r="BE294" s="121"/>
      <c r="BF294" s="121"/>
      <c r="BG294" s="121"/>
      <c r="BH294" s="121"/>
      <c r="BI294" s="121"/>
      <c r="BJ294" s="121"/>
      <c r="BK294" s="121"/>
      <c r="BL294" s="121"/>
      <c r="BM294" s="121"/>
      <c r="BN294" s="121"/>
      <c r="BO294" s="121"/>
      <c r="BP294" s="121"/>
      <c r="BQ294" s="121"/>
      <c r="BR294" s="121"/>
      <c r="BS294" s="121"/>
      <c r="BT294" s="121"/>
      <c r="BU294" s="121"/>
    </row>
    <row r="295" spans="1:73" x14ac:dyDescent="0.15">
      <c r="A295" s="109"/>
      <c r="B295" s="109"/>
      <c r="C295" s="12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0"/>
      <c r="AK295" s="90"/>
      <c r="AL295" s="90"/>
      <c r="AM295" s="121"/>
      <c r="AN295" s="121"/>
      <c r="AO295" s="121"/>
      <c r="AP295" s="121"/>
      <c r="AQ295" s="121"/>
      <c r="AR295" s="121"/>
      <c r="AS295" s="121"/>
      <c r="AT295" s="121"/>
      <c r="AU295" s="121"/>
      <c r="AV295" s="121"/>
      <c r="AW295" s="121"/>
      <c r="AX295" s="121"/>
      <c r="AY295" s="121"/>
      <c r="AZ295" s="121"/>
      <c r="BA295" s="121"/>
      <c r="BB295" s="121"/>
      <c r="BC295" s="121"/>
      <c r="BD295" s="121"/>
      <c r="BE295" s="121"/>
      <c r="BF295" s="121"/>
      <c r="BG295" s="121"/>
      <c r="BH295" s="121"/>
      <c r="BI295" s="121"/>
      <c r="BJ295" s="121"/>
      <c r="BK295" s="121"/>
      <c r="BL295" s="121"/>
      <c r="BM295" s="121"/>
      <c r="BN295" s="121"/>
      <c r="BO295" s="121"/>
      <c r="BP295" s="121"/>
      <c r="BQ295" s="121"/>
      <c r="BR295" s="121"/>
      <c r="BS295" s="121"/>
      <c r="BT295" s="121"/>
      <c r="BU295" s="121"/>
    </row>
    <row r="296" spans="1:73" x14ac:dyDescent="0.15">
      <c r="A296" s="109"/>
      <c r="B296" s="109"/>
      <c r="C296" s="12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0"/>
      <c r="AK296" s="90"/>
      <c r="AL296" s="90"/>
      <c r="AM296" s="121"/>
      <c r="AN296" s="121"/>
      <c r="AO296" s="121"/>
      <c r="AP296" s="121"/>
      <c r="AQ296" s="121"/>
      <c r="AR296" s="121"/>
      <c r="AS296" s="121"/>
      <c r="AT296" s="121"/>
      <c r="AU296" s="121"/>
      <c r="AV296" s="121"/>
      <c r="AW296" s="121"/>
      <c r="AX296" s="121"/>
      <c r="AY296" s="121"/>
      <c r="AZ296" s="121"/>
      <c r="BA296" s="121"/>
      <c r="BB296" s="121"/>
      <c r="BC296" s="121"/>
      <c r="BD296" s="121"/>
      <c r="BE296" s="121"/>
      <c r="BF296" s="121"/>
      <c r="BG296" s="121"/>
      <c r="BH296" s="121"/>
      <c r="BI296" s="121"/>
      <c r="BJ296" s="121"/>
      <c r="BK296" s="121"/>
      <c r="BL296" s="121"/>
      <c r="BM296" s="121"/>
      <c r="BN296" s="121"/>
      <c r="BO296" s="121"/>
      <c r="BP296" s="121"/>
      <c r="BQ296" s="121"/>
      <c r="BR296" s="121"/>
      <c r="BS296" s="121"/>
      <c r="BT296" s="121"/>
      <c r="BU296" s="121"/>
    </row>
    <row r="297" spans="1:73" x14ac:dyDescent="0.15">
      <c r="A297" s="109"/>
      <c r="B297" s="109"/>
      <c r="C297" s="12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0"/>
      <c r="AK297" s="90"/>
      <c r="AL297" s="90"/>
      <c r="AM297" s="121"/>
      <c r="AN297" s="121"/>
      <c r="AO297" s="121"/>
      <c r="AP297" s="121"/>
      <c r="AQ297" s="121"/>
      <c r="AR297" s="121"/>
      <c r="AS297" s="121"/>
      <c r="AT297" s="121"/>
      <c r="AU297" s="121"/>
      <c r="AV297" s="121"/>
      <c r="AW297" s="121"/>
      <c r="AX297" s="121"/>
      <c r="AY297" s="121"/>
      <c r="AZ297" s="121"/>
      <c r="BA297" s="121"/>
      <c r="BB297" s="121"/>
      <c r="BC297" s="121"/>
      <c r="BD297" s="121"/>
      <c r="BE297" s="121"/>
      <c r="BF297" s="121"/>
      <c r="BG297" s="121"/>
      <c r="BH297" s="121"/>
      <c r="BI297" s="121"/>
      <c r="BJ297" s="121"/>
      <c r="BK297" s="121"/>
      <c r="BL297" s="121"/>
      <c r="BM297" s="121"/>
      <c r="BN297" s="121"/>
      <c r="BO297" s="121"/>
      <c r="BP297" s="121"/>
      <c r="BQ297" s="121"/>
      <c r="BR297" s="121"/>
      <c r="BS297" s="121"/>
      <c r="BT297" s="121"/>
      <c r="BU297" s="121"/>
    </row>
    <row r="298" spans="1:73" x14ac:dyDescent="0.15">
      <c r="A298" s="109"/>
      <c r="B298" s="109"/>
      <c r="C298" s="12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0"/>
      <c r="AK298" s="90"/>
      <c r="AL298" s="90"/>
      <c r="AM298" s="121"/>
      <c r="AN298" s="121"/>
      <c r="AO298" s="121"/>
      <c r="AP298" s="121"/>
      <c r="AQ298" s="121"/>
      <c r="AR298" s="121"/>
      <c r="AS298" s="121"/>
      <c r="AT298" s="121"/>
      <c r="AU298" s="121"/>
      <c r="AV298" s="121"/>
      <c r="AW298" s="121"/>
      <c r="AX298" s="121"/>
      <c r="AY298" s="121"/>
      <c r="AZ298" s="121"/>
      <c r="BA298" s="121"/>
      <c r="BB298" s="121"/>
      <c r="BC298" s="121"/>
      <c r="BD298" s="121"/>
      <c r="BE298" s="121"/>
      <c r="BF298" s="121"/>
      <c r="BG298" s="121"/>
      <c r="BH298" s="121"/>
      <c r="BI298" s="121"/>
      <c r="BJ298" s="121"/>
      <c r="BK298" s="121"/>
      <c r="BL298" s="121"/>
      <c r="BM298" s="121"/>
      <c r="BN298" s="121"/>
      <c r="BO298" s="121"/>
      <c r="BP298" s="121"/>
      <c r="BQ298" s="121"/>
      <c r="BR298" s="121"/>
      <c r="BS298" s="121"/>
      <c r="BT298" s="121"/>
      <c r="BU298" s="121"/>
    </row>
    <row r="299" spans="1:73" x14ac:dyDescent="0.15">
      <c r="A299" s="109"/>
      <c r="B299" s="109"/>
      <c r="C299" s="12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0"/>
      <c r="AK299" s="90"/>
      <c r="AL299" s="90"/>
      <c r="AM299" s="121"/>
      <c r="AN299" s="121"/>
      <c r="AO299" s="121"/>
      <c r="AP299" s="121"/>
      <c r="AQ299" s="121"/>
      <c r="AR299" s="121"/>
      <c r="AS299" s="121"/>
      <c r="AT299" s="121"/>
      <c r="AU299" s="121"/>
      <c r="AV299" s="121"/>
      <c r="AW299" s="121"/>
      <c r="AX299" s="121"/>
      <c r="AY299" s="121"/>
      <c r="AZ299" s="121"/>
      <c r="BA299" s="121"/>
      <c r="BB299" s="121"/>
      <c r="BC299" s="121"/>
      <c r="BD299" s="121"/>
      <c r="BE299" s="121"/>
      <c r="BF299" s="121"/>
      <c r="BG299" s="121"/>
      <c r="BH299" s="121"/>
      <c r="BI299" s="121"/>
      <c r="BJ299" s="121"/>
      <c r="BK299" s="121"/>
      <c r="BL299" s="121"/>
      <c r="BM299" s="121"/>
      <c r="BN299" s="121"/>
      <c r="BO299" s="121"/>
      <c r="BP299" s="121"/>
      <c r="BQ299" s="121"/>
      <c r="BR299" s="121"/>
      <c r="BS299" s="121"/>
      <c r="BT299" s="121"/>
      <c r="BU299" s="121"/>
    </row>
    <row r="300" spans="1:73" x14ac:dyDescent="0.15">
      <c r="A300" s="109"/>
      <c r="B300" s="109"/>
      <c r="C300" s="12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0"/>
      <c r="AK300" s="90"/>
      <c r="AL300" s="90"/>
      <c r="AM300" s="121"/>
      <c r="AN300" s="121"/>
      <c r="AO300" s="121"/>
      <c r="AP300" s="121"/>
      <c r="AQ300" s="121"/>
      <c r="AR300" s="121"/>
      <c r="AS300" s="121"/>
      <c r="AT300" s="121"/>
      <c r="AU300" s="121"/>
      <c r="AV300" s="121"/>
      <c r="AW300" s="121"/>
      <c r="AX300" s="121"/>
      <c r="AY300" s="121"/>
      <c r="AZ300" s="121"/>
      <c r="BA300" s="121"/>
      <c r="BB300" s="121"/>
      <c r="BC300" s="121"/>
      <c r="BD300" s="121"/>
      <c r="BE300" s="121"/>
      <c r="BF300" s="121"/>
      <c r="BG300" s="121"/>
      <c r="BH300" s="121"/>
      <c r="BI300" s="121"/>
      <c r="BJ300" s="121"/>
      <c r="BK300" s="121"/>
      <c r="BL300" s="121"/>
      <c r="BM300" s="121"/>
      <c r="BN300" s="121"/>
      <c r="BO300" s="121"/>
      <c r="BP300" s="121"/>
      <c r="BQ300" s="121"/>
      <c r="BR300" s="121"/>
      <c r="BS300" s="121"/>
      <c r="BT300" s="121"/>
      <c r="BU300" s="121"/>
    </row>
    <row r="301" spans="1:73" x14ac:dyDescent="0.15">
      <c r="A301" s="109"/>
      <c r="B301" s="109"/>
      <c r="C301" s="12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0"/>
      <c r="AK301" s="90"/>
      <c r="AL301" s="90"/>
      <c r="AM301" s="121"/>
      <c r="AN301" s="121"/>
      <c r="AO301" s="121"/>
      <c r="AP301" s="121"/>
      <c r="AQ301" s="121"/>
      <c r="AR301" s="121"/>
      <c r="AS301" s="121"/>
      <c r="AT301" s="121"/>
      <c r="AU301" s="121"/>
      <c r="AV301" s="121"/>
      <c r="AW301" s="121"/>
      <c r="AX301" s="121"/>
      <c r="AY301" s="121"/>
      <c r="AZ301" s="121"/>
      <c r="BA301" s="121"/>
      <c r="BB301" s="121"/>
      <c r="BC301" s="121"/>
      <c r="BD301" s="121"/>
      <c r="BE301" s="121"/>
      <c r="BF301" s="121"/>
      <c r="BG301" s="121"/>
      <c r="BH301" s="121"/>
      <c r="BI301" s="121"/>
      <c r="BJ301" s="121"/>
      <c r="BK301" s="121"/>
      <c r="BL301" s="121"/>
      <c r="BM301" s="121"/>
      <c r="BN301" s="121"/>
      <c r="BO301" s="121"/>
      <c r="BP301" s="121"/>
      <c r="BQ301" s="121"/>
      <c r="BR301" s="121"/>
      <c r="BS301" s="121"/>
      <c r="BT301" s="121"/>
      <c r="BU301" s="121"/>
    </row>
    <row r="302" spans="1:73" x14ac:dyDescent="0.15">
      <c r="A302" s="109"/>
      <c r="B302" s="109"/>
      <c r="C302" s="12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0"/>
      <c r="AK302" s="90"/>
      <c r="AL302" s="90"/>
      <c r="AM302" s="121"/>
      <c r="AN302" s="121"/>
      <c r="AO302" s="121"/>
      <c r="AP302" s="121"/>
      <c r="AQ302" s="121"/>
      <c r="AR302" s="121"/>
      <c r="AS302" s="121"/>
      <c r="AT302" s="121"/>
      <c r="AU302" s="121"/>
      <c r="AV302" s="121"/>
      <c r="AW302" s="121"/>
      <c r="AX302" s="121"/>
      <c r="AY302" s="121"/>
      <c r="AZ302" s="121"/>
      <c r="BA302" s="121"/>
      <c r="BB302" s="121"/>
      <c r="BC302" s="121"/>
      <c r="BD302" s="121"/>
      <c r="BE302" s="121"/>
      <c r="BF302" s="121"/>
      <c r="BG302" s="121"/>
      <c r="BH302" s="121"/>
      <c r="BI302" s="121"/>
      <c r="BJ302" s="121"/>
      <c r="BK302" s="121"/>
      <c r="BL302" s="121"/>
      <c r="BM302" s="121"/>
      <c r="BN302" s="121"/>
      <c r="BO302" s="121"/>
      <c r="BP302" s="121"/>
      <c r="BQ302" s="121"/>
      <c r="BR302" s="121"/>
      <c r="BS302" s="121"/>
      <c r="BT302" s="121"/>
      <c r="BU302" s="121"/>
    </row>
    <row r="303" spans="1:73" x14ac:dyDescent="0.15">
      <c r="A303" s="109"/>
      <c r="B303" s="109"/>
      <c r="C303" s="12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0"/>
      <c r="AK303" s="90"/>
      <c r="AL303" s="90"/>
      <c r="AM303" s="121"/>
      <c r="AN303" s="121"/>
      <c r="AO303" s="121"/>
      <c r="AP303" s="121"/>
      <c r="AQ303" s="121"/>
      <c r="AR303" s="121"/>
      <c r="AS303" s="121"/>
      <c r="AT303" s="121"/>
      <c r="AU303" s="121"/>
      <c r="AV303" s="121"/>
      <c r="AW303" s="121"/>
      <c r="AX303" s="121"/>
      <c r="AY303" s="121"/>
      <c r="AZ303" s="121"/>
      <c r="BA303" s="121"/>
      <c r="BB303" s="121"/>
      <c r="BC303" s="121"/>
      <c r="BD303" s="121"/>
      <c r="BE303" s="121"/>
      <c r="BF303" s="121"/>
      <c r="BG303" s="121"/>
      <c r="BH303" s="121"/>
      <c r="BI303" s="121"/>
      <c r="BJ303" s="121"/>
      <c r="BK303" s="121"/>
      <c r="BL303" s="121"/>
      <c r="BM303" s="121"/>
      <c r="BN303" s="121"/>
      <c r="BO303" s="121"/>
      <c r="BP303" s="121"/>
      <c r="BQ303" s="121"/>
      <c r="BR303" s="121"/>
      <c r="BS303" s="121"/>
      <c r="BT303" s="121"/>
      <c r="BU303" s="121"/>
    </row>
    <row r="304" spans="1:73" x14ac:dyDescent="0.15">
      <c r="A304" s="109"/>
      <c r="B304" s="109"/>
      <c r="C304" s="12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0"/>
      <c r="AK304" s="90"/>
      <c r="AL304" s="90"/>
      <c r="AM304" s="121"/>
      <c r="AN304" s="121"/>
      <c r="AO304" s="121"/>
      <c r="AP304" s="121"/>
      <c r="AQ304" s="121"/>
      <c r="AR304" s="121"/>
      <c r="AS304" s="121"/>
      <c r="AT304" s="121"/>
      <c r="AU304" s="121"/>
      <c r="AV304" s="121"/>
      <c r="AW304" s="121"/>
      <c r="AX304" s="121"/>
      <c r="AY304" s="121"/>
      <c r="AZ304" s="121"/>
      <c r="BA304" s="121"/>
      <c r="BB304" s="121"/>
      <c r="BC304" s="121"/>
      <c r="BD304" s="121"/>
      <c r="BE304" s="121"/>
      <c r="BF304" s="121"/>
      <c r="BG304" s="121"/>
      <c r="BH304" s="121"/>
      <c r="BI304" s="121"/>
      <c r="BJ304" s="121"/>
      <c r="BK304" s="121"/>
      <c r="BL304" s="121"/>
      <c r="BM304" s="121"/>
      <c r="BN304" s="121"/>
      <c r="BO304" s="121"/>
      <c r="BP304" s="121"/>
      <c r="BQ304" s="121"/>
      <c r="BR304" s="121"/>
      <c r="BS304" s="121"/>
      <c r="BT304" s="121"/>
      <c r="BU304" s="121"/>
    </row>
    <row r="305" spans="1:73" x14ac:dyDescent="0.15">
      <c r="A305" s="109"/>
      <c r="B305" s="109"/>
      <c r="C305" s="12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0"/>
      <c r="AK305" s="90"/>
      <c r="AL305" s="90"/>
      <c r="AM305" s="121"/>
      <c r="AN305" s="121"/>
      <c r="AO305" s="121"/>
      <c r="AP305" s="121"/>
      <c r="AQ305" s="121"/>
      <c r="AR305" s="121"/>
      <c r="AS305" s="121"/>
      <c r="AT305" s="121"/>
      <c r="AU305" s="121"/>
      <c r="AV305" s="121"/>
      <c r="AW305" s="121"/>
      <c r="AX305" s="121"/>
      <c r="AY305" s="121"/>
      <c r="AZ305" s="121"/>
      <c r="BA305" s="121"/>
      <c r="BB305" s="121"/>
      <c r="BC305" s="121"/>
      <c r="BD305" s="121"/>
      <c r="BE305" s="121"/>
      <c r="BF305" s="121"/>
      <c r="BG305" s="121"/>
      <c r="BH305" s="121"/>
      <c r="BI305" s="121"/>
      <c r="BJ305" s="121"/>
      <c r="BK305" s="121"/>
      <c r="BL305" s="121"/>
      <c r="BM305" s="121"/>
      <c r="BN305" s="121"/>
      <c r="BO305" s="121"/>
      <c r="BP305" s="121"/>
      <c r="BQ305" s="121"/>
      <c r="BR305" s="121"/>
      <c r="BS305" s="121"/>
      <c r="BT305" s="121"/>
      <c r="BU305" s="121"/>
    </row>
    <row r="306" spans="1:73" x14ac:dyDescent="0.15">
      <c r="A306" s="109"/>
      <c r="B306" s="109"/>
      <c r="C306" s="12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0"/>
      <c r="AK306" s="90"/>
      <c r="AL306" s="90"/>
      <c r="AM306" s="121"/>
      <c r="AN306" s="121"/>
      <c r="AO306" s="121"/>
      <c r="AP306" s="121"/>
      <c r="AQ306" s="121"/>
      <c r="AR306" s="121"/>
      <c r="AS306" s="121"/>
      <c r="AT306" s="121"/>
      <c r="AU306" s="121"/>
      <c r="AV306" s="121"/>
      <c r="AW306" s="121"/>
      <c r="AX306" s="121"/>
      <c r="AY306" s="121"/>
      <c r="AZ306" s="121"/>
      <c r="BA306" s="121"/>
      <c r="BB306" s="121"/>
      <c r="BC306" s="121"/>
      <c r="BD306" s="121"/>
      <c r="BE306" s="121"/>
      <c r="BF306" s="121"/>
      <c r="BG306" s="121"/>
      <c r="BH306" s="121"/>
      <c r="BI306" s="121"/>
      <c r="BJ306" s="121"/>
      <c r="BK306" s="121"/>
      <c r="BL306" s="121"/>
      <c r="BM306" s="121"/>
      <c r="BN306" s="121"/>
      <c r="BO306" s="121"/>
      <c r="BP306" s="121"/>
      <c r="BQ306" s="121"/>
      <c r="BR306" s="121"/>
      <c r="BS306" s="121"/>
      <c r="BT306" s="121"/>
      <c r="BU306" s="121"/>
    </row>
    <row r="307" spans="1:73" x14ac:dyDescent="0.15">
      <c r="A307" s="109"/>
      <c r="B307" s="109"/>
      <c r="C307" s="12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0"/>
      <c r="AK307" s="90"/>
      <c r="AL307" s="90"/>
      <c r="AM307" s="121"/>
      <c r="AN307" s="121"/>
      <c r="AO307" s="121"/>
      <c r="AP307" s="121"/>
      <c r="AQ307" s="121"/>
      <c r="AR307" s="121"/>
      <c r="AS307" s="121"/>
      <c r="AT307" s="121"/>
      <c r="AU307" s="121"/>
      <c r="AV307" s="121"/>
      <c r="AW307" s="121"/>
      <c r="AX307" s="121"/>
      <c r="AY307" s="121"/>
      <c r="AZ307" s="121"/>
      <c r="BA307" s="121"/>
      <c r="BB307" s="121"/>
      <c r="BC307" s="121"/>
      <c r="BD307" s="121"/>
      <c r="BE307" s="121"/>
      <c r="BF307" s="121"/>
      <c r="BG307" s="121"/>
      <c r="BH307" s="121"/>
      <c r="BI307" s="121"/>
      <c r="BJ307" s="121"/>
      <c r="BK307" s="121"/>
      <c r="BL307" s="121"/>
      <c r="BM307" s="121"/>
      <c r="BN307" s="121"/>
      <c r="BO307" s="121"/>
      <c r="BP307" s="121"/>
      <c r="BQ307" s="121"/>
      <c r="BR307" s="121"/>
      <c r="BS307" s="121"/>
      <c r="BT307" s="121"/>
      <c r="BU307" s="121"/>
    </row>
    <row r="308" spans="1:73" x14ac:dyDescent="0.15">
      <c r="A308" s="109"/>
      <c r="B308" s="109"/>
      <c r="C308" s="12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121"/>
      <c r="AN308" s="121"/>
      <c r="AO308" s="121"/>
      <c r="AP308" s="121"/>
      <c r="AQ308" s="121"/>
      <c r="AR308" s="121"/>
      <c r="AS308" s="121"/>
      <c r="AT308" s="121"/>
      <c r="AU308" s="121"/>
      <c r="AV308" s="121"/>
      <c r="AW308" s="121"/>
      <c r="AX308" s="121"/>
      <c r="AY308" s="121"/>
      <c r="AZ308" s="121"/>
      <c r="BA308" s="121"/>
      <c r="BB308" s="121"/>
      <c r="BC308" s="121"/>
      <c r="BD308" s="121"/>
      <c r="BE308" s="121"/>
      <c r="BF308" s="121"/>
      <c r="BG308" s="121"/>
      <c r="BH308" s="121"/>
      <c r="BI308" s="121"/>
      <c r="BJ308" s="121"/>
      <c r="BK308" s="121"/>
      <c r="BL308" s="121"/>
      <c r="BM308" s="121"/>
      <c r="BN308" s="121"/>
      <c r="BO308" s="121"/>
      <c r="BP308" s="121"/>
      <c r="BQ308" s="121"/>
      <c r="BR308" s="121"/>
      <c r="BS308" s="121"/>
      <c r="BT308" s="121"/>
      <c r="BU308" s="121"/>
    </row>
    <row r="309" spans="1:73" x14ac:dyDescent="0.15">
      <c r="A309" s="109"/>
      <c r="B309" s="109"/>
      <c r="C309" s="12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0"/>
      <c r="AK309" s="90"/>
      <c r="AL309" s="90"/>
      <c r="AM309" s="121"/>
      <c r="AN309" s="121"/>
      <c r="AO309" s="121"/>
      <c r="AP309" s="121"/>
      <c r="AQ309" s="121"/>
      <c r="AR309" s="121"/>
      <c r="AS309" s="121"/>
      <c r="AT309" s="121"/>
      <c r="AU309" s="121"/>
      <c r="AV309" s="121"/>
      <c r="AW309" s="121"/>
      <c r="AX309" s="121"/>
      <c r="AY309" s="121"/>
      <c r="AZ309" s="121"/>
      <c r="BA309" s="121"/>
      <c r="BB309" s="121"/>
      <c r="BC309" s="121"/>
      <c r="BD309" s="121"/>
      <c r="BE309" s="121"/>
      <c r="BF309" s="121"/>
      <c r="BG309" s="121"/>
      <c r="BH309" s="121"/>
      <c r="BI309" s="121"/>
      <c r="BJ309" s="121"/>
      <c r="BK309" s="121"/>
      <c r="BL309" s="121"/>
      <c r="BM309" s="121"/>
      <c r="BN309" s="121"/>
      <c r="BO309" s="121"/>
      <c r="BP309" s="121"/>
      <c r="BQ309" s="121"/>
      <c r="BR309" s="121"/>
      <c r="BS309" s="121"/>
      <c r="BT309" s="121"/>
      <c r="BU309" s="121"/>
    </row>
    <row r="310" spans="1:73" x14ac:dyDescent="0.15">
      <c r="A310" s="109"/>
      <c r="B310" s="109"/>
      <c r="C310" s="12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0"/>
      <c r="AK310" s="90"/>
      <c r="AL310" s="90"/>
      <c r="AM310" s="121"/>
      <c r="AN310" s="121"/>
      <c r="AO310" s="121"/>
      <c r="AP310" s="121"/>
      <c r="AQ310" s="121"/>
      <c r="AR310" s="121"/>
      <c r="AS310" s="121"/>
      <c r="AT310" s="121"/>
      <c r="AU310" s="121"/>
      <c r="AV310" s="121"/>
      <c r="AW310" s="121"/>
      <c r="AX310" s="121"/>
      <c r="AY310" s="121"/>
      <c r="AZ310" s="121"/>
      <c r="BA310" s="121"/>
      <c r="BB310" s="121"/>
      <c r="BC310" s="121"/>
      <c r="BD310" s="121"/>
      <c r="BE310" s="121"/>
      <c r="BF310" s="121"/>
      <c r="BG310" s="121"/>
      <c r="BH310" s="121"/>
      <c r="BI310" s="121"/>
      <c r="BJ310" s="121"/>
      <c r="BK310" s="121"/>
      <c r="BL310" s="121"/>
      <c r="BM310" s="121"/>
      <c r="BN310" s="121"/>
      <c r="BO310" s="121"/>
      <c r="BP310" s="121"/>
      <c r="BQ310" s="121"/>
      <c r="BR310" s="121"/>
      <c r="BS310" s="121"/>
      <c r="BT310" s="121"/>
      <c r="BU310" s="121"/>
    </row>
    <row r="311" spans="1:73" x14ac:dyDescent="0.15">
      <c r="A311" s="109"/>
      <c r="B311" s="109"/>
      <c r="C311" s="12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0"/>
      <c r="AK311" s="90"/>
      <c r="AL311" s="90"/>
      <c r="AM311" s="121"/>
      <c r="AN311" s="121"/>
      <c r="AO311" s="121"/>
      <c r="AP311" s="121"/>
      <c r="AQ311" s="121"/>
      <c r="AR311" s="121"/>
      <c r="AS311" s="121"/>
      <c r="AT311" s="121"/>
      <c r="AU311" s="121"/>
      <c r="AV311" s="121"/>
      <c r="AW311" s="121"/>
      <c r="AX311" s="121"/>
      <c r="AY311" s="121"/>
      <c r="AZ311" s="121"/>
      <c r="BA311" s="121"/>
      <c r="BB311" s="121"/>
      <c r="BC311" s="121"/>
      <c r="BD311" s="121"/>
      <c r="BE311" s="121"/>
      <c r="BF311" s="121"/>
      <c r="BG311" s="121"/>
      <c r="BH311" s="121"/>
      <c r="BI311" s="121"/>
      <c r="BJ311" s="121"/>
      <c r="BK311" s="121"/>
      <c r="BL311" s="121"/>
      <c r="BM311" s="121"/>
      <c r="BN311" s="121"/>
      <c r="BO311" s="121"/>
      <c r="BP311" s="121"/>
      <c r="BQ311" s="121"/>
      <c r="BR311" s="121"/>
      <c r="BS311" s="121"/>
      <c r="BT311" s="121"/>
      <c r="BU311" s="121"/>
    </row>
    <row r="312" spans="1:73" x14ac:dyDescent="0.15">
      <c r="A312" s="109"/>
      <c r="B312" s="109"/>
      <c r="C312" s="12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0"/>
      <c r="AK312" s="90"/>
      <c r="AL312" s="90"/>
      <c r="AM312" s="121"/>
      <c r="AN312" s="121"/>
      <c r="AO312" s="121"/>
      <c r="AP312" s="121"/>
      <c r="AQ312" s="121"/>
      <c r="AR312" s="121"/>
      <c r="AS312" s="121"/>
      <c r="AT312" s="121"/>
      <c r="AU312" s="121"/>
      <c r="AV312" s="121"/>
      <c r="AW312" s="121"/>
      <c r="AX312" s="121"/>
      <c r="AY312" s="121"/>
      <c r="AZ312" s="121"/>
      <c r="BA312" s="121"/>
      <c r="BB312" s="121"/>
      <c r="BC312" s="121"/>
      <c r="BD312" s="121"/>
      <c r="BE312" s="121"/>
      <c r="BF312" s="121"/>
      <c r="BG312" s="121"/>
      <c r="BH312" s="121"/>
      <c r="BI312" s="121"/>
      <c r="BJ312" s="121"/>
      <c r="BK312" s="121"/>
      <c r="BL312" s="121"/>
      <c r="BM312" s="121"/>
      <c r="BN312" s="121"/>
      <c r="BO312" s="121"/>
      <c r="BP312" s="121"/>
      <c r="BQ312" s="121"/>
      <c r="BR312" s="121"/>
      <c r="BS312" s="121"/>
      <c r="BT312" s="121"/>
      <c r="BU312" s="121"/>
    </row>
    <row r="313" spans="1:73" x14ac:dyDescent="0.15">
      <c r="A313" s="109"/>
      <c r="B313" s="109"/>
      <c r="C313" s="12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0"/>
      <c r="AK313" s="90"/>
      <c r="AL313" s="90"/>
      <c r="AM313" s="121"/>
      <c r="AN313" s="121"/>
      <c r="AO313" s="121"/>
      <c r="AP313" s="121"/>
      <c r="AQ313" s="121"/>
      <c r="AR313" s="121"/>
      <c r="AS313" s="121"/>
      <c r="AT313" s="121"/>
      <c r="AU313" s="121"/>
      <c r="AV313" s="121"/>
      <c r="AW313" s="121"/>
      <c r="AX313" s="121"/>
      <c r="AY313" s="121"/>
      <c r="AZ313" s="121"/>
      <c r="BA313" s="121"/>
      <c r="BB313" s="121"/>
      <c r="BC313" s="121"/>
      <c r="BD313" s="121"/>
      <c r="BE313" s="121"/>
      <c r="BF313" s="121"/>
      <c r="BG313" s="121"/>
      <c r="BH313" s="121"/>
      <c r="BI313" s="121"/>
      <c r="BJ313" s="121"/>
      <c r="BK313" s="121"/>
      <c r="BL313" s="121"/>
      <c r="BM313" s="121"/>
      <c r="BN313" s="121"/>
      <c r="BO313" s="121"/>
      <c r="BP313" s="121"/>
      <c r="BQ313" s="121"/>
      <c r="BR313" s="121"/>
      <c r="BS313" s="121"/>
      <c r="BT313" s="121"/>
      <c r="BU313" s="121"/>
    </row>
    <row r="314" spans="1:73" x14ac:dyDescent="0.15">
      <c r="A314" s="109"/>
      <c r="B314" s="109"/>
      <c r="C314" s="12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0"/>
      <c r="AK314" s="90"/>
      <c r="AL314" s="90"/>
      <c r="AM314" s="121"/>
      <c r="AN314" s="121"/>
      <c r="AO314" s="121"/>
      <c r="AP314" s="121"/>
      <c r="AQ314" s="121"/>
      <c r="AR314" s="121"/>
      <c r="AS314" s="121"/>
      <c r="AT314" s="121"/>
      <c r="AU314" s="121"/>
      <c r="AV314" s="121"/>
      <c r="AW314" s="121"/>
      <c r="AX314" s="121"/>
      <c r="AY314" s="121"/>
      <c r="AZ314" s="121"/>
      <c r="BA314" s="121"/>
      <c r="BB314" s="121"/>
      <c r="BC314" s="121"/>
      <c r="BD314" s="121"/>
      <c r="BE314" s="121"/>
      <c r="BF314" s="121"/>
      <c r="BG314" s="121"/>
      <c r="BH314" s="121"/>
      <c r="BI314" s="121"/>
      <c r="BJ314" s="121"/>
      <c r="BK314" s="121"/>
      <c r="BL314" s="121"/>
      <c r="BM314" s="121"/>
      <c r="BN314" s="121"/>
      <c r="BO314" s="121"/>
      <c r="BP314" s="121"/>
      <c r="BQ314" s="121"/>
      <c r="BR314" s="121"/>
      <c r="BS314" s="121"/>
      <c r="BT314" s="121"/>
      <c r="BU314" s="121"/>
    </row>
    <row r="315" spans="1:73" x14ac:dyDescent="0.15">
      <c r="A315" s="109"/>
      <c r="B315" s="109"/>
      <c r="C315" s="12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0"/>
      <c r="AK315" s="90"/>
      <c r="AL315" s="90"/>
      <c r="AM315" s="121"/>
      <c r="AN315" s="121"/>
      <c r="AO315" s="121"/>
      <c r="AP315" s="121"/>
      <c r="AQ315" s="121"/>
      <c r="AR315" s="121"/>
      <c r="AS315" s="121"/>
      <c r="AT315" s="121"/>
      <c r="AU315" s="121"/>
      <c r="AV315" s="121"/>
      <c r="AW315" s="121"/>
      <c r="AX315" s="121"/>
      <c r="AY315" s="121"/>
      <c r="AZ315" s="121"/>
      <c r="BA315" s="121"/>
      <c r="BB315" s="121"/>
      <c r="BC315" s="121"/>
      <c r="BD315" s="121"/>
      <c r="BE315" s="121"/>
      <c r="BF315" s="121"/>
      <c r="BG315" s="121"/>
      <c r="BH315" s="121"/>
      <c r="BI315" s="121"/>
      <c r="BJ315" s="121"/>
      <c r="BK315" s="121"/>
      <c r="BL315" s="121"/>
      <c r="BM315" s="121"/>
      <c r="BN315" s="121"/>
      <c r="BO315" s="121"/>
      <c r="BP315" s="121"/>
      <c r="BQ315" s="121"/>
      <c r="BR315" s="121"/>
      <c r="BS315" s="121"/>
      <c r="BT315" s="121"/>
      <c r="BU315" s="121"/>
    </row>
    <row r="316" spans="1:73" x14ac:dyDescent="0.15">
      <c r="A316" s="109"/>
      <c r="B316" s="109"/>
      <c r="C316" s="12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0"/>
      <c r="AK316" s="90"/>
      <c r="AL316" s="90"/>
      <c r="AM316" s="121"/>
      <c r="AN316" s="121"/>
      <c r="AO316" s="121"/>
      <c r="AP316" s="121"/>
      <c r="AQ316" s="121"/>
      <c r="AR316" s="121"/>
      <c r="AS316" s="121"/>
      <c r="AT316" s="121"/>
      <c r="AU316" s="121"/>
      <c r="AV316" s="121"/>
      <c r="AW316" s="121"/>
      <c r="AX316" s="121"/>
      <c r="AY316" s="121"/>
      <c r="AZ316" s="121"/>
      <c r="BA316" s="121"/>
      <c r="BB316" s="121"/>
      <c r="BC316" s="121"/>
      <c r="BD316" s="121"/>
      <c r="BE316" s="121"/>
      <c r="BF316" s="121"/>
      <c r="BG316" s="121"/>
      <c r="BH316" s="121"/>
      <c r="BI316" s="121"/>
      <c r="BJ316" s="121"/>
      <c r="BK316" s="121"/>
      <c r="BL316" s="121"/>
      <c r="BM316" s="121"/>
      <c r="BN316" s="121"/>
      <c r="BO316" s="121"/>
      <c r="BP316" s="121"/>
      <c r="BQ316" s="121"/>
      <c r="BR316" s="121"/>
      <c r="BS316" s="121"/>
      <c r="BT316" s="121"/>
      <c r="BU316" s="121"/>
    </row>
    <row r="317" spans="1:73" x14ac:dyDescent="0.15">
      <c r="A317" s="109"/>
      <c r="B317" s="109"/>
      <c r="C317" s="12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0"/>
      <c r="AK317" s="90"/>
      <c r="AL317" s="90"/>
      <c r="AM317" s="121"/>
      <c r="AN317" s="121"/>
      <c r="AO317" s="121"/>
      <c r="AP317" s="121"/>
      <c r="AQ317" s="121"/>
      <c r="AR317" s="121"/>
      <c r="AS317" s="121"/>
      <c r="AT317" s="121"/>
      <c r="AU317" s="121"/>
      <c r="AV317" s="121"/>
      <c r="AW317" s="121"/>
      <c r="AX317" s="121"/>
      <c r="AY317" s="121"/>
      <c r="AZ317" s="121"/>
      <c r="BA317" s="121"/>
      <c r="BB317" s="121"/>
      <c r="BC317" s="121"/>
      <c r="BD317" s="121"/>
      <c r="BE317" s="121"/>
      <c r="BF317" s="121"/>
      <c r="BG317" s="121"/>
      <c r="BH317" s="121"/>
      <c r="BI317" s="121"/>
      <c r="BJ317" s="121"/>
      <c r="BK317" s="121"/>
      <c r="BL317" s="121"/>
      <c r="BM317" s="121"/>
      <c r="BN317" s="121"/>
      <c r="BO317" s="121"/>
      <c r="BP317" s="121"/>
      <c r="BQ317" s="121"/>
      <c r="BR317" s="121"/>
      <c r="BS317" s="121"/>
      <c r="BT317" s="121"/>
      <c r="BU317" s="121"/>
    </row>
    <row r="318" spans="1:73" x14ac:dyDescent="0.15">
      <c r="A318" s="109"/>
      <c r="B318" s="109"/>
      <c r="C318" s="12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0"/>
      <c r="AK318" s="90"/>
      <c r="AL318" s="90"/>
      <c r="AM318" s="121"/>
      <c r="AN318" s="121"/>
      <c r="AO318" s="121"/>
      <c r="AP318" s="121"/>
      <c r="AQ318" s="121"/>
      <c r="AR318" s="121"/>
      <c r="AS318" s="121"/>
      <c r="AT318" s="121"/>
      <c r="AU318" s="121"/>
      <c r="AV318" s="121"/>
      <c r="AW318" s="121"/>
      <c r="AX318" s="121"/>
      <c r="AY318" s="121"/>
      <c r="AZ318" s="121"/>
      <c r="BA318" s="121"/>
      <c r="BB318" s="121"/>
      <c r="BC318" s="121"/>
      <c r="BD318" s="121"/>
      <c r="BE318" s="121"/>
      <c r="BF318" s="121"/>
      <c r="BG318" s="121"/>
      <c r="BH318" s="121"/>
      <c r="BI318" s="121"/>
      <c r="BJ318" s="121"/>
      <c r="BK318" s="121"/>
      <c r="BL318" s="121"/>
      <c r="BM318" s="121"/>
      <c r="BN318" s="121"/>
      <c r="BO318" s="121"/>
      <c r="BP318" s="121"/>
      <c r="BQ318" s="121"/>
      <c r="BR318" s="121"/>
      <c r="BS318" s="121"/>
      <c r="BT318" s="121"/>
      <c r="BU318" s="121"/>
    </row>
    <row r="319" spans="1:73" x14ac:dyDescent="0.15">
      <c r="A319" s="109"/>
      <c r="B319" s="109"/>
      <c r="C319" s="12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0"/>
      <c r="AK319" s="90"/>
      <c r="AL319" s="90"/>
      <c r="AM319" s="121"/>
      <c r="AN319" s="121"/>
      <c r="AO319" s="121"/>
      <c r="AP319" s="121"/>
      <c r="AQ319" s="121"/>
      <c r="AR319" s="121"/>
      <c r="AS319" s="121"/>
      <c r="AT319" s="121"/>
      <c r="AU319" s="121"/>
      <c r="AV319" s="121"/>
      <c r="AW319" s="121"/>
      <c r="AX319" s="121"/>
      <c r="AY319" s="121"/>
      <c r="AZ319" s="121"/>
      <c r="BA319" s="121"/>
      <c r="BB319" s="121"/>
      <c r="BC319" s="121"/>
      <c r="BD319" s="121"/>
      <c r="BE319" s="121"/>
      <c r="BF319" s="121"/>
      <c r="BG319" s="121"/>
      <c r="BH319" s="121"/>
      <c r="BI319" s="121"/>
      <c r="BJ319" s="121"/>
      <c r="BK319" s="121"/>
      <c r="BL319" s="121"/>
      <c r="BM319" s="121"/>
      <c r="BN319" s="121"/>
      <c r="BO319" s="121"/>
      <c r="BP319" s="121"/>
      <c r="BQ319" s="121"/>
      <c r="BR319" s="121"/>
      <c r="BS319" s="121"/>
      <c r="BT319" s="121"/>
      <c r="BU319" s="121"/>
    </row>
    <row r="320" spans="1:73" x14ac:dyDescent="0.15">
      <c r="A320" s="109"/>
      <c r="B320" s="109"/>
      <c r="C320" s="12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0"/>
      <c r="AK320" s="90"/>
      <c r="AL320" s="90"/>
      <c r="AM320" s="121"/>
      <c r="AN320" s="121"/>
      <c r="AO320" s="121"/>
      <c r="AP320" s="121"/>
      <c r="AQ320" s="121"/>
      <c r="AR320" s="121"/>
      <c r="AS320" s="121"/>
      <c r="AT320" s="121"/>
      <c r="AU320" s="121"/>
      <c r="AV320" s="121"/>
      <c r="AW320" s="121"/>
      <c r="AX320" s="121"/>
      <c r="AY320" s="121"/>
      <c r="AZ320" s="121"/>
      <c r="BA320" s="121"/>
      <c r="BB320" s="121"/>
      <c r="BC320" s="121"/>
      <c r="BD320" s="121"/>
      <c r="BE320" s="121"/>
      <c r="BF320" s="121"/>
      <c r="BG320" s="121"/>
      <c r="BH320" s="121"/>
      <c r="BI320" s="121"/>
      <c r="BJ320" s="121"/>
      <c r="BK320" s="121"/>
      <c r="BL320" s="121"/>
      <c r="BM320" s="121"/>
      <c r="BN320" s="121"/>
      <c r="BO320" s="121"/>
      <c r="BP320" s="121"/>
      <c r="BQ320" s="121"/>
      <c r="BR320" s="121"/>
      <c r="BS320" s="121"/>
      <c r="BT320" s="121"/>
      <c r="BU320" s="121"/>
    </row>
    <row r="321" spans="1:73" x14ac:dyDescent="0.15">
      <c r="A321" s="109"/>
      <c r="B321" s="109"/>
      <c r="C321" s="12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0"/>
      <c r="AK321" s="90"/>
      <c r="AL321" s="90"/>
      <c r="AM321" s="121"/>
      <c r="AN321" s="121"/>
      <c r="AO321" s="121"/>
      <c r="AP321" s="121"/>
      <c r="AQ321" s="121"/>
      <c r="AR321" s="121"/>
      <c r="AS321" s="121"/>
      <c r="AT321" s="121"/>
      <c r="AU321" s="121"/>
      <c r="AV321" s="121"/>
      <c r="AW321" s="121"/>
      <c r="AX321" s="121"/>
      <c r="AY321" s="121"/>
      <c r="AZ321" s="121"/>
      <c r="BA321" s="121"/>
      <c r="BB321" s="121"/>
      <c r="BC321" s="121"/>
      <c r="BD321" s="121"/>
      <c r="BE321" s="121"/>
      <c r="BF321" s="121"/>
      <c r="BG321" s="121"/>
      <c r="BH321" s="121"/>
      <c r="BI321" s="121"/>
      <c r="BJ321" s="121"/>
      <c r="BK321" s="121"/>
      <c r="BL321" s="121"/>
      <c r="BM321" s="121"/>
      <c r="BN321" s="121"/>
      <c r="BO321" s="121"/>
      <c r="BP321" s="121"/>
      <c r="BQ321" s="121"/>
      <c r="BR321" s="121"/>
      <c r="BS321" s="121"/>
      <c r="BT321" s="121"/>
      <c r="BU321" s="121"/>
    </row>
    <row r="322" spans="1:73" x14ac:dyDescent="0.15">
      <c r="A322" s="109"/>
      <c r="B322" s="109"/>
      <c r="C322" s="12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0"/>
      <c r="AK322" s="90"/>
      <c r="AL322" s="90"/>
      <c r="AM322" s="121"/>
      <c r="AN322" s="121"/>
      <c r="AO322" s="121"/>
      <c r="AP322" s="121"/>
      <c r="AQ322" s="121"/>
      <c r="AR322" s="121"/>
      <c r="AS322" s="121"/>
      <c r="AT322" s="121"/>
      <c r="AU322" s="121"/>
      <c r="AV322" s="121"/>
      <c r="AW322" s="121"/>
      <c r="AX322" s="121"/>
      <c r="AY322" s="121"/>
      <c r="AZ322" s="121"/>
      <c r="BA322" s="121"/>
      <c r="BB322" s="121"/>
      <c r="BC322" s="121"/>
      <c r="BD322" s="121"/>
      <c r="BE322" s="121"/>
      <c r="BF322" s="121"/>
      <c r="BG322" s="121"/>
      <c r="BH322" s="121"/>
      <c r="BI322" s="121"/>
      <c r="BJ322" s="121"/>
      <c r="BK322" s="121"/>
      <c r="BL322" s="121"/>
      <c r="BM322" s="121"/>
      <c r="BN322" s="121"/>
      <c r="BO322" s="121"/>
      <c r="BP322" s="121"/>
      <c r="BQ322" s="121"/>
      <c r="BR322" s="121"/>
      <c r="BS322" s="121"/>
      <c r="BT322" s="121"/>
      <c r="BU322" s="121"/>
    </row>
    <row r="323" spans="1:73" x14ac:dyDescent="0.15">
      <c r="A323" s="109"/>
      <c r="B323" s="109"/>
      <c r="C323" s="12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0"/>
      <c r="AK323" s="90"/>
      <c r="AL323" s="90"/>
      <c r="AM323" s="121"/>
      <c r="AN323" s="121"/>
      <c r="AO323" s="121"/>
      <c r="AP323" s="121"/>
      <c r="AQ323" s="121"/>
      <c r="AR323" s="121"/>
      <c r="AS323" s="121"/>
      <c r="AT323" s="121"/>
      <c r="AU323" s="121"/>
      <c r="AV323" s="121"/>
      <c r="AW323" s="121"/>
      <c r="AX323" s="121"/>
      <c r="AY323" s="121"/>
      <c r="AZ323" s="121"/>
      <c r="BA323" s="121"/>
      <c r="BB323" s="121"/>
      <c r="BC323" s="121"/>
      <c r="BD323" s="121"/>
      <c r="BE323" s="121"/>
      <c r="BF323" s="121"/>
      <c r="BG323" s="121"/>
      <c r="BH323" s="121"/>
      <c r="BI323" s="121"/>
      <c r="BJ323" s="121"/>
      <c r="BK323" s="121"/>
      <c r="BL323" s="121"/>
      <c r="BM323" s="121"/>
      <c r="BN323" s="121"/>
      <c r="BO323" s="121"/>
      <c r="BP323" s="121"/>
      <c r="BQ323" s="121"/>
      <c r="BR323" s="121"/>
      <c r="BS323" s="121"/>
      <c r="BT323" s="121"/>
      <c r="BU323" s="121"/>
    </row>
    <row r="324" spans="1:73" x14ac:dyDescent="0.15">
      <c r="A324" s="109"/>
      <c r="B324" s="109"/>
      <c r="C324" s="12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0"/>
      <c r="AK324" s="90"/>
      <c r="AL324" s="90"/>
      <c r="AM324" s="121"/>
      <c r="AN324" s="121"/>
      <c r="AO324" s="121"/>
      <c r="AP324" s="121"/>
      <c r="AQ324" s="121"/>
      <c r="AR324" s="121"/>
      <c r="AS324" s="121"/>
      <c r="AT324" s="121"/>
      <c r="AU324" s="121"/>
      <c r="AV324" s="121"/>
      <c r="AW324" s="121"/>
      <c r="AX324" s="121"/>
      <c r="AY324" s="121"/>
      <c r="AZ324" s="121"/>
      <c r="BA324" s="121"/>
      <c r="BB324" s="121"/>
      <c r="BC324" s="121"/>
      <c r="BD324" s="121"/>
      <c r="BE324" s="121"/>
      <c r="BF324" s="121"/>
      <c r="BG324" s="121"/>
      <c r="BH324" s="121"/>
      <c r="BI324" s="121"/>
      <c r="BJ324" s="121"/>
      <c r="BK324" s="121"/>
      <c r="BL324" s="121"/>
      <c r="BM324" s="121"/>
      <c r="BN324" s="121"/>
      <c r="BO324" s="121"/>
      <c r="BP324" s="121"/>
      <c r="BQ324" s="121"/>
      <c r="BR324" s="121"/>
      <c r="BS324" s="121"/>
      <c r="BT324" s="121"/>
      <c r="BU324" s="121"/>
    </row>
    <row r="325" spans="1:73" x14ac:dyDescent="0.15">
      <c r="A325" s="109"/>
      <c r="B325" s="109"/>
      <c r="C325" s="12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0"/>
      <c r="AK325" s="90"/>
      <c r="AL325" s="90"/>
      <c r="AM325" s="121"/>
      <c r="AN325" s="121"/>
      <c r="AO325" s="121"/>
      <c r="AP325" s="121"/>
      <c r="AQ325" s="121"/>
      <c r="AR325" s="121"/>
      <c r="AS325" s="121"/>
      <c r="AT325" s="121"/>
      <c r="AU325" s="121"/>
      <c r="AV325" s="121"/>
      <c r="AW325" s="121"/>
      <c r="AX325" s="121"/>
      <c r="AY325" s="121"/>
      <c r="AZ325" s="121"/>
      <c r="BA325" s="121"/>
      <c r="BB325" s="121"/>
      <c r="BC325" s="121"/>
      <c r="BD325" s="121"/>
      <c r="BE325" s="121"/>
      <c r="BF325" s="121"/>
      <c r="BG325" s="121"/>
      <c r="BH325" s="121"/>
      <c r="BI325" s="121"/>
      <c r="BJ325" s="121"/>
      <c r="BK325" s="121"/>
      <c r="BL325" s="121"/>
      <c r="BM325" s="121"/>
      <c r="BN325" s="121"/>
      <c r="BO325" s="121"/>
      <c r="BP325" s="121"/>
      <c r="BQ325" s="121"/>
      <c r="BR325" s="121"/>
      <c r="BS325" s="121"/>
      <c r="BT325" s="121"/>
      <c r="BU325" s="121"/>
    </row>
    <row r="326" spans="1:73" x14ac:dyDescent="0.15">
      <c r="A326" s="109"/>
      <c r="B326" s="109"/>
      <c r="C326" s="12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0"/>
      <c r="AK326" s="90"/>
      <c r="AL326" s="90"/>
      <c r="AM326" s="121"/>
      <c r="AN326" s="121"/>
      <c r="AO326" s="121"/>
      <c r="AP326" s="121"/>
      <c r="AQ326" s="121"/>
      <c r="AR326" s="121"/>
      <c r="AS326" s="121"/>
      <c r="AT326" s="121"/>
      <c r="AU326" s="121"/>
      <c r="AV326" s="121"/>
      <c r="AW326" s="121"/>
      <c r="AX326" s="121"/>
      <c r="AY326" s="121"/>
      <c r="AZ326" s="121"/>
      <c r="BA326" s="121"/>
      <c r="BB326" s="121"/>
      <c r="BC326" s="121"/>
      <c r="BD326" s="121"/>
      <c r="BE326" s="121"/>
      <c r="BF326" s="121"/>
      <c r="BG326" s="121"/>
      <c r="BH326" s="121"/>
      <c r="BI326" s="121"/>
      <c r="BJ326" s="121"/>
      <c r="BK326" s="121"/>
      <c r="BL326" s="121"/>
      <c r="BM326" s="121"/>
      <c r="BN326" s="121"/>
      <c r="BO326" s="121"/>
      <c r="BP326" s="121"/>
      <c r="BQ326" s="121"/>
      <c r="BR326" s="121"/>
      <c r="BS326" s="121"/>
      <c r="BT326" s="121"/>
      <c r="BU326" s="121"/>
    </row>
    <row r="327" spans="1:73" x14ac:dyDescent="0.15">
      <c r="A327" s="109"/>
      <c r="B327" s="109"/>
      <c r="C327" s="12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0"/>
      <c r="AK327" s="90"/>
      <c r="AL327" s="90"/>
      <c r="AM327" s="121"/>
      <c r="AN327" s="121"/>
      <c r="AO327" s="121"/>
      <c r="AP327" s="121"/>
      <c r="AQ327" s="121"/>
      <c r="AR327" s="121"/>
      <c r="AS327" s="121"/>
      <c r="AT327" s="121"/>
      <c r="AU327" s="121"/>
      <c r="AV327" s="121"/>
      <c r="AW327" s="121"/>
      <c r="AX327" s="121"/>
      <c r="AY327" s="121"/>
      <c r="AZ327" s="121"/>
      <c r="BA327" s="121"/>
      <c r="BB327" s="121"/>
      <c r="BC327" s="121"/>
      <c r="BD327" s="121"/>
      <c r="BE327" s="121"/>
      <c r="BF327" s="121"/>
      <c r="BG327" s="121"/>
      <c r="BH327" s="121"/>
      <c r="BI327" s="121"/>
      <c r="BJ327" s="121"/>
      <c r="BK327" s="121"/>
      <c r="BL327" s="121"/>
      <c r="BM327" s="121"/>
      <c r="BN327" s="121"/>
      <c r="BO327" s="121"/>
      <c r="BP327" s="121"/>
      <c r="BQ327" s="121"/>
      <c r="BR327" s="121"/>
      <c r="BS327" s="121"/>
      <c r="BT327" s="121"/>
      <c r="BU327" s="121"/>
    </row>
    <row r="328" spans="1:73" x14ac:dyDescent="0.15">
      <c r="A328" s="109"/>
      <c r="B328" s="109"/>
      <c r="C328" s="12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0"/>
      <c r="AK328" s="90"/>
      <c r="AL328" s="90"/>
      <c r="AM328" s="121"/>
      <c r="AN328" s="121"/>
      <c r="AO328" s="121"/>
      <c r="AP328" s="121"/>
      <c r="AQ328" s="121"/>
      <c r="AR328" s="121"/>
      <c r="AS328" s="121"/>
      <c r="AT328" s="121"/>
      <c r="AU328" s="121"/>
      <c r="AV328" s="121"/>
      <c r="AW328" s="121"/>
      <c r="AX328" s="121"/>
      <c r="AY328" s="121"/>
      <c r="AZ328" s="121"/>
      <c r="BA328" s="121"/>
      <c r="BB328" s="121"/>
      <c r="BC328" s="121"/>
      <c r="BD328" s="121"/>
      <c r="BE328" s="121"/>
      <c r="BF328" s="121"/>
      <c r="BG328" s="121"/>
      <c r="BH328" s="121"/>
      <c r="BI328" s="121"/>
      <c r="BJ328" s="121"/>
      <c r="BK328" s="121"/>
      <c r="BL328" s="121"/>
      <c r="BM328" s="121"/>
      <c r="BN328" s="121"/>
      <c r="BO328" s="121"/>
      <c r="BP328" s="121"/>
      <c r="BQ328" s="121"/>
      <c r="BR328" s="121"/>
      <c r="BS328" s="121"/>
      <c r="BT328" s="121"/>
      <c r="BU328" s="121"/>
    </row>
    <row r="329" spans="1:73" x14ac:dyDescent="0.15">
      <c r="A329" s="109"/>
      <c r="B329" s="109"/>
      <c r="C329" s="12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0"/>
      <c r="AK329" s="90"/>
      <c r="AL329" s="90"/>
      <c r="AM329" s="121"/>
      <c r="AN329" s="121"/>
      <c r="AO329" s="121"/>
      <c r="AP329" s="121"/>
      <c r="AQ329" s="121"/>
      <c r="AR329" s="121"/>
      <c r="AS329" s="121"/>
      <c r="AT329" s="121"/>
      <c r="AU329" s="121"/>
      <c r="AV329" s="121"/>
      <c r="AW329" s="121"/>
      <c r="AX329" s="121"/>
      <c r="AY329" s="121"/>
      <c r="AZ329" s="121"/>
      <c r="BA329" s="121"/>
      <c r="BB329" s="121"/>
      <c r="BC329" s="121"/>
      <c r="BD329" s="121"/>
      <c r="BE329" s="121"/>
      <c r="BF329" s="121"/>
      <c r="BG329" s="121"/>
      <c r="BH329" s="121"/>
      <c r="BI329" s="121"/>
      <c r="BJ329" s="121"/>
      <c r="BK329" s="121"/>
      <c r="BL329" s="121"/>
      <c r="BM329" s="121"/>
      <c r="BN329" s="121"/>
      <c r="BO329" s="121"/>
      <c r="BP329" s="121"/>
      <c r="BQ329" s="121"/>
      <c r="BR329" s="121"/>
      <c r="BS329" s="121"/>
      <c r="BT329" s="121"/>
      <c r="BU329" s="121"/>
    </row>
    <row r="330" spans="1:73" x14ac:dyDescent="0.15">
      <c r="A330" s="109"/>
      <c r="B330" s="109"/>
      <c r="C330" s="12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0"/>
      <c r="AK330" s="90"/>
      <c r="AL330" s="90"/>
      <c r="AM330" s="121"/>
      <c r="AN330" s="121"/>
      <c r="AO330" s="121"/>
      <c r="AP330" s="121"/>
      <c r="AQ330" s="121"/>
      <c r="AR330" s="121"/>
      <c r="AS330" s="121"/>
      <c r="AT330" s="121"/>
      <c r="AU330" s="121"/>
      <c r="AV330" s="121"/>
      <c r="AW330" s="121"/>
      <c r="AX330" s="121"/>
      <c r="AY330" s="121"/>
      <c r="AZ330" s="121"/>
      <c r="BA330" s="121"/>
      <c r="BB330" s="121"/>
      <c r="BC330" s="121"/>
      <c r="BD330" s="121"/>
      <c r="BE330" s="121"/>
      <c r="BF330" s="121"/>
      <c r="BG330" s="121"/>
      <c r="BH330" s="121"/>
      <c r="BI330" s="121"/>
      <c r="BJ330" s="121"/>
      <c r="BK330" s="121"/>
      <c r="BL330" s="121"/>
      <c r="BM330" s="121"/>
      <c r="BN330" s="121"/>
      <c r="BO330" s="121"/>
      <c r="BP330" s="121"/>
      <c r="BQ330" s="121"/>
      <c r="BR330" s="121"/>
      <c r="BS330" s="121"/>
      <c r="BT330" s="121"/>
      <c r="BU330" s="121"/>
    </row>
    <row r="331" spans="1:73" x14ac:dyDescent="0.15">
      <c r="A331" s="109"/>
      <c r="B331" s="109"/>
      <c r="C331" s="12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0"/>
      <c r="AK331" s="90"/>
      <c r="AL331" s="90"/>
      <c r="AM331" s="121"/>
      <c r="AN331" s="121"/>
      <c r="AO331" s="121"/>
      <c r="AP331" s="121"/>
      <c r="AQ331" s="121"/>
      <c r="AR331" s="121"/>
      <c r="AS331" s="121"/>
      <c r="AT331" s="121"/>
      <c r="AU331" s="121"/>
      <c r="AV331" s="121"/>
      <c r="AW331" s="121"/>
      <c r="AX331" s="121"/>
      <c r="AY331" s="121"/>
      <c r="AZ331" s="121"/>
      <c r="BA331" s="121"/>
      <c r="BB331" s="121"/>
      <c r="BC331" s="121"/>
      <c r="BD331" s="121"/>
      <c r="BE331" s="121"/>
      <c r="BF331" s="121"/>
      <c r="BG331" s="121"/>
      <c r="BH331" s="121"/>
      <c r="BI331" s="121"/>
      <c r="BJ331" s="121"/>
      <c r="BK331" s="121"/>
      <c r="BL331" s="121"/>
      <c r="BM331" s="121"/>
      <c r="BN331" s="121"/>
      <c r="BO331" s="121"/>
      <c r="BP331" s="121"/>
      <c r="BQ331" s="121"/>
      <c r="BR331" s="121"/>
      <c r="BS331" s="121"/>
      <c r="BT331" s="121"/>
      <c r="BU331" s="121"/>
    </row>
    <row r="332" spans="1:73" x14ac:dyDescent="0.15">
      <c r="A332" s="109"/>
      <c r="B332" s="109"/>
      <c r="C332" s="12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0"/>
      <c r="AK332" s="90"/>
      <c r="AL332" s="90"/>
      <c r="AM332" s="121"/>
      <c r="AN332" s="121"/>
      <c r="AO332" s="121"/>
      <c r="AP332" s="121"/>
      <c r="AQ332" s="121"/>
      <c r="AR332" s="121"/>
      <c r="AS332" s="121"/>
      <c r="AT332" s="121"/>
      <c r="AU332" s="121"/>
      <c r="AV332" s="121"/>
      <c r="AW332" s="121"/>
      <c r="AX332" s="121"/>
      <c r="AY332" s="121"/>
      <c r="AZ332" s="121"/>
      <c r="BA332" s="121"/>
      <c r="BB332" s="121"/>
      <c r="BC332" s="121"/>
      <c r="BD332" s="121"/>
      <c r="BE332" s="121"/>
      <c r="BF332" s="121"/>
      <c r="BG332" s="121"/>
      <c r="BH332" s="121"/>
      <c r="BI332" s="121"/>
      <c r="BJ332" s="121"/>
      <c r="BK332" s="121"/>
      <c r="BL332" s="121"/>
      <c r="BM332" s="121"/>
      <c r="BN332" s="121"/>
      <c r="BO332" s="121"/>
      <c r="BP332" s="121"/>
      <c r="BQ332" s="121"/>
      <c r="BR332" s="121"/>
      <c r="BS332" s="121"/>
      <c r="BT332" s="121"/>
      <c r="BU332" s="121"/>
    </row>
    <row r="333" spans="1:73" x14ac:dyDescent="0.15">
      <c r="A333" s="109"/>
      <c r="B333" s="109"/>
      <c r="C333" s="12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0"/>
      <c r="AK333" s="90"/>
      <c r="AL333" s="90"/>
      <c r="AM333" s="121"/>
      <c r="AN333" s="121"/>
      <c r="AO333" s="121"/>
      <c r="AP333" s="121"/>
      <c r="AQ333" s="121"/>
      <c r="AR333" s="121"/>
      <c r="AS333" s="121"/>
      <c r="AT333" s="121"/>
      <c r="AU333" s="121"/>
      <c r="AV333" s="121"/>
      <c r="AW333" s="121"/>
      <c r="AX333" s="121"/>
      <c r="AY333" s="121"/>
      <c r="AZ333" s="121"/>
      <c r="BA333" s="121"/>
      <c r="BB333" s="121"/>
      <c r="BC333" s="121"/>
      <c r="BD333" s="121"/>
      <c r="BE333" s="121"/>
      <c r="BF333" s="121"/>
      <c r="BG333" s="121"/>
      <c r="BH333" s="121"/>
      <c r="BI333" s="121"/>
      <c r="BJ333" s="121"/>
      <c r="BK333" s="121"/>
      <c r="BL333" s="121"/>
      <c r="BM333" s="121"/>
      <c r="BN333" s="121"/>
      <c r="BO333" s="121"/>
      <c r="BP333" s="121"/>
      <c r="BQ333" s="121"/>
      <c r="BR333" s="121"/>
      <c r="BS333" s="121"/>
      <c r="BT333" s="121"/>
      <c r="BU333" s="121"/>
    </row>
    <row r="334" spans="1:73" x14ac:dyDescent="0.15">
      <c r="A334" s="109"/>
      <c r="B334" s="109"/>
      <c r="C334" s="12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0"/>
      <c r="AK334" s="90"/>
      <c r="AL334" s="90"/>
      <c r="AM334" s="121"/>
      <c r="AN334" s="121"/>
      <c r="AO334" s="121"/>
      <c r="AP334" s="121"/>
      <c r="AQ334" s="121"/>
      <c r="AR334" s="121"/>
      <c r="AS334" s="121"/>
      <c r="AT334" s="121"/>
      <c r="AU334" s="121"/>
      <c r="AV334" s="121"/>
      <c r="AW334" s="121"/>
      <c r="AX334" s="121"/>
      <c r="AY334" s="121"/>
      <c r="AZ334" s="121"/>
      <c r="BA334" s="121"/>
      <c r="BB334" s="121"/>
      <c r="BC334" s="121"/>
      <c r="BD334" s="121"/>
      <c r="BE334" s="121"/>
      <c r="BF334" s="121"/>
      <c r="BG334" s="121"/>
      <c r="BH334" s="121"/>
      <c r="BI334" s="121"/>
      <c r="BJ334" s="121"/>
      <c r="BK334" s="121"/>
      <c r="BL334" s="121"/>
      <c r="BM334" s="121"/>
      <c r="BN334" s="121"/>
      <c r="BO334" s="121"/>
      <c r="BP334" s="121"/>
      <c r="BQ334" s="121"/>
      <c r="BR334" s="121"/>
      <c r="BS334" s="121"/>
      <c r="BT334" s="121"/>
      <c r="BU334" s="121"/>
    </row>
    <row r="335" spans="1:73" x14ac:dyDescent="0.15">
      <c r="A335" s="109"/>
      <c r="B335" s="109"/>
      <c r="C335" s="12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0"/>
      <c r="AK335" s="90"/>
      <c r="AL335" s="90"/>
      <c r="AM335" s="121"/>
      <c r="AN335" s="121"/>
      <c r="AO335" s="121"/>
      <c r="AP335" s="121"/>
      <c r="AQ335" s="121"/>
      <c r="AR335" s="121"/>
      <c r="AS335" s="121"/>
      <c r="AT335" s="121"/>
      <c r="AU335" s="121"/>
      <c r="AV335" s="121"/>
      <c r="AW335" s="121"/>
      <c r="AX335" s="121"/>
      <c r="AY335" s="121"/>
      <c r="AZ335" s="121"/>
      <c r="BA335" s="121"/>
      <c r="BB335" s="121"/>
      <c r="BC335" s="121"/>
      <c r="BD335" s="121"/>
      <c r="BE335" s="121"/>
      <c r="BF335" s="121"/>
      <c r="BG335" s="121"/>
      <c r="BH335" s="121"/>
      <c r="BI335" s="121"/>
      <c r="BJ335" s="121"/>
      <c r="BK335" s="121"/>
      <c r="BL335" s="121"/>
      <c r="BM335" s="121"/>
      <c r="BN335" s="121"/>
      <c r="BO335" s="121"/>
      <c r="BP335" s="121"/>
      <c r="BQ335" s="121"/>
      <c r="BR335" s="121"/>
      <c r="BS335" s="121"/>
      <c r="BT335" s="121"/>
      <c r="BU335" s="121"/>
    </row>
    <row r="336" spans="1:73" x14ac:dyDescent="0.15">
      <c r="A336" s="109"/>
      <c r="B336" s="109"/>
      <c r="C336" s="12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0"/>
      <c r="AK336" s="90"/>
      <c r="AL336" s="90"/>
      <c r="AM336" s="121"/>
      <c r="AN336" s="121"/>
      <c r="AO336" s="121"/>
      <c r="AP336" s="121"/>
      <c r="AQ336" s="121"/>
      <c r="AR336" s="121"/>
      <c r="AS336" s="121"/>
      <c r="AT336" s="121"/>
      <c r="AU336" s="121"/>
      <c r="AV336" s="121"/>
      <c r="AW336" s="121"/>
      <c r="AX336" s="121"/>
      <c r="AY336" s="121"/>
      <c r="AZ336" s="121"/>
      <c r="BA336" s="121"/>
      <c r="BB336" s="121"/>
      <c r="BC336" s="121"/>
      <c r="BD336" s="121"/>
      <c r="BE336" s="121"/>
      <c r="BF336" s="121"/>
      <c r="BG336" s="121"/>
      <c r="BH336" s="121"/>
      <c r="BI336" s="121"/>
      <c r="BJ336" s="121"/>
      <c r="BK336" s="121"/>
      <c r="BL336" s="121"/>
      <c r="BM336" s="121"/>
      <c r="BN336" s="121"/>
      <c r="BO336" s="121"/>
      <c r="BP336" s="121"/>
      <c r="BQ336" s="121"/>
      <c r="BR336" s="121"/>
      <c r="BS336" s="121"/>
      <c r="BT336" s="121"/>
      <c r="BU336" s="121"/>
    </row>
    <row r="337" spans="1:73" x14ac:dyDescent="0.15">
      <c r="A337" s="109"/>
      <c r="B337" s="109"/>
      <c r="C337" s="12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0"/>
      <c r="AK337" s="90"/>
      <c r="AL337" s="90"/>
      <c r="AM337" s="121"/>
      <c r="AN337" s="121"/>
      <c r="AO337" s="121"/>
      <c r="AP337" s="121"/>
      <c r="AQ337" s="121"/>
      <c r="AR337" s="121"/>
      <c r="AS337" s="121"/>
      <c r="AT337" s="121"/>
      <c r="AU337" s="121"/>
      <c r="AV337" s="121"/>
      <c r="AW337" s="121"/>
      <c r="AX337" s="121"/>
      <c r="AY337" s="121"/>
      <c r="AZ337" s="121"/>
      <c r="BA337" s="121"/>
      <c r="BB337" s="121"/>
      <c r="BC337" s="121"/>
      <c r="BD337" s="121"/>
      <c r="BE337" s="121"/>
      <c r="BF337" s="121"/>
      <c r="BG337" s="121"/>
      <c r="BH337" s="121"/>
      <c r="BI337" s="121"/>
      <c r="BJ337" s="121"/>
      <c r="BK337" s="121"/>
      <c r="BL337" s="121"/>
      <c r="BM337" s="121"/>
      <c r="BN337" s="121"/>
      <c r="BO337" s="121"/>
      <c r="BP337" s="121"/>
      <c r="BQ337" s="121"/>
      <c r="BR337" s="121"/>
      <c r="BS337" s="121"/>
      <c r="BT337" s="121"/>
      <c r="BU337" s="121"/>
    </row>
    <row r="338" spans="1:73" x14ac:dyDescent="0.15">
      <c r="A338" s="109"/>
      <c r="B338" s="109"/>
      <c r="C338" s="12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0"/>
      <c r="AK338" s="90"/>
      <c r="AL338" s="90"/>
      <c r="AM338" s="121"/>
      <c r="AN338" s="121"/>
      <c r="AO338" s="121"/>
      <c r="AP338" s="121"/>
      <c r="AQ338" s="121"/>
      <c r="AR338" s="121"/>
      <c r="AS338" s="121"/>
      <c r="AT338" s="121"/>
      <c r="AU338" s="121"/>
      <c r="AV338" s="121"/>
      <c r="AW338" s="121"/>
      <c r="AX338" s="121"/>
      <c r="AY338" s="121"/>
      <c r="AZ338" s="121"/>
      <c r="BA338" s="121"/>
      <c r="BB338" s="121"/>
      <c r="BC338" s="121"/>
      <c r="BD338" s="121"/>
      <c r="BE338" s="121"/>
      <c r="BF338" s="121"/>
      <c r="BG338" s="121"/>
      <c r="BH338" s="121"/>
      <c r="BI338" s="121"/>
      <c r="BJ338" s="121"/>
      <c r="BK338" s="121"/>
      <c r="BL338" s="121"/>
      <c r="BM338" s="121"/>
      <c r="BN338" s="121"/>
      <c r="BO338" s="121"/>
      <c r="BP338" s="121"/>
      <c r="BQ338" s="121"/>
      <c r="BR338" s="121"/>
      <c r="BS338" s="121"/>
      <c r="BT338" s="121"/>
      <c r="BU338" s="121"/>
    </row>
    <row r="339" spans="1:73" x14ac:dyDescent="0.15">
      <c r="A339" s="109"/>
      <c r="B339" s="109"/>
      <c r="C339" s="12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0"/>
      <c r="AK339" s="90"/>
      <c r="AL339" s="90"/>
      <c r="AM339" s="121"/>
      <c r="AN339" s="121"/>
      <c r="AO339" s="121"/>
      <c r="AP339" s="121"/>
      <c r="AQ339" s="121"/>
      <c r="AR339" s="121"/>
      <c r="AS339" s="121"/>
      <c r="AT339" s="121"/>
      <c r="AU339" s="121"/>
      <c r="AV339" s="121"/>
      <c r="AW339" s="121"/>
      <c r="AX339" s="121"/>
      <c r="AY339" s="121"/>
      <c r="AZ339" s="121"/>
      <c r="BA339" s="121"/>
      <c r="BB339" s="121"/>
      <c r="BC339" s="121"/>
      <c r="BD339" s="121"/>
      <c r="BE339" s="121"/>
      <c r="BF339" s="121"/>
      <c r="BG339" s="121"/>
      <c r="BH339" s="121"/>
      <c r="BI339" s="121"/>
      <c r="BJ339" s="121"/>
      <c r="BK339" s="121"/>
      <c r="BL339" s="121"/>
      <c r="BM339" s="121"/>
      <c r="BN339" s="121"/>
      <c r="BO339" s="121"/>
      <c r="BP339" s="121"/>
      <c r="BQ339" s="121"/>
      <c r="BR339" s="121"/>
      <c r="BS339" s="121"/>
      <c r="BT339" s="121"/>
      <c r="BU339" s="121"/>
    </row>
    <row r="340" spans="1:73" x14ac:dyDescent="0.15">
      <c r="A340" s="109"/>
      <c r="B340" s="109"/>
      <c r="C340" s="12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0"/>
      <c r="AK340" s="90"/>
      <c r="AL340" s="90"/>
      <c r="AM340" s="121"/>
      <c r="AN340" s="121"/>
      <c r="AO340" s="121"/>
      <c r="AP340" s="121"/>
      <c r="AQ340" s="121"/>
      <c r="AR340" s="121"/>
      <c r="AS340" s="121"/>
      <c r="AT340" s="121"/>
      <c r="AU340" s="121"/>
      <c r="AV340" s="121"/>
      <c r="AW340" s="121"/>
      <c r="AX340" s="121"/>
      <c r="AY340" s="121"/>
      <c r="AZ340" s="121"/>
      <c r="BA340" s="121"/>
      <c r="BB340" s="121"/>
      <c r="BC340" s="121"/>
      <c r="BD340" s="121"/>
      <c r="BE340" s="121"/>
      <c r="BF340" s="121"/>
      <c r="BG340" s="121"/>
      <c r="BH340" s="121"/>
      <c r="BI340" s="121"/>
      <c r="BJ340" s="121"/>
      <c r="BK340" s="121"/>
      <c r="BL340" s="121"/>
      <c r="BM340" s="121"/>
      <c r="BN340" s="121"/>
      <c r="BO340" s="121"/>
      <c r="BP340" s="121"/>
      <c r="BQ340" s="121"/>
      <c r="BR340" s="121"/>
      <c r="BS340" s="121"/>
      <c r="BT340" s="121"/>
      <c r="BU340" s="121"/>
    </row>
    <row r="341" spans="1:73" x14ac:dyDescent="0.15">
      <c r="A341" s="109"/>
      <c r="B341" s="109"/>
      <c r="C341" s="12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0"/>
      <c r="AK341" s="90"/>
      <c r="AL341" s="90"/>
      <c r="AM341" s="121"/>
      <c r="AN341" s="121"/>
      <c r="AO341" s="121"/>
      <c r="AP341" s="121"/>
      <c r="AQ341" s="121"/>
      <c r="AR341" s="121"/>
      <c r="AS341" s="121"/>
      <c r="AT341" s="121"/>
      <c r="AU341" s="121"/>
      <c r="AV341" s="121"/>
      <c r="AW341" s="121"/>
      <c r="AX341" s="121"/>
      <c r="AY341" s="121"/>
      <c r="AZ341" s="121"/>
      <c r="BA341" s="121"/>
      <c r="BB341" s="121"/>
      <c r="BC341" s="121"/>
      <c r="BD341" s="121"/>
      <c r="BE341" s="121"/>
      <c r="BF341" s="121"/>
      <c r="BG341" s="121"/>
      <c r="BH341" s="121"/>
      <c r="BI341" s="121"/>
      <c r="BJ341" s="121"/>
      <c r="BK341" s="121"/>
      <c r="BL341" s="121"/>
      <c r="BM341" s="121"/>
      <c r="BN341" s="121"/>
      <c r="BO341" s="121"/>
      <c r="BP341" s="121"/>
      <c r="BQ341" s="121"/>
      <c r="BR341" s="121"/>
      <c r="BS341" s="121"/>
      <c r="BT341" s="121"/>
      <c r="BU341" s="121"/>
    </row>
    <row r="342" spans="1:73" x14ac:dyDescent="0.15">
      <c r="A342" s="109"/>
      <c r="B342" s="109"/>
      <c r="C342" s="12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0"/>
      <c r="AK342" s="90"/>
      <c r="AL342" s="90"/>
      <c r="AM342" s="121"/>
      <c r="AN342" s="121"/>
      <c r="AO342" s="121"/>
      <c r="AP342" s="121"/>
      <c r="AQ342" s="121"/>
      <c r="AR342" s="121"/>
      <c r="AS342" s="121"/>
      <c r="AT342" s="121"/>
      <c r="AU342" s="121"/>
      <c r="AV342" s="121"/>
      <c r="AW342" s="121"/>
      <c r="AX342" s="121"/>
      <c r="AY342" s="121"/>
      <c r="AZ342" s="121"/>
      <c r="BA342" s="121"/>
      <c r="BB342" s="121"/>
      <c r="BC342" s="121"/>
      <c r="BD342" s="121"/>
      <c r="BE342" s="121"/>
      <c r="BF342" s="121"/>
      <c r="BG342" s="121"/>
      <c r="BH342" s="121"/>
      <c r="BI342" s="121"/>
      <c r="BJ342" s="121"/>
      <c r="BK342" s="121"/>
      <c r="BL342" s="121"/>
      <c r="BM342" s="121"/>
      <c r="BN342" s="121"/>
      <c r="BO342" s="121"/>
      <c r="BP342" s="121"/>
      <c r="BQ342" s="121"/>
      <c r="BR342" s="121"/>
      <c r="BS342" s="121"/>
      <c r="BT342" s="121"/>
      <c r="BU342" s="121"/>
    </row>
    <row r="343" spans="1:73" x14ac:dyDescent="0.15">
      <c r="A343" s="109"/>
      <c r="B343" s="109"/>
      <c r="C343" s="12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0"/>
      <c r="AK343" s="90"/>
      <c r="AL343" s="90"/>
      <c r="AM343" s="121"/>
      <c r="AN343" s="121"/>
      <c r="AO343" s="121"/>
      <c r="AP343" s="121"/>
      <c r="AQ343" s="121"/>
      <c r="AR343" s="121"/>
      <c r="AS343" s="121"/>
      <c r="AT343" s="121"/>
      <c r="AU343" s="121"/>
      <c r="AV343" s="121"/>
      <c r="AW343" s="121"/>
      <c r="AX343" s="121"/>
      <c r="AY343" s="121"/>
      <c r="AZ343" s="121"/>
      <c r="BA343" s="121"/>
      <c r="BB343" s="121"/>
      <c r="BC343" s="121"/>
      <c r="BD343" s="121"/>
      <c r="BE343" s="121"/>
      <c r="BF343" s="121"/>
      <c r="BG343" s="121"/>
      <c r="BH343" s="121"/>
      <c r="BI343" s="121"/>
      <c r="BJ343" s="121"/>
      <c r="BK343" s="121"/>
      <c r="BL343" s="121"/>
      <c r="BM343" s="121"/>
      <c r="BN343" s="121"/>
      <c r="BO343" s="121"/>
      <c r="BP343" s="121"/>
      <c r="BQ343" s="121"/>
      <c r="BR343" s="121"/>
      <c r="BS343" s="121"/>
      <c r="BT343" s="121"/>
      <c r="BU343" s="121"/>
    </row>
    <row r="344" spans="1:73" x14ac:dyDescent="0.15">
      <c r="A344" s="109"/>
      <c r="B344" s="109"/>
      <c r="C344" s="12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0"/>
      <c r="AK344" s="90"/>
      <c r="AL344" s="90"/>
      <c r="AM344" s="121"/>
      <c r="AN344" s="121"/>
      <c r="AO344" s="121"/>
      <c r="AP344" s="121"/>
      <c r="AQ344" s="121"/>
      <c r="AR344" s="121"/>
      <c r="AS344" s="121"/>
      <c r="AT344" s="121"/>
      <c r="AU344" s="121"/>
      <c r="AV344" s="121"/>
      <c r="AW344" s="121"/>
      <c r="AX344" s="121"/>
      <c r="AY344" s="121"/>
      <c r="AZ344" s="121"/>
      <c r="BA344" s="121"/>
      <c r="BB344" s="121"/>
      <c r="BC344" s="121"/>
      <c r="BD344" s="121"/>
      <c r="BE344" s="121"/>
      <c r="BF344" s="121"/>
      <c r="BG344" s="121"/>
      <c r="BH344" s="121"/>
      <c r="BI344" s="121"/>
      <c r="BJ344" s="121"/>
      <c r="BK344" s="121"/>
      <c r="BL344" s="121"/>
      <c r="BM344" s="121"/>
      <c r="BN344" s="121"/>
      <c r="BO344" s="121"/>
      <c r="BP344" s="121"/>
      <c r="BQ344" s="121"/>
      <c r="BR344" s="121"/>
      <c r="BS344" s="121"/>
      <c r="BT344" s="121"/>
      <c r="BU344" s="121"/>
    </row>
    <row r="345" spans="1:73" x14ac:dyDescent="0.15">
      <c r="A345" s="109"/>
      <c r="B345" s="109"/>
      <c r="C345" s="12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0"/>
      <c r="AK345" s="90"/>
      <c r="AL345" s="90"/>
      <c r="AM345" s="121"/>
      <c r="AN345" s="121"/>
      <c r="AO345" s="121"/>
      <c r="AP345" s="121"/>
      <c r="AQ345" s="121"/>
      <c r="AR345" s="121"/>
      <c r="AS345" s="121"/>
      <c r="AT345" s="121"/>
      <c r="AU345" s="121"/>
      <c r="AV345" s="121"/>
      <c r="AW345" s="121"/>
      <c r="AX345" s="121"/>
      <c r="AY345" s="121"/>
      <c r="AZ345" s="121"/>
      <c r="BA345" s="121"/>
      <c r="BB345" s="121"/>
      <c r="BC345" s="121"/>
      <c r="BD345" s="121"/>
      <c r="BE345" s="121"/>
      <c r="BF345" s="121"/>
      <c r="BG345" s="121"/>
      <c r="BH345" s="121"/>
      <c r="BI345" s="121"/>
      <c r="BJ345" s="121"/>
      <c r="BK345" s="121"/>
      <c r="BL345" s="121"/>
      <c r="BM345" s="121"/>
      <c r="BN345" s="121"/>
      <c r="BO345" s="121"/>
      <c r="BP345" s="121"/>
      <c r="BQ345" s="121"/>
      <c r="BR345" s="121"/>
      <c r="BS345" s="121"/>
      <c r="BT345" s="121"/>
      <c r="BU345" s="121"/>
    </row>
    <row r="346" spans="1:73" x14ac:dyDescent="0.15">
      <c r="A346" s="109"/>
      <c r="B346" s="109"/>
      <c r="C346" s="12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0"/>
      <c r="AK346" s="90"/>
      <c r="AL346" s="90"/>
      <c r="AM346" s="121"/>
      <c r="AN346" s="121"/>
      <c r="AO346" s="121"/>
      <c r="AP346" s="121"/>
      <c r="AQ346" s="121"/>
      <c r="AR346" s="121"/>
      <c r="AS346" s="121"/>
      <c r="AT346" s="121"/>
      <c r="AU346" s="121"/>
      <c r="AV346" s="121"/>
      <c r="AW346" s="121"/>
      <c r="AX346" s="121"/>
      <c r="AY346" s="121"/>
      <c r="AZ346" s="121"/>
      <c r="BA346" s="121"/>
      <c r="BB346" s="121"/>
      <c r="BC346" s="121"/>
      <c r="BD346" s="121"/>
      <c r="BE346" s="121"/>
      <c r="BF346" s="121"/>
      <c r="BG346" s="121"/>
      <c r="BH346" s="121"/>
      <c r="BI346" s="121"/>
      <c r="BJ346" s="121"/>
      <c r="BK346" s="121"/>
      <c r="BL346" s="121"/>
      <c r="BM346" s="121"/>
      <c r="BN346" s="121"/>
      <c r="BO346" s="121"/>
      <c r="BP346" s="121"/>
      <c r="BQ346" s="121"/>
      <c r="BR346" s="121"/>
      <c r="BS346" s="121"/>
      <c r="BT346" s="121"/>
      <c r="BU346" s="121"/>
    </row>
    <row r="347" spans="1:73" x14ac:dyDescent="0.15">
      <c r="A347" s="109"/>
      <c r="B347" s="109"/>
      <c r="C347" s="12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0"/>
      <c r="AK347" s="90"/>
      <c r="AL347" s="90"/>
      <c r="AM347" s="121"/>
      <c r="AN347" s="121"/>
      <c r="AO347" s="121"/>
      <c r="AP347" s="121"/>
      <c r="AQ347" s="121"/>
      <c r="AR347" s="121"/>
      <c r="AS347" s="121"/>
      <c r="AT347" s="121"/>
      <c r="AU347" s="121"/>
      <c r="AV347" s="121"/>
      <c r="AW347" s="121"/>
      <c r="AX347" s="121"/>
      <c r="AY347" s="121"/>
      <c r="AZ347" s="121"/>
      <c r="BA347" s="121"/>
      <c r="BB347" s="121"/>
      <c r="BC347" s="121"/>
      <c r="BD347" s="121"/>
      <c r="BE347" s="121"/>
      <c r="BF347" s="121"/>
      <c r="BG347" s="121"/>
      <c r="BH347" s="121"/>
      <c r="BI347" s="121"/>
      <c r="BJ347" s="121"/>
      <c r="BK347" s="121"/>
      <c r="BL347" s="121"/>
      <c r="BM347" s="121"/>
      <c r="BN347" s="121"/>
      <c r="BO347" s="121"/>
      <c r="BP347" s="121"/>
      <c r="BQ347" s="121"/>
      <c r="BR347" s="121"/>
      <c r="BS347" s="121"/>
      <c r="BT347" s="121"/>
      <c r="BU347" s="121"/>
    </row>
    <row r="348" spans="1:73" x14ac:dyDescent="0.15">
      <c r="A348" s="109"/>
      <c r="B348" s="109"/>
      <c r="C348" s="12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0"/>
      <c r="AK348" s="90"/>
      <c r="AL348" s="90"/>
      <c r="AM348" s="121"/>
      <c r="AN348" s="121"/>
      <c r="AO348" s="121"/>
      <c r="AP348" s="121"/>
      <c r="AQ348" s="121"/>
      <c r="AR348" s="121"/>
      <c r="AS348" s="121"/>
      <c r="AT348" s="121"/>
      <c r="AU348" s="121"/>
      <c r="AV348" s="121"/>
      <c r="AW348" s="121"/>
      <c r="AX348" s="121"/>
      <c r="AY348" s="121"/>
      <c r="AZ348" s="121"/>
      <c r="BA348" s="121"/>
      <c r="BB348" s="121"/>
      <c r="BC348" s="121"/>
      <c r="BD348" s="121"/>
      <c r="BE348" s="121"/>
      <c r="BF348" s="121"/>
      <c r="BG348" s="121"/>
      <c r="BH348" s="121"/>
      <c r="BI348" s="121"/>
      <c r="BJ348" s="121"/>
      <c r="BK348" s="121"/>
      <c r="BL348" s="121"/>
      <c r="BM348" s="121"/>
      <c r="BN348" s="121"/>
      <c r="BO348" s="121"/>
      <c r="BP348" s="121"/>
      <c r="BQ348" s="121"/>
      <c r="BR348" s="121"/>
      <c r="BS348" s="121"/>
      <c r="BT348" s="121"/>
      <c r="BU348" s="121"/>
    </row>
    <row r="349" spans="1:73" x14ac:dyDescent="0.15">
      <c r="A349" s="109"/>
      <c r="B349" s="109"/>
      <c r="C349" s="12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0"/>
      <c r="AK349" s="90"/>
      <c r="AL349" s="90"/>
      <c r="AM349" s="121"/>
      <c r="AN349" s="121"/>
      <c r="AO349" s="121"/>
      <c r="AP349" s="121"/>
      <c r="AQ349" s="121"/>
      <c r="AR349" s="121"/>
      <c r="AS349" s="121"/>
      <c r="AT349" s="121"/>
      <c r="AU349" s="121"/>
      <c r="AV349" s="121"/>
      <c r="AW349" s="121"/>
      <c r="AX349" s="121"/>
      <c r="AY349" s="121"/>
      <c r="AZ349" s="121"/>
      <c r="BA349" s="121"/>
      <c r="BB349" s="121"/>
      <c r="BC349" s="121"/>
      <c r="BD349" s="121"/>
      <c r="BE349" s="121"/>
      <c r="BF349" s="121"/>
      <c r="BG349" s="121"/>
      <c r="BH349" s="121"/>
      <c r="BI349" s="121"/>
      <c r="BJ349" s="121"/>
      <c r="BK349" s="121"/>
      <c r="BL349" s="121"/>
      <c r="BM349" s="121"/>
      <c r="BN349" s="121"/>
      <c r="BO349" s="121"/>
      <c r="BP349" s="121"/>
      <c r="BQ349" s="121"/>
      <c r="BR349" s="121"/>
      <c r="BS349" s="121"/>
      <c r="BT349" s="121"/>
      <c r="BU349" s="121"/>
    </row>
    <row r="350" spans="1:73" x14ac:dyDescent="0.15">
      <c r="A350" s="109"/>
      <c r="B350" s="109"/>
      <c r="C350" s="12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0"/>
      <c r="AK350" s="90"/>
      <c r="AL350" s="90"/>
      <c r="AM350" s="121"/>
      <c r="AN350" s="121"/>
      <c r="AO350" s="121"/>
      <c r="AP350" s="121"/>
      <c r="AQ350" s="121"/>
      <c r="AR350" s="121"/>
      <c r="AS350" s="121"/>
      <c r="AT350" s="121"/>
      <c r="AU350" s="121"/>
      <c r="AV350" s="121"/>
      <c r="AW350" s="121"/>
      <c r="AX350" s="121"/>
      <c r="AY350" s="121"/>
      <c r="AZ350" s="121"/>
      <c r="BA350" s="121"/>
      <c r="BB350" s="121"/>
      <c r="BC350" s="121"/>
      <c r="BD350" s="121"/>
      <c r="BE350" s="121"/>
      <c r="BF350" s="121"/>
      <c r="BG350" s="121"/>
      <c r="BH350" s="121"/>
      <c r="BI350" s="121"/>
      <c r="BJ350" s="121"/>
      <c r="BK350" s="121"/>
      <c r="BL350" s="121"/>
      <c r="BM350" s="121"/>
      <c r="BN350" s="121"/>
      <c r="BO350" s="121"/>
      <c r="BP350" s="121"/>
      <c r="BQ350" s="121"/>
      <c r="BR350" s="121"/>
      <c r="BS350" s="121"/>
      <c r="BT350" s="121"/>
      <c r="BU350" s="121"/>
    </row>
    <row r="351" spans="1:73" x14ac:dyDescent="0.15">
      <c r="A351" s="109"/>
      <c r="B351" s="109"/>
      <c r="C351" s="12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0"/>
      <c r="AK351" s="90"/>
      <c r="AL351" s="90"/>
      <c r="AM351" s="121"/>
      <c r="AN351" s="121"/>
      <c r="AO351" s="121"/>
      <c r="AP351" s="121"/>
      <c r="AQ351" s="121"/>
      <c r="AR351" s="121"/>
      <c r="AS351" s="121"/>
      <c r="AT351" s="121"/>
      <c r="AU351" s="121"/>
      <c r="AV351" s="121"/>
      <c r="AW351" s="121"/>
      <c r="AX351" s="121"/>
      <c r="AY351" s="121"/>
      <c r="AZ351" s="121"/>
      <c r="BA351" s="121"/>
      <c r="BB351" s="121"/>
      <c r="BC351" s="121"/>
      <c r="BD351" s="121"/>
      <c r="BE351" s="121"/>
      <c r="BF351" s="121"/>
      <c r="BG351" s="121"/>
      <c r="BH351" s="121"/>
      <c r="BI351" s="121"/>
      <c r="BJ351" s="121"/>
      <c r="BK351" s="121"/>
      <c r="BL351" s="121"/>
      <c r="BM351" s="121"/>
      <c r="BN351" s="121"/>
      <c r="BO351" s="121"/>
      <c r="BP351" s="121"/>
      <c r="BQ351" s="121"/>
      <c r="BR351" s="121"/>
      <c r="BS351" s="121"/>
      <c r="BT351" s="121"/>
      <c r="BU351" s="121"/>
    </row>
    <row r="352" spans="1:73" x14ac:dyDescent="0.15">
      <c r="A352" s="109"/>
      <c r="B352" s="109"/>
      <c r="C352" s="12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0"/>
      <c r="AK352" s="90"/>
      <c r="AL352" s="90"/>
      <c r="AM352" s="121"/>
      <c r="AN352" s="121"/>
      <c r="AO352" s="121"/>
      <c r="AP352" s="121"/>
      <c r="AQ352" s="121"/>
      <c r="AR352" s="121"/>
      <c r="AS352" s="121"/>
      <c r="AT352" s="121"/>
      <c r="AU352" s="121"/>
      <c r="AV352" s="121"/>
      <c r="AW352" s="121"/>
      <c r="AX352" s="121"/>
      <c r="AY352" s="121"/>
      <c r="AZ352" s="121"/>
      <c r="BA352" s="121"/>
      <c r="BB352" s="121"/>
      <c r="BC352" s="121"/>
      <c r="BD352" s="121"/>
      <c r="BE352" s="121"/>
      <c r="BF352" s="121"/>
      <c r="BG352" s="121"/>
      <c r="BH352" s="121"/>
      <c r="BI352" s="121"/>
      <c r="BJ352" s="121"/>
      <c r="BK352" s="121"/>
      <c r="BL352" s="121"/>
      <c r="BM352" s="121"/>
      <c r="BN352" s="121"/>
      <c r="BO352" s="121"/>
      <c r="BP352" s="121"/>
      <c r="BQ352" s="121"/>
      <c r="BR352" s="121"/>
      <c r="BS352" s="121"/>
      <c r="BT352" s="121"/>
      <c r="BU352" s="121"/>
    </row>
    <row r="353" spans="1:73" x14ac:dyDescent="0.15">
      <c r="A353" s="109"/>
      <c r="B353" s="109"/>
      <c r="C353" s="12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0"/>
      <c r="AK353" s="90"/>
      <c r="AL353" s="90"/>
      <c r="AM353" s="121"/>
      <c r="AN353" s="121"/>
      <c r="AO353" s="121"/>
      <c r="AP353" s="121"/>
      <c r="AQ353" s="121"/>
      <c r="AR353" s="121"/>
      <c r="AS353" s="121"/>
      <c r="AT353" s="121"/>
      <c r="AU353" s="121"/>
      <c r="AV353" s="121"/>
      <c r="AW353" s="121"/>
      <c r="AX353" s="121"/>
      <c r="AY353" s="121"/>
      <c r="AZ353" s="121"/>
      <c r="BA353" s="121"/>
      <c r="BB353" s="121"/>
      <c r="BC353" s="121"/>
      <c r="BD353" s="121"/>
      <c r="BE353" s="121"/>
      <c r="BF353" s="121"/>
      <c r="BG353" s="121"/>
      <c r="BH353" s="121"/>
      <c r="BI353" s="121"/>
      <c r="BJ353" s="121"/>
      <c r="BK353" s="121"/>
      <c r="BL353" s="121"/>
      <c r="BM353" s="121"/>
      <c r="BN353" s="121"/>
      <c r="BO353" s="121"/>
      <c r="BP353" s="121"/>
      <c r="BQ353" s="121"/>
      <c r="BR353" s="121"/>
      <c r="BS353" s="121"/>
      <c r="BT353" s="121"/>
      <c r="BU353" s="121"/>
    </row>
    <row r="354" spans="1:73" x14ac:dyDescent="0.15">
      <c r="A354" s="109"/>
      <c r="B354" s="109"/>
      <c r="C354" s="12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0"/>
      <c r="AK354" s="90"/>
      <c r="AL354" s="90"/>
      <c r="AM354" s="121"/>
      <c r="AN354" s="121"/>
      <c r="AO354" s="121"/>
      <c r="AP354" s="121"/>
      <c r="AQ354" s="121"/>
      <c r="AR354" s="121"/>
      <c r="AS354" s="121"/>
      <c r="AT354" s="121"/>
      <c r="AU354" s="121"/>
      <c r="AV354" s="121"/>
      <c r="AW354" s="121"/>
      <c r="AX354" s="121"/>
      <c r="AY354" s="121"/>
      <c r="AZ354" s="121"/>
      <c r="BA354" s="121"/>
      <c r="BB354" s="121"/>
      <c r="BC354" s="121"/>
      <c r="BD354" s="121"/>
      <c r="BE354" s="121"/>
      <c r="BF354" s="121"/>
      <c r="BG354" s="121"/>
      <c r="BH354" s="121"/>
      <c r="BI354" s="121"/>
      <c r="BJ354" s="121"/>
      <c r="BK354" s="121"/>
      <c r="BL354" s="121"/>
      <c r="BM354" s="121"/>
      <c r="BN354" s="121"/>
      <c r="BO354" s="121"/>
      <c r="BP354" s="121"/>
      <c r="BQ354" s="121"/>
      <c r="BR354" s="121"/>
      <c r="BS354" s="121"/>
      <c r="BT354" s="121"/>
      <c r="BU354" s="121"/>
    </row>
    <row r="355" spans="1:73" x14ac:dyDescent="0.15">
      <c r="A355" s="109"/>
      <c r="B355" s="109"/>
      <c r="C355" s="12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0"/>
      <c r="AK355" s="90"/>
      <c r="AL355" s="90"/>
      <c r="AM355" s="121"/>
      <c r="AN355" s="121"/>
      <c r="AO355" s="121"/>
      <c r="AP355" s="121"/>
      <c r="AQ355" s="121"/>
      <c r="AR355" s="121"/>
      <c r="AS355" s="121"/>
      <c r="AT355" s="121"/>
      <c r="AU355" s="121"/>
      <c r="AV355" s="121"/>
      <c r="AW355" s="121"/>
      <c r="AX355" s="121"/>
      <c r="AY355" s="121"/>
      <c r="AZ355" s="121"/>
      <c r="BA355" s="121"/>
      <c r="BB355" s="121"/>
      <c r="BC355" s="121"/>
      <c r="BD355" s="121"/>
      <c r="BE355" s="121"/>
      <c r="BF355" s="121"/>
      <c r="BG355" s="121"/>
      <c r="BH355" s="121"/>
      <c r="BI355" s="121"/>
      <c r="BJ355" s="121"/>
      <c r="BK355" s="121"/>
      <c r="BL355" s="121"/>
      <c r="BM355" s="121"/>
      <c r="BN355" s="121"/>
      <c r="BO355" s="121"/>
      <c r="BP355" s="121"/>
      <c r="BQ355" s="121"/>
      <c r="BR355" s="121"/>
      <c r="BS355" s="121"/>
      <c r="BT355" s="121"/>
      <c r="BU355" s="121"/>
    </row>
    <row r="356" spans="1:73" x14ac:dyDescent="0.15">
      <c r="A356" s="109"/>
      <c r="B356" s="109"/>
      <c r="C356" s="12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0"/>
      <c r="AK356" s="90"/>
      <c r="AL356" s="90"/>
      <c r="AM356" s="121"/>
      <c r="AN356" s="121"/>
      <c r="AO356" s="121"/>
      <c r="AP356" s="121"/>
      <c r="AQ356" s="121"/>
      <c r="AR356" s="121"/>
      <c r="AS356" s="121"/>
      <c r="AT356" s="121"/>
      <c r="AU356" s="121"/>
      <c r="AV356" s="121"/>
      <c r="AW356" s="121"/>
      <c r="AX356" s="121"/>
      <c r="AY356" s="121"/>
      <c r="AZ356" s="121"/>
      <c r="BA356" s="121"/>
      <c r="BB356" s="121"/>
      <c r="BC356" s="121"/>
      <c r="BD356" s="121"/>
      <c r="BE356" s="121"/>
      <c r="BF356" s="121"/>
      <c r="BG356" s="121"/>
      <c r="BH356" s="121"/>
      <c r="BI356" s="121"/>
      <c r="BJ356" s="121"/>
      <c r="BK356" s="121"/>
      <c r="BL356" s="121"/>
      <c r="BM356" s="121"/>
      <c r="BN356" s="121"/>
      <c r="BO356" s="121"/>
      <c r="BP356" s="121"/>
      <c r="BQ356" s="121"/>
      <c r="BR356" s="121"/>
      <c r="BS356" s="121"/>
      <c r="BT356" s="121"/>
      <c r="BU356" s="121"/>
    </row>
    <row r="357" spans="1:73" x14ac:dyDescent="0.15">
      <c r="A357" s="109"/>
      <c r="B357" s="109"/>
      <c r="C357" s="12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0"/>
      <c r="AK357" s="90"/>
      <c r="AL357" s="90"/>
      <c r="AM357" s="121"/>
      <c r="AN357" s="121"/>
      <c r="AO357" s="121"/>
      <c r="AP357" s="121"/>
      <c r="AQ357" s="121"/>
      <c r="AR357" s="121"/>
      <c r="AS357" s="121"/>
      <c r="AT357" s="121"/>
      <c r="AU357" s="121"/>
      <c r="AV357" s="121"/>
      <c r="AW357" s="121"/>
      <c r="AX357" s="121"/>
      <c r="AY357" s="121"/>
      <c r="AZ357" s="121"/>
      <c r="BA357" s="121"/>
      <c r="BB357" s="121"/>
      <c r="BC357" s="121"/>
      <c r="BD357" s="121"/>
      <c r="BE357" s="121"/>
      <c r="BF357" s="121"/>
      <c r="BG357" s="121"/>
      <c r="BH357" s="121"/>
      <c r="BI357" s="121"/>
      <c r="BJ357" s="121"/>
      <c r="BK357" s="121"/>
      <c r="BL357" s="121"/>
      <c r="BM357" s="121"/>
      <c r="BN357" s="121"/>
      <c r="BO357" s="121"/>
      <c r="BP357" s="121"/>
      <c r="BQ357" s="121"/>
      <c r="BR357" s="121"/>
      <c r="BS357" s="121"/>
      <c r="BT357" s="121"/>
      <c r="BU357" s="121"/>
    </row>
    <row r="358" spans="1:73" x14ac:dyDescent="0.15">
      <c r="A358" s="109"/>
      <c r="B358" s="109"/>
      <c r="C358" s="12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0"/>
      <c r="AK358" s="90"/>
      <c r="AL358" s="90"/>
      <c r="AM358" s="121"/>
      <c r="AN358" s="121"/>
      <c r="AO358" s="121"/>
      <c r="AP358" s="121"/>
      <c r="AQ358" s="121"/>
      <c r="AR358" s="121"/>
      <c r="AS358" s="121"/>
      <c r="AT358" s="121"/>
      <c r="AU358" s="121"/>
      <c r="AV358" s="121"/>
      <c r="AW358" s="121"/>
      <c r="AX358" s="121"/>
      <c r="AY358" s="121"/>
      <c r="AZ358" s="121"/>
      <c r="BA358" s="121"/>
      <c r="BB358" s="121"/>
      <c r="BC358" s="121"/>
      <c r="BD358" s="121"/>
      <c r="BE358" s="121"/>
      <c r="BF358" s="121"/>
      <c r="BG358" s="121"/>
      <c r="BH358" s="121"/>
      <c r="BI358" s="121"/>
      <c r="BJ358" s="121"/>
      <c r="BK358" s="121"/>
      <c r="BL358" s="121"/>
      <c r="BM358" s="121"/>
      <c r="BN358" s="121"/>
      <c r="BO358" s="121"/>
      <c r="BP358" s="121"/>
      <c r="BQ358" s="121"/>
      <c r="BR358" s="121"/>
      <c r="BS358" s="121"/>
      <c r="BT358" s="121"/>
      <c r="BU358" s="121"/>
    </row>
    <row r="359" spans="1:73" x14ac:dyDescent="0.15">
      <c r="A359" s="109"/>
      <c r="B359" s="109"/>
      <c r="C359" s="12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0"/>
      <c r="AK359" s="90"/>
      <c r="AL359" s="90"/>
      <c r="AM359" s="121"/>
      <c r="AN359" s="121"/>
      <c r="AO359" s="121"/>
      <c r="AP359" s="121"/>
      <c r="AQ359" s="121"/>
      <c r="AR359" s="121"/>
      <c r="AS359" s="121"/>
      <c r="AT359" s="121"/>
      <c r="AU359" s="121"/>
      <c r="AV359" s="121"/>
      <c r="AW359" s="121"/>
      <c r="AX359" s="121"/>
      <c r="AY359" s="121"/>
      <c r="AZ359" s="121"/>
      <c r="BA359" s="121"/>
      <c r="BB359" s="121"/>
      <c r="BC359" s="121"/>
      <c r="BD359" s="121"/>
      <c r="BE359" s="121"/>
      <c r="BF359" s="121"/>
      <c r="BG359" s="121"/>
      <c r="BH359" s="121"/>
      <c r="BI359" s="121"/>
      <c r="BJ359" s="121"/>
      <c r="BK359" s="121"/>
      <c r="BL359" s="121"/>
      <c r="BM359" s="121"/>
      <c r="BN359" s="121"/>
      <c r="BO359" s="121"/>
      <c r="BP359" s="121"/>
      <c r="BQ359" s="121"/>
      <c r="BR359" s="121"/>
      <c r="BS359" s="121"/>
      <c r="BT359" s="121"/>
      <c r="BU359" s="121"/>
    </row>
    <row r="360" spans="1:73" x14ac:dyDescent="0.15">
      <c r="A360" s="109"/>
      <c r="B360" s="109"/>
      <c r="C360" s="12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0"/>
      <c r="AK360" s="90"/>
      <c r="AL360" s="90"/>
      <c r="AM360" s="121"/>
      <c r="AN360" s="121"/>
      <c r="AO360" s="121"/>
      <c r="AP360" s="121"/>
      <c r="AQ360" s="121"/>
      <c r="AR360" s="121"/>
      <c r="AS360" s="121"/>
      <c r="AT360" s="121"/>
      <c r="AU360" s="121"/>
      <c r="AV360" s="121"/>
      <c r="AW360" s="121"/>
      <c r="AX360" s="121"/>
      <c r="AY360" s="121"/>
      <c r="AZ360" s="121"/>
      <c r="BA360" s="121"/>
      <c r="BB360" s="121"/>
      <c r="BC360" s="121"/>
      <c r="BD360" s="121"/>
      <c r="BE360" s="121"/>
      <c r="BF360" s="121"/>
      <c r="BG360" s="121"/>
      <c r="BH360" s="121"/>
      <c r="BI360" s="121"/>
      <c r="BJ360" s="121"/>
      <c r="BK360" s="121"/>
      <c r="BL360" s="121"/>
      <c r="BM360" s="121"/>
      <c r="BN360" s="121"/>
      <c r="BO360" s="121"/>
      <c r="BP360" s="121"/>
      <c r="BQ360" s="121"/>
      <c r="BR360" s="121"/>
      <c r="BS360" s="121"/>
      <c r="BT360" s="121"/>
      <c r="BU360" s="121"/>
    </row>
    <row r="361" spans="1:73" x14ac:dyDescent="0.15">
      <c r="A361" s="109"/>
      <c r="B361" s="109"/>
      <c r="C361" s="12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0"/>
      <c r="AK361" s="90"/>
      <c r="AL361" s="90"/>
      <c r="AM361" s="121"/>
      <c r="AN361" s="121"/>
      <c r="AO361" s="121"/>
      <c r="AP361" s="121"/>
      <c r="AQ361" s="121"/>
      <c r="AR361" s="121"/>
      <c r="AS361" s="121"/>
      <c r="AT361" s="121"/>
      <c r="AU361" s="121"/>
      <c r="AV361" s="121"/>
      <c r="AW361" s="121"/>
      <c r="AX361" s="121"/>
      <c r="AY361" s="121"/>
      <c r="AZ361" s="121"/>
      <c r="BA361" s="121"/>
      <c r="BB361" s="121"/>
      <c r="BC361" s="121"/>
      <c r="BD361" s="121"/>
      <c r="BE361" s="121"/>
      <c r="BF361" s="121"/>
      <c r="BG361" s="121"/>
      <c r="BH361" s="121"/>
      <c r="BI361" s="121"/>
      <c r="BJ361" s="121"/>
      <c r="BK361" s="121"/>
      <c r="BL361" s="121"/>
      <c r="BM361" s="121"/>
      <c r="BN361" s="121"/>
      <c r="BO361" s="121"/>
      <c r="BP361" s="121"/>
      <c r="BQ361" s="121"/>
      <c r="BR361" s="121"/>
      <c r="BS361" s="121"/>
      <c r="BT361" s="121"/>
      <c r="BU361" s="121"/>
    </row>
    <row r="362" spans="1:73" x14ac:dyDescent="0.15">
      <c r="A362" s="109"/>
      <c r="B362" s="109"/>
      <c r="C362" s="12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0"/>
      <c r="AK362" s="90"/>
      <c r="AL362" s="90"/>
      <c r="AM362" s="121"/>
      <c r="AN362" s="121"/>
      <c r="AO362" s="121"/>
      <c r="AP362" s="121"/>
      <c r="AQ362" s="121"/>
      <c r="AR362" s="121"/>
      <c r="AS362" s="121"/>
      <c r="AT362" s="121"/>
      <c r="AU362" s="121"/>
      <c r="AV362" s="121"/>
      <c r="AW362" s="121"/>
      <c r="AX362" s="121"/>
      <c r="AY362" s="121"/>
      <c r="AZ362" s="121"/>
      <c r="BA362" s="121"/>
      <c r="BB362" s="121"/>
      <c r="BC362" s="121"/>
      <c r="BD362" s="121"/>
      <c r="BE362" s="121"/>
      <c r="BF362" s="121"/>
      <c r="BG362" s="121"/>
      <c r="BH362" s="121"/>
      <c r="BI362" s="121"/>
      <c r="BJ362" s="121"/>
      <c r="BK362" s="121"/>
      <c r="BL362" s="121"/>
      <c r="BM362" s="121"/>
      <c r="BN362" s="121"/>
      <c r="BO362" s="121"/>
      <c r="BP362" s="121"/>
      <c r="BQ362" s="121"/>
      <c r="BR362" s="121"/>
      <c r="BS362" s="121"/>
      <c r="BT362" s="121"/>
      <c r="BU362" s="121"/>
    </row>
    <row r="363" spans="1:73" x14ac:dyDescent="0.15">
      <c r="A363" s="109"/>
      <c r="B363" s="109"/>
      <c r="C363" s="12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0"/>
      <c r="AK363" s="90"/>
      <c r="AL363" s="90"/>
      <c r="AM363" s="121"/>
      <c r="AN363" s="121"/>
      <c r="AO363" s="121"/>
      <c r="AP363" s="121"/>
      <c r="AQ363" s="121"/>
      <c r="AR363" s="121"/>
      <c r="AS363" s="121"/>
      <c r="AT363" s="121"/>
      <c r="AU363" s="121"/>
      <c r="AV363" s="121"/>
      <c r="AW363" s="121"/>
      <c r="AX363" s="121"/>
      <c r="AY363" s="121"/>
      <c r="AZ363" s="121"/>
      <c r="BA363" s="121"/>
      <c r="BB363" s="121"/>
      <c r="BC363" s="121"/>
      <c r="BD363" s="121"/>
      <c r="BE363" s="121"/>
      <c r="BF363" s="121"/>
      <c r="BG363" s="121"/>
      <c r="BH363" s="121"/>
      <c r="BI363" s="121"/>
      <c r="BJ363" s="121"/>
      <c r="BK363" s="121"/>
      <c r="BL363" s="121"/>
      <c r="BM363" s="121"/>
      <c r="BN363" s="121"/>
      <c r="BO363" s="121"/>
      <c r="BP363" s="121"/>
      <c r="BQ363" s="121"/>
      <c r="BR363" s="121"/>
      <c r="BS363" s="121"/>
      <c r="BT363" s="121"/>
      <c r="BU363" s="121"/>
    </row>
    <row r="364" spans="1:73" x14ac:dyDescent="0.15">
      <c r="A364" s="109"/>
      <c r="B364" s="109"/>
      <c r="C364" s="12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0"/>
      <c r="AK364" s="90"/>
      <c r="AL364" s="90"/>
      <c r="AM364" s="121"/>
      <c r="AN364" s="121"/>
      <c r="AO364" s="121"/>
      <c r="AP364" s="121"/>
      <c r="AQ364" s="121"/>
      <c r="AR364" s="121"/>
      <c r="AS364" s="121"/>
      <c r="AT364" s="121"/>
      <c r="AU364" s="121"/>
      <c r="AV364" s="121"/>
      <c r="AW364" s="121"/>
      <c r="AX364" s="121"/>
      <c r="AY364" s="121"/>
      <c r="AZ364" s="121"/>
      <c r="BA364" s="121"/>
      <c r="BB364" s="121"/>
      <c r="BC364" s="121"/>
      <c r="BD364" s="121"/>
      <c r="BE364" s="121"/>
      <c r="BF364" s="121"/>
      <c r="BG364" s="121"/>
      <c r="BH364" s="121"/>
      <c r="BI364" s="121"/>
      <c r="BJ364" s="121"/>
      <c r="BK364" s="121"/>
      <c r="BL364" s="121"/>
      <c r="BM364" s="121"/>
      <c r="BN364" s="121"/>
      <c r="BO364" s="121"/>
      <c r="BP364" s="121"/>
      <c r="BQ364" s="121"/>
      <c r="BR364" s="121"/>
      <c r="BS364" s="121"/>
      <c r="BT364" s="121"/>
      <c r="BU364" s="121"/>
    </row>
    <row r="365" spans="1:73" x14ac:dyDescent="0.15">
      <c r="A365" s="109"/>
      <c r="B365" s="109"/>
      <c r="C365" s="12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0"/>
      <c r="AK365" s="90"/>
      <c r="AL365" s="90"/>
      <c r="AM365" s="121"/>
      <c r="AN365" s="121"/>
      <c r="AO365" s="121"/>
      <c r="AP365" s="121"/>
      <c r="AQ365" s="121"/>
      <c r="AR365" s="121"/>
      <c r="AS365" s="121"/>
      <c r="AT365" s="121"/>
      <c r="AU365" s="121"/>
      <c r="AV365" s="121"/>
      <c r="AW365" s="121"/>
      <c r="AX365" s="121"/>
      <c r="AY365" s="121"/>
      <c r="AZ365" s="121"/>
      <c r="BA365" s="121"/>
      <c r="BB365" s="121"/>
      <c r="BC365" s="121"/>
      <c r="BD365" s="121"/>
      <c r="BE365" s="121"/>
      <c r="BF365" s="121"/>
      <c r="BG365" s="121"/>
      <c r="BH365" s="121"/>
      <c r="BI365" s="121"/>
      <c r="BJ365" s="121"/>
      <c r="BK365" s="121"/>
      <c r="BL365" s="121"/>
      <c r="BM365" s="121"/>
      <c r="BN365" s="121"/>
      <c r="BO365" s="121"/>
      <c r="BP365" s="121"/>
      <c r="BQ365" s="121"/>
      <c r="BR365" s="121"/>
      <c r="BS365" s="121"/>
      <c r="BT365" s="121"/>
      <c r="BU365" s="121"/>
    </row>
    <row r="366" spans="1:73" x14ac:dyDescent="0.15">
      <c r="A366" s="109"/>
      <c r="B366" s="109"/>
      <c r="C366" s="12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0"/>
      <c r="AK366" s="90"/>
      <c r="AL366" s="90"/>
      <c r="AM366" s="121"/>
      <c r="AN366" s="121"/>
      <c r="AO366" s="121"/>
      <c r="AP366" s="121"/>
      <c r="AQ366" s="121"/>
      <c r="AR366" s="121"/>
      <c r="AS366" s="121"/>
      <c r="AT366" s="121"/>
      <c r="AU366" s="121"/>
      <c r="AV366" s="121"/>
      <c r="AW366" s="121"/>
      <c r="AX366" s="121"/>
      <c r="AY366" s="121"/>
      <c r="AZ366" s="121"/>
      <c r="BA366" s="121"/>
      <c r="BB366" s="121"/>
      <c r="BC366" s="121"/>
      <c r="BD366" s="121"/>
      <c r="BE366" s="121"/>
      <c r="BF366" s="121"/>
      <c r="BG366" s="121"/>
      <c r="BH366" s="121"/>
      <c r="BI366" s="121"/>
      <c r="BJ366" s="121"/>
      <c r="BK366" s="121"/>
      <c r="BL366" s="121"/>
      <c r="BM366" s="121"/>
      <c r="BN366" s="121"/>
      <c r="BO366" s="121"/>
      <c r="BP366" s="121"/>
      <c r="BQ366" s="121"/>
      <c r="BR366" s="121"/>
      <c r="BS366" s="121"/>
      <c r="BT366" s="121"/>
      <c r="BU366" s="121"/>
    </row>
    <row r="367" spans="1:73" x14ac:dyDescent="0.15">
      <c r="A367" s="109"/>
      <c r="B367" s="109"/>
      <c r="C367" s="12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0"/>
      <c r="AK367" s="90"/>
      <c r="AL367" s="90"/>
      <c r="AM367" s="121"/>
      <c r="AN367" s="121"/>
      <c r="AO367" s="121"/>
      <c r="AP367" s="121"/>
      <c r="AQ367" s="121"/>
      <c r="AR367" s="121"/>
      <c r="AS367" s="121"/>
      <c r="AT367" s="121"/>
      <c r="AU367" s="121"/>
      <c r="AV367" s="121"/>
      <c r="AW367" s="121"/>
      <c r="AX367" s="121"/>
      <c r="AY367" s="121"/>
      <c r="AZ367" s="121"/>
      <c r="BA367" s="121"/>
      <c r="BB367" s="121"/>
      <c r="BC367" s="121"/>
      <c r="BD367" s="121"/>
      <c r="BE367" s="121"/>
      <c r="BF367" s="121"/>
      <c r="BG367" s="121"/>
      <c r="BH367" s="121"/>
      <c r="BI367" s="121"/>
      <c r="BJ367" s="121"/>
      <c r="BK367" s="121"/>
      <c r="BL367" s="121"/>
      <c r="BM367" s="121"/>
      <c r="BN367" s="121"/>
      <c r="BO367" s="121"/>
      <c r="BP367" s="121"/>
      <c r="BQ367" s="121"/>
      <c r="BR367" s="121"/>
      <c r="BS367" s="121"/>
      <c r="BT367" s="121"/>
      <c r="BU367" s="121"/>
    </row>
    <row r="368" spans="1:73" x14ac:dyDescent="0.15">
      <c r="A368" s="109"/>
      <c r="B368" s="109"/>
      <c r="C368" s="12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0"/>
      <c r="AK368" s="90"/>
      <c r="AL368" s="90"/>
      <c r="AM368" s="121"/>
      <c r="AN368" s="121"/>
      <c r="AO368" s="121"/>
      <c r="AP368" s="121"/>
      <c r="AQ368" s="121"/>
      <c r="AR368" s="121"/>
      <c r="AS368" s="121"/>
      <c r="AT368" s="121"/>
      <c r="AU368" s="121"/>
      <c r="AV368" s="121"/>
      <c r="AW368" s="121"/>
      <c r="AX368" s="121"/>
      <c r="AY368" s="121"/>
      <c r="AZ368" s="121"/>
      <c r="BA368" s="121"/>
      <c r="BB368" s="121"/>
      <c r="BC368" s="121"/>
      <c r="BD368" s="121"/>
      <c r="BE368" s="121"/>
      <c r="BF368" s="121"/>
      <c r="BG368" s="121"/>
      <c r="BH368" s="121"/>
      <c r="BI368" s="121"/>
      <c r="BJ368" s="121"/>
      <c r="BK368" s="121"/>
      <c r="BL368" s="121"/>
      <c r="BM368" s="121"/>
      <c r="BN368" s="121"/>
      <c r="BO368" s="121"/>
      <c r="BP368" s="121"/>
      <c r="BQ368" s="121"/>
      <c r="BR368" s="121"/>
      <c r="BS368" s="121"/>
      <c r="BT368" s="121"/>
      <c r="BU368" s="121"/>
    </row>
    <row r="369" spans="1:73" x14ac:dyDescent="0.15">
      <c r="A369" s="109"/>
      <c r="B369" s="109"/>
      <c r="C369" s="12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0"/>
      <c r="AK369" s="90"/>
      <c r="AL369" s="90"/>
      <c r="AM369" s="121"/>
      <c r="AN369" s="121"/>
      <c r="AO369" s="121"/>
      <c r="AP369" s="121"/>
      <c r="AQ369" s="121"/>
      <c r="AR369" s="121"/>
      <c r="AS369" s="121"/>
      <c r="AT369" s="121"/>
      <c r="AU369" s="121"/>
      <c r="AV369" s="121"/>
      <c r="AW369" s="121"/>
      <c r="AX369" s="121"/>
      <c r="AY369" s="121"/>
      <c r="AZ369" s="121"/>
      <c r="BA369" s="121"/>
      <c r="BB369" s="121"/>
      <c r="BC369" s="121"/>
      <c r="BD369" s="121"/>
      <c r="BE369" s="121"/>
      <c r="BF369" s="121"/>
      <c r="BG369" s="121"/>
      <c r="BH369" s="121"/>
      <c r="BI369" s="121"/>
      <c r="BJ369" s="121"/>
      <c r="BK369" s="121"/>
      <c r="BL369" s="121"/>
      <c r="BM369" s="121"/>
      <c r="BN369" s="121"/>
      <c r="BO369" s="121"/>
      <c r="BP369" s="121"/>
      <c r="BQ369" s="121"/>
      <c r="BR369" s="121"/>
      <c r="BS369" s="121"/>
      <c r="BT369" s="121"/>
      <c r="BU369" s="121"/>
    </row>
    <row r="370" spans="1:73" x14ac:dyDescent="0.15">
      <c r="A370" s="109"/>
      <c r="B370" s="109"/>
      <c r="C370" s="12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0"/>
      <c r="AK370" s="90"/>
      <c r="AL370" s="90"/>
      <c r="AM370" s="121"/>
      <c r="AN370" s="121"/>
      <c r="AO370" s="121"/>
      <c r="AP370" s="121"/>
      <c r="AQ370" s="121"/>
      <c r="AR370" s="121"/>
      <c r="AS370" s="121"/>
      <c r="AT370" s="121"/>
      <c r="AU370" s="121"/>
      <c r="AV370" s="121"/>
      <c r="AW370" s="121"/>
      <c r="AX370" s="121"/>
      <c r="AY370" s="121"/>
      <c r="AZ370" s="121"/>
      <c r="BA370" s="121"/>
      <c r="BB370" s="121"/>
      <c r="BC370" s="121"/>
      <c r="BD370" s="121"/>
      <c r="BE370" s="121"/>
      <c r="BF370" s="121"/>
      <c r="BG370" s="121"/>
      <c r="BH370" s="121"/>
      <c r="BI370" s="121"/>
      <c r="BJ370" s="121"/>
      <c r="BK370" s="121"/>
      <c r="BL370" s="121"/>
      <c r="BM370" s="121"/>
      <c r="BN370" s="121"/>
      <c r="BO370" s="121"/>
      <c r="BP370" s="121"/>
      <c r="BQ370" s="121"/>
      <c r="BR370" s="121"/>
      <c r="BS370" s="121"/>
      <c r="BT370" s="121"/>
      <c r="BU370" s="121"/>
    </row>
    <row r="371" spans="1:73" x14ac:dyDescent="0.15">
      <c r="A371" s="109"/>
      <c r="B371" s="109"/>
      <c r="C371" s="12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0"/>
      <c r="AK371" s="90"/>
      <c r="AL371" s="90"/>
      <c r="AM371" s="121"/>
      <c r="AN371" s="121"/>
      <c r="AO371" s="121"/>
      <c r="AP371" s="121"/>
      <c r="AQ371" s="121"/>
      <c r="AR371" s="121"/>
      <c r="AS371" s="121"/>
      <c r="AT371" s="121"/>
      <c r="AU371" s="121"/>
      <c r="AV371" s="121"/>
      <c r="AW371" s="121"/>
      <c r="AX371" s="121"/>
      <c r="AY371" s="121"/>
      <c r="AZ371" s="121"/>
      <c r="BA371" s="121"/>
      <c r="BB371" s="121"/>
      <c r="BC371" s="121"/>
      <c r="BD371" s="121"/>
      <c r="BE371" s="121"/>
      <c r="BF371" s="121"/>
      <c r="BG371" s="121"/>
      <c r="BH371" s="121"/>
      <c r="BI371" s="121"/>
      <c r="BJ371" s="121"/>
      <c r="BK371" s="121"/>
      <c r="BL371" s="121"/>
      <c r="BM371" s="121"/>
      <c r="BN371" s="121"/>
      <c r="BO371" s="121"/>
      <c r="BP371" s="121"/>
      <c r="BQ371" s="121"/>
      <c r="BR371" s="121"/>
      <c r="BS371" s="121"/>
      <c r="BT371" s="121"/>
      <c r="BU371" s="121"/>
    </row>
    <row r="372" spans="1:73" x14ac:dyDescent="0.15">
      <c r="A372" s="109"/>
      <c r="B372" s="109"/>
      <c r="C372" s="12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0"/>
      <c r="AK372" s="90"/>
      <c r="AL372" s="90"/>
      <c r="AM372" s="121"/>
      <c r="AN372" s="121"/>
      <c r="AO372" s="121"/>
      <c r="AP372" s="121"/>
      <c r="AQ372" s="121"/>
      <c r="AR372" s="121"/>
      <c r="AS372" s="121"/>
      <c r="AT372" s="121"/>
      <c r="AU372" s="121"/>
      <c r="AV372" s="121"/>
      <c r="AW372" s="121"/>
      <c r="AX372" s="121"/>
      <c r="AY372" s="121"/>
      <c r="AZ372" s="121"/>
      <c r="BA372" s="121"/>
      <c r="BB372" s="121"/>
      <c r="BC372" s="121"/>
      <c r="BD372" s="121"/>
      <c r="BE372" s="121"/>
      <c r="BF372" s="121"/>
      <c r="BG372" s="121"/>
      <c r="BH372" s="121"/>
      <c r="BI372" s="121"/>
      <c r="BJ372" s="121"/>
      <c r="BK372" s="121"/>
      <c r="BL372" s="121"/>
      <c r="BM372" s="121"/>
      <c r="BN372" s="121"/>
      <c r="BO372" s="121"/>
      <c r="BP372" s="121"/>
      <c r="BQ372" s="121"/>
      <c r="BR372" s="121"/>
      <c r="BS372" s="121"/>
      <c r="BT372" s="121"/>
      <c r="BU372" s="121"/>
    </row>
    <row r="373" spans="1:73" x14ac:dyDescent="0.15">
      <c r="A373" s="109"/>
      <c r="B373" s="109"/>
      <c r="C373" s="12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0"/>
      <c r="AK373" s="90"/>
      <c r="AL373" s="90"/>
      <c r="AM373" s="121"/>
      <c r="AN373" s="121"/>
      <c r="AO373" s="121"/>
      <c r="AP373" s="121"/>
      <c r="AQ373" s="121"/>
      <c r="AR373" s="121"/>
      <c r="AS373" s="121"/>
      <c r="AT373" s="121"/>
      <c r="AU373" s="121"/>
      <c r="AV373" s="121"/>
      <c r="AW373" s="121"/>
      <c r="AX373" s="121"/>
      <c r="AY373" s="121"/>
      <c r="AZ373" s="121"/>
      <c r="BA373" s="121"/>
      <c r="BB373" s="121"/>
      <c r="BC373" s="121"/>
      <c r="BD373" s="121"/>
      <c r="BE373" s="121"/>
      <c r="BF373" s="121"/>
      <c r="BG373" s="121"/>
      <c r="BH373" s="121"/>
      <c r="BI373" s="121"/>
      <c r="BJ373" s="121"/>
      <c r="BK373" s="121"/>
      <c r="BL373" s="121"/>
      <c r="BM373" s="121"/>
      <c r="BN373" s="121"/>
      <c r="BO373" s="121"/>
      <c r="BP373" s="121"/>
      <c r="BQ373" s="121"/>
      <c r="BR373" s="121"/>
      <c r="BS373" s="121"/>
      <c r="BT373" s="121"/>
      <c r="BU373" s="121"/>
    </row>
    <row r="374" spans="1:73" x14ac:dyDescent="0.15">
      <c r="A374" s="109"/>
      <c r="B374" s="109"/>
      <c r="C374" s="12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0"/>
      <c r="AK374" s="90"/>
      <c r="AL374" s="90"/>
      <c r="AM374" s="121"/>
      <c r="AN374" s="121"/>
      <c r="AO374" s="121"/>
      <c r="AP374" s="121"/>
      <c r="AQ374" s="121"/>
      <c r="AR374" s="121"/>
      <c r="AS374" s="121"/>
      <c r="AT374" s="121"/>
      <c r="AU374" s="121"/>
      <c r="AV374" s="121"/>
      <c r="AW374" s="121"/>
      <c r="AX374" s="121"/>
      <c r="AY374" s="121"/>
      <c r="AZ374" s="121"/>
      <c r="BA374" s="121"/>
      <c r="BB374" s="121"/>
      <c r="BC374" s="121"/>
      <c r="BD374" s="121"/>
      <c r="BE374" s="121"/>
      <c r="BF374" s="121"/>
      <c r="BG374" s="121"/>
      <c r="BH374" s="121"/>
      <c r="BI374" s="121"/>
      <c r="BJ374" s="121"/>
      <c r="BK374" s="121"/>
      <c r="BL374" s="121"/>
      <c r="BM374" s="121"/>
      <c r="BN374" s="121"/>
      <c r="BO374" s="121"/>
      <c r="BP374" s="121"/>
      <c r="BQ374" s="121"/>
      <c r="BR374" s="121"/>
      <c r="BS374" s="121"/>
      <c r="BT374" s="121"/>
      <c r="BU374" s="121"/>
    </row>
    <row r="375" spans="1:73" x14ac:dyDescent="0.15">
      <c r="A375" s="109"/>
      <c r="B375" s="109"/>
      <c r="C375" s="12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0"/>
      <c r="AK375" s="90"/>
      <c r="AL375" s="90"/>
      <c r="AM375" s="121"/>
      <c r="AN375" s="121"/>
      <c r="AO375" s="121"/>
      <c r="AP375" s="121"/>
      <c r="AQ375" s="121"/>
      <c r="AR375" s="121"/>
      <c r="AS375" s="121"/>
      <c r="AT375" s="121"/>
      <c r="AU375" s="121"/>
      <c r="AV375" s="121"/>
      <c r="AW375" s="121"/>
      <c r="AX375" s="121"/>
      <c r="AY375" s="121"/>
      <c r="AZ375" s="121"/>
      <c r="BA375" s="121"/>
      <c r="BB375" s="121"/>
      <c r="BC375" s="121"/>
      <c r="BD375" s="121"/>
      <c r="BE375" s="121"/>
      <c r="BF375" s="121"/>
      <c r="BG375" s="121"/>
      <c r="BH375" s="121"/>
      <c r="BI375" s="121"/>
      <c r="BJ375" s="121"/>
      <c r="BK375" s="121"/>
      <c r="BL375" s="121"/>
      <c r="BM375" s="121"/>
      <c r="BN375" s="121"/>
      <c r="BO375" s="121"/>
      <c r="BP375" s="121"/>
      <c r="BQ375" s="121"/>
      <c r="BR375" s="121"/>
      <c r="BS375" s="121"/>
      <c r="BT375" s="121"/>
      <c r="BU375" s="121"/>
    </row>
    <row r="376" spans="1:73" x14ac:dyDescent="0.15">
      <c r="A376" s="109"/>
      <c r="B376" s="109"/>
      <c r="C376" s="12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0"/>
      <c r="AK376" s="90"/>
      <c r="AL376" s="90"/>
      <c r="AM376" s="121"/>
      <c r="AN376" s="121"/>
      <c r="AO376" s="121"/>
      <c r="AP376" s="121"/>
      <c r="AQ376" s="121"/>
      <c r="AR376" s="121"/>
      <c r="AS376" s="121"/>
      <c r="AT376" s="121"/>
      <c r="AU376" s="121"/>
      <c r="AV376" s="121"/>
      <c r="AW376" s="121"/>
      <c r="AX376" s="121"/>
      <c r="AY376" s="121"/>
      <c r="AZ376" s="121"/>
      <c r="BA376" s="121"/>
      <c r="BB376" s="121"/>
      <c r="BC376" s="121"/>
      <c r="BD376" s="121"/>
      <c r="BE376" s="121"/>
      <c r="BF376" s="121"/>
      <c r="BG376" s="121"/>
      <c r="BH376" s="121"/>
      <c r="BI376" s="121"/>
      <c r="BJ376" s="121"/>
      <c r="BK376" s="121"/>
      <c r="BL376" s="121"/>
      <c r="BM376" s="121"/>
      <c r="BN376" s="121"/>
      <c r="BO376" s="121"/>
      <c r="BP376" s="121"/>
      <c r="BQ376" s="121"/>
      <c r="BR376" s="121"/>
      <c r="BS376" s="121"/>
      <c r="BT376" s="121"/>
      <c r="BU376" s="121"/>
    </row>
    <row r="377" spans="1:73" x14ac:dyDescent="0.15">
      <c r="A377" s="109"/>
      <c r="B377" s="109"/>
      <c r="C377" s="12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0"/>
      <c r="AK377" s="90"/>
      <c r="AL377" s="90"/>
      <c r="AM377" s="121"/>
      <c r="AN377" s="121"/>
      <c r="AO377" s="121"/>
      <c r="AP377" s="121"/>
      <c r="AQ377" s="121"/>
      <c r="AR377" s="121"/>
      <c r="AS377" s="121"/>
      <c r="AT377" s="121"/>
      <c r="AU377" s="121"/>
      <c r="AV377" s="121"/>
      <c r="AW377" s="121"/>
      <c r="AX377" s="121"/>
      <c r="AY377" s="121"/>
      <c r="AZ377" s="121"/>
      <c r="BA377" s="121"/>
      <c r="BB377" s="121"/>
      <c r="BC377" s="121"/>
      <c r="BD377" s="121"/>
      <c r="BE377" s="121"/>
      <c r="BF377" s="121"/>
      <c r="BG377" s="121"/>
      <c r="BH377" s="121"/>
      <c r="BI377" s="121"/>
      <c r="BJ377" s="121"/>
      <c r="BK377" s="121"/>
      <c r="BL377" s="121"/>
      <c r="BM377" s="121"/>
      <c r="BN377" s="121"/>
      <c r="BO377" s="121"/>
      <c r="BP377" s="121"/>
      <c r="BQ377" s="121"/>
      <c r="BR377" s="121"/>
      <c r="BS377" s="121"/>
      <c r="BT377" s="121"/>
      <c r="BU377" s="121"/>
    </row>
    <row r="378" spans="1:73" x14ac:dyDescent="0.15">
      <c r="A378" s="109"/>
      <c r="B378" s="109"/>
      <c r="C378" s="12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0"/>
      <c r="AK378" s="90"/>
      <c r="AL378" s="90"/>
      <c r="AM378" s="121"/>
      <c r="AN378" s="121"/>
      <c r="AO378" s="121"/>
      <c r="AP378" s="121"/>
      <c r="AQ378" s="121"/>
      <c r="AR378" s="121"/>
      <c r="AS378" s="121"/>
      <c r="AT378" s="121"/>
      <c r="AU378" s="121"/>
      <c r="AV378" s="121"/>
      <c r="AW378" s="121"/>
      <c r="AX378" s="121"/>
      <c r="AY378" s="121"/>
      <c r="AZ378" s="121"/>
      <c r="BA378" s="121"/>
      <c r="BB378" s="121"/>
      <c r="BC378" s="121"/>
      <c r="BD378" s="121"/>
      <c r="BE378" s="121"/>
      <c r="BF378" s="121"/>
      <c r="BG378" s="121"/>
      <c r="BH378" s="121"/>
      <c r="BI378" s="121"/>
      <c r="BJ378" s="121"/>
      <c r="BK378" s="121"/>
      <c r="BL378" s="121"/>
      <c r="BM378" s="121"/>
      <c r="BN378" s="121"/>
      <c r="BO378" s="121"/>
      <c r="BP378" s="121"/>
      <c r="BQ378" s="121"/>
      <c r="BR378" s="121"/>
      <c r="BS378" s="121"/>
      <c r="BT378" s="121"/>
      <c r="BU378" s="121"/>
    </row>
    <row r="379" spans="1:73" x14ac:dyDescent="0.15">
      <c r="A379" s="109"/>
      <c r="B379" s="109"/>
      <c r="C379" s="12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0"/>
      <c r="AK379" s="90"/>
      <c r="AL379" s="90"/>
      <c r="AM379" s="121"/>
      <c r="AN379" s="121"/>
      <c r="AO379" s="121"/>
      <c r="AP379" s="121"/>
      <c r="AQ379" s="121"/>
      <c r="AR379" s="121"/>
      <c r="AS379" s="121"/>
      <c r="AT379" s="121"/>
      <c r="AU379" s="121"/>
      <c r="AV379" s="121"/>
      <c r="AW379" s="121"/>
      <c r="AX379" s="121"/>
      <c r="AY379" s="121"/>
      <c r="AZ379" s="121"/>
      <c r="BA379" s="121"/>
      <c r="BB379" s="121"/>
      <c r="BC379" s="121"/>
      <c r="BD379" s="121"/>
      <c r="BE379" s="121"/>
      <c r="BF379" s="121"/>
      <c r="BG379" s="121"/>
      <c r="BH379" s="121"/>
      <c r="BI379" s="121"/>
      <c r="BJ379" s="121"/>
      <c r="BK379" s="121"/>
      <c r="BL379" s="121"/>
      <c r="BM379" s="121"/>
      <c r="BN379" s="121"/>
      <c r="BO379" s="121"/>
      <c r="BP379" s="121"/>
      <c r="BQ379" s="121"/>
      <c r="BR379" s="121"/>
      <c r="BS379" s="121"/>
      <c r="BT379" s="121"/>
      <c r="BU379" s="121"/>
    </row>
    <row r="380" spans="1:73" x14ac:dyDescent="0.15">
      <c r="A380" s="109"/>
      <c r="B380" s="109"/>
      <c r="C380" s="12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0"/>
      <c r="AK380" s="90"/>
      <c r="AL380" s="90"/>
      <c r="AM380" s="121"/>
      <c r="AN380" s="121"/>
      <c r="AO380" s="121"/>
      <c r="AP380" s="121"/>
      <c r="AQ380" s="121"/>
      <c r="AR380" s="121"/>
      <c r="AS380" s="121"/>
      <c r="AT380" s="121"/>
      <c r="AU380" s="121"/>
      <c r="AV380" s="121"/>
      <c r="AW380" s="121"/>
      <c r="AX380" s="121"/>
      <c r="AY380" s="121"/>
      <c r="AZ380" s="121"/>
      <c r="BA380" s="121"/>
      <c r="BB380" s="121"/>
      <c r="BC380" s="121"/>
      <c r="BD380" s="121"/>
      <c r="BE380" s="121"/>
      <c r="BF380" s="121"/>
      <c r="BG380" s="121"/>
      <c r="BH380" s="121"/>
      <c r="BI380" s="121"/>
      <c r="BJ380" s="121"/>
      <c r="BK380" s="121"/>
      <c r="BL380" s="121"/>
      <c r="BM380" s="121"/>
      <c r="BN380" s="121"/>
      <c r="BO380" s="121"/>
      <c r="BP380" s="121"/>
      <c r="BQ380" s="121"/>
      <c r="BR380" s="121"/>
      <c r="BS380" s="121"/>
      <c r="BT380" s="121"/>
      <c r="BU380" s="121"/>
    </row>
    <row r="381" spans="1:73" x14ac:dyDescent="0.15">
      <c r="A381" s="109"/>
      <c r="B381" s="109"/>
      <c r="C381" s="12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0"/>
      <c r="AK381" s="90"/>
      <c r="AL381" s="90"/>
      <c r="AM381" s="121"/>
      <c r="AN381" s="121"/>
      <c r="AO381" s="121"/>
      <c r="AP381" s="121"/>
      <c r="AQ381" s="121"/>
      <c r="AR381" s="121"/>
      <c r="AS381" s="121"/>
      <c r="AT381" s="121"/>
      <c r="AU381" s="121"/>
      <c r="AV381" s="121"/>
      <c r="AW381" s="121"/>
      <c r="AX381" s="121"/>
      <c r="AY381" s="121"/>
      <c r="AZ381" s="121"/>
      <c r="BA381" s="121"/>
      <c r="BB381" s="121"/>
      <c r="BC381" s="121"/>
      <c r="BD381" s="121"/>
      <c r="BE381" s="121"/>
      <c r="BF381" s="121"/>
      <c r="BG381" s="121"/>
      <c r="BH381" s="121"/>
      <c r="BI381" s="121"/>
      <c r="BJ381" s="121"/>
      <c r="BK381" s="121"/>
      <c r="BL381" s="121"/>
      <c r="BM381" s="121"/>
      <c r="BN381" s="121"/>
      <c r="BO381" s="121"/>
      <c r="BP381" s="121"/>
      <c r="BQ381" s="121"/>
      <c r="BR381" s="121"/>
      <c r="BS381" s="121"/>
      <c r="BT381" s="121"/>
      <c r="BU381" s="121"/>
    </row>
    <row r="382" spans="1:73" x14ac:dyDescent="0.15">
      <c r="A382" s="109"/>
      <c r="B382" s="109"/>
      <c r="C382" s="12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0"/>
      <c r="AK382" s="90"/>
      <c r="AL382" s="90"/>
      <c r="AM382" s="121"/>
      <c r="AN382" s="121"/>
      <c r="AO382" s="121"/>
      <c r="AP382" s="121"/>
      <c r="AQ382" s="121"/>
      <c r="AR382" s="121"/>
      <c r="AS382" s="121"/>
      <c r="AT382" s="121"/>
      <c r="AU382" s="121"/>
      <c r="AV382" s="121"/>
      <c r="AW382" s="121"/>
      <c r="AX382" s="121"/>
      <c r="AY382" s="121"/>
      <c r="AZ382" s="121"/>
      <c r="BA382" s="121"/>
      <c r="BB382" s="121"/>
      <c r="BC382" s="121"/>
      <c r="BD382" s="121"/>
      <c r="BE382" s="121"/>
      <c r="BF382" s="121"/>
      <c r="BG382" s="121"/>
      <c r="BH382" s="121"/>
      <c r="BI382" s="121"/>
      <c r="BJ382" s="121"/>
      <c r="BK382" s="121"/>
      <c r="BL382" s="121"/>
      <c r="BM382" s="121"/>
      <c r="BN382" s="121"/>
      <c r="BO382" s="121"/>
      <c r="BP382" s="121"/>
      <c r="BQ382" s="121"/>
      <c r="BR382" s="121"/>
      <c r="BS382" s="121"/>
      <c r="BT382" s="121"/>
      <c r="BU382" s="121"/>
    </row>
    <row r="383" spans="1:73" x14ac:dyDescent="0.15">
      <c r="A383" s="109"/>
      <c r="B383" s="109"/>
      <c r="C383" s="12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0"/>
      <c r="AK383" s="90"/>
      <c r="AL383" s="90"/>
      <c r="AM383" s="121"/>
      <c r="AN383" s="121"/>
      <c r="AO383" s="121"/>
      <c r="AP383" s="121"/>
      <c r="AQ383" s="121"/>
      <c r="AR383" s="121"/>
      <c r="AS383" s="121"/>
      <c r="AT383" s="121"/>
      <c r="AU383" s="121"/>
      <c r="AV383" s="121"/>
      <c r="AW383" s="121"/>
      <c r="AX383" s="121"/>
      <c r="AY383" s="121"/>
      <c r="AZ383" s="121"/>
      <c r="BA383" s="121"/>
      <c r="BB383" s="121"/>
      <c r="BC383" s="121"/>
      <c r="BD383" s="121"/>
      <c r="BE383" s="121"/>
      <c r="BF383" s="121"/>
      <c r="BG383" s="121"/>
      <c r="BH383" s="121"/>
      <c r="BI383" s="121"/>
      <c r="BJ383" s="121"/>
      <c r="BK383" s="121"/>
      <c r="BL383" s="121"/>
      <c r="BM383" s="121"/>
      <c r="BN383" s="121"/>
      <c r="BO383" s="121"/>
      <c r="BP383" s="121"/>
      <c r="BQ383" s="121"/>
      <c r="BR383" s="121"/>
      <c r="BS383" s="121"/>
      <c r="BT383" s="121"/>
      <c r="BU383" s="121"/>
    </row>
    <row r="384" spans="1:73" x14ac:dyDescent="0.15">
      <c r="A384" s="109"/>
      <c r="B384" s="109"/>
      <c r="C384" s="12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0"/>
      <c r="AK384" s="90"/>
      <c r="AL384" s="90"/>
      <c r="AM384" s="121"/>
      <c r="AN384" s="121"/>
      <c r="AO384" s="121"/>
      <c r="AP384" s="121"/>
      <c r="AQ384" s="121"/>
      <c r="AR384" s="121"/>
      <c r="AS384" s="121"/>
      <c r="AT384" s="121"/>
      <c r="AU384" s="121"/>
      <c r="AV384" s="121"/>
      <c r="AW384" s="121"/>
      <c r="AX384" s="121"/>
      <c r="AY384" s="121"/>
      <c r="AZ384" s="121"/>
      <c r="BA384" s="121"/>
      <c r="BB384" s="121"/>
      <c r="BC384" s="121"/>
      <c r="BD384" s="121"/>
      <c r="BE384" s="121"/>
      <c r="BF384" s="121"/>
      <c r="BG384" s="121"/>
      <c r="BH384" s="121"/>
      <c r="BI384" s="121"/>
      <c r="BJ384" s="121"/>
      <c r="BK384" s="121"/>
      <c r="BL384" s="121"/>
      <c r="BM384" s="121"/>
      <c r="BN384" s="121"/>
      <c r="BO384" s="121"/>
      <c r="BP384" s="121"/>
      <c r="BQ384" s="121"/>
      <c r="BR384" s="121"/>
      <c r="BS384" s="121"/>
      <c r="BT384" s="121"/>
      <c r="BU384" s="121"/>
    </row>
    <row r="385" spans="1:73" x14ac:dyDescent="0.15">
      <c r="A385" s="109"/>
      <c r="B385" s="109"/>
      <c r="C385" s="12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0"/>
      <c r="AK385" s="90"/>
      <c r="AL385" s="90"/>
      <c r="AM385" s="121"/>
      <c r="AN385" s="121"/>
      <c r="AO385" s="121"/>
      <c r="AP385" s="121"/>
      <c r="AQ385" s="121"/>
      <c r="AR385" s="121"/>
      <c r="AS385" s="121"/>
      <c r="AT385" s="121"/>
      <c r="AU385" s="121"/>
      <c r="AV385" s="121"/>
      <c r="AW385" s="121"/>
      <c r="AX385" s="121"/>
      <c r="AY385" s="121"/>
      <c r="AZ385" s="121"/>
      <c r="BA385" s="121"/>
      <c r="BB385" s="121"/>
      <c r="BC385" s="121"/>
      <c r="BD385" s="121"/>
      <c r="BE385" s="121"/>
      <c r="BF385" s="121"/>
      <c r="BG385" s="121"/>
      <c r="BH385" s="121"/>
      <c r="BI385" s="121"/>
      <c r="BJ385" s="121"/>
      <c r="BK385" s="121"/>
      <c r="BL385" s="121"/>
      <c r="BM385" s="121"/>
      <c r="BN385" s="121"/>
      <c r="BO385" s="121"/>
      <c r="BP385" s="121"/>
      <c r="BQ385" s="121"/>
      <c r="BR385" s="121"/>
      <c r="BS385" s="121"/>
      <c r="BT385" s="121"/>
      <c r="BU385" s="121"/>
    </row>
    <row r="386" spans="1:73" x14ac:dyDescent="0.15">
      <c r="A386" s="109"/>
      <c r="B386" s="109"/>
      <c r="C386" s="12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0"/>
      <c r="AK386" s="90"/>
      <c r="AL386" s="90"/>
      <c r="AM386" s="121"/>
      <c r="AN386" s="121"/>
      <c r="AO386" s="121"/>
      <c r="AP386" s="121"/>
      <c r="AQ386" s="121"/>
      <c r="AR386" s="121"/>
      <c r="AS386" s="121"/>
      <c r="AT386" s="121"/>
      <c r="AU386" s="121"/>
      <c r="AV386" s="121"/>
      <c r="AW386" s="121"/>
      <c r="AX386" s="121"/>
      <c r="AY386" s="121"/>
      <c r="AZ386" s="121"/>
      <c r="BA386" s="121"/>
      <c r="BB386" s="121"/>
      <c r="BC386" s="121"/>
      <c r="BD386" s="121"/>
      <c r="BE386" s="121"/>
      <c r="BF386" s="121"/>
      <c r="BG386" s="121"/>
      <c r="BH386" s="121"/>
      <c r="BI386" s="121"/>
      <c r="BJ386" s="121"/>
      <c r="BK386" s="121"/>
      <c r="BL386" s="121"/>
      <c r="BM386" s="121"/>
      <c r="BN386" s="121"/>
      <c r="BO386" s="121"/>
      <c r="BP386" s="121"/>
      <c r="BQ386" s="121"/>
      <c r="BR386" s="121"/>
      <c r="BS386" s="121"/>
      <c r="BT386" s="121"/>
      <c r="BU386" s="121"/>
    </row>
    <row r="387" spans="1:73" x14ac:dyDescent="0.15">
      <c r="A387" s="109"/>
      <c r="B387" s="109"/>
      <c r="C387" s="12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0"/>
      <c r="AK387" s="90"/>
      <c r="AL387" s="90"/>
      <c r="AM387" s="121"/>
      <c r="AN387" s="121"/>
      <c r="AO387" s="121"/>
      <c r="AP387" s="121"/>
      <c r="AQ387" s="121"/>
      <c r="AR387" s="121"/>
      <c r="AS387" s="121"/>
      <c r="AT387" s="121"/>
      <c r="AU387" s="121"/>
      <c r="AV387" s="121"/>
      <c r="AW387" s="121"/>
      <c r="AX387" s="121"/>
      <c r="AY387" s="121"/>
      <c r="AZ387" s="121"/>
      <c r="BA387" s="121"/>
      <c r="BB387" s="121"/>
      <c r="BC387" s="121"/>
      <c r="BD387" s="121"/>
      <c r="BE387" s="121"/>
      <c r="BF387" s="121"/>
      <c r="BG387" s="121"/>
      <c r="BH387" s="121"/>
      <c r="BI387" s="121"/>
      <c r="BJ387" s="121"/>
      <c r="BK387" s="121"/>
      <c r="BL387" s="121"/>
      <c r="BM387" s="121"/>
      <c r="BN387" s="121"/>
      <c r="BO387" s="121"/>
      <c r="BP387" s="121"/>
      <c r="BQ387" s="121"/>
      <c r="BR387" s="121"/>
      <c r="BS387" s="121"/>
      <c r="BT387" s="121"/>
      <c r="BU387" s="121"/>
    </row>
    <row r="388" spans="1:73" x14ac:dyDescent="0.15">
      <c r="A388" s="109"/>
      <c r="B388" s="109"/>
      <c r="C388" s="12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0"/>
      <c r="AK388" s="90"/>
      <c r="AL388" s="90"/>
      <c r="AM388" s="121"/>
      <c r="AN388" s="121"/>
      <c r="AO388" s="121"/>
      <c r="AP388" s="121"/>
      <c r="AQ388" s="121"/>
      <c r="AR388" s="121"/>
      <c r="AS388" s="121"/>
      <c r="AT388" s="121"/>
      <c r="AU388" s="121"/>
      <c r="AV388" s="121"/>
      <c r="AW388" s="121"/>
      <c r="AX388" s="121"/>
      <c r="AY388" s="121"/>
      <c r="AZ388" s="121"/>
      <c r="BA388" s="121"/>
      <c r="BB388" s="121"/>
      <c r="BC388" s="121"/>
      <c r="BD388" s="121"/>
      <c r="BE388" s="121"/>
      <c r="BF388" s="121"/>
      <c r="BG388" s="121"/>
      <c r="BH388" s="121"/>
      <c r="BI388" s="121"/>
      <c r="BJ388" s="121"/>
      <c r="BK388" s="121"/>
      <c r="BL388" s="121"/>
      <c r="BM388" s="121"/>
      <c r="BN388" s="121"/>
      <c r="BO388" s="121"/>
      <c r="BP388" s="121"/>
      <c r="BQ388" s="121"/>
      <c r="BR388" s="121"/>
      <c r="BS388" s="121"/>
      <c r="BT388" s="121"/>
      <c r="BU388" s="121"/>
    </row>
    <row r="389" spans="1:73" x14ac:dyDescent="0.15">
      <c r="A389" s="109"/>
      <c r="B389" s="109"/>
      <c r="C389" s="12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0"/>
      <c r="AK389" s="90"/>
      <c r="AL389" s="90"/>
      <c r="AM389" s="121"/>
      <c r="AN389" s="121"/>
      <c r="AO389" s="121"/>
      <c r="AP389" s="121"/>
      <c r="AQ389" s="121"/>
      <c r="AR389" s="121"/>
      <c r="AS389" s="121"/>
      <c r="AT389" s="121"/>
      <c r="AU389" s="121"/>
      <c r="AV389" s="121"/>
      <c r="AW389" s="121"/>
      <c r="AX389" s="121"/>
      <c r="AY389" s="121"/>
      <c r="AZ389" s="121"/>
      <c r="BA389" s="121"/>
      <c r="BB389" s="121"/>
      <c r="BC389" s="121"/>
      <c r="BD389" s="121"/>
      <c r="BE389" s="121"/>
      <c r="BF389" s="121"/>
      <c r="BG389" s="121"/>
      <c r="BH389" s="121"/>
      <c r="BI389" s="121"/>
      <c r="BJ389" s="121"/>
      <c r="BK389" s="121"/>
      <c r="BL389" s="121"/>
      <c r="BM389" s="121"/>
      <c r="BN389" s="121"/>
      <c r="BO389" s="121"/>
      <c r="BP389" s="121"/>
      <c r="BQ389" s="121"/>
      <c r="BR389" s="121"/>
      <c r="BS389" s="121"/>
      <c r="BT389" s="121"/>
      <c r="BU389" s="121"/>
    </row>
    <row r="390" spans="1:73" x14ac:dyDescent="0.15">
      <c r="A390" s="109"/>
      <c r="B390" s="109"/>
      <c r="C390" s="12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0"/>
      <c r="AK390" s="90"/>
      <c r="AL390" s="90"/>
      <c r="AM390" s="121"/>
      <c r="AN390" s="121"/>
      <c r="AO390" s="121"/>
      <c r="AP390" s="121"/>
      <c r="AQ390" s="121"/>
      <c r="AR390" s="121"/>
      <c r="AS390" s="121"/>
      <c r="AT390" s="121"/>
      <c r="AU390" s="121"/>
      <c r="AV390" s="121"/>
      <c r="AW390" s="121"/>
      <c r="AX390" s="121"/>
      <c r="AY390" s="121"/>
      <c r="AZ390" s="121"/>
      <c r="BA390" s="121"/>
      <c r="BB390" s="121"/>
      <c r="BC390" s="121"/>
      <c r="BD390" s="121"/>
      <c r="BE390" s="121"/>
      <c r="BF390" s="121"/>
      <c r="BG390" s="121"/>
      <c r="BH390" s="121"/>
      <c r="BI390" s="121"/>
      <c r="BJ390" s="121"/>
      <c r="BK390" s="121"/>
      <c r="BL390" s="121"/>
      <c r="BM390" s="121"/>
      <c r="BN390" s="121"/>
      <c r="BO390" s="121"/>
      <c r="BP390" s="121"/>
      <c r="BQ390" s="121"/>
      <c r="BR390" s="121"/>
      <c r="BS390" s="121"/>
      <c r="BT390" s="121"/>
      <c r="BU390" s="121"/>
    </row>
    <row r="391" spans="1:73" x14ac:dyDescent="0.15">
      <c r="A391" s="109"/>
      <c r="B391" s="109"/>
      <c r="C391" s="12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0"/>
      <c r="AK391" s="90"/>
      <c r="AL391" s="90"/>
      <c r="AM391" s="121"/>
      <c r="AN391" s="121"/>
      <c r="AO391" s="121"/>
      <c r="AP391" s="121"/>
      <c r="AQ391" s="121"/>
      <c r="AR391" s="121"/>
      <c r="AS391" s="121"/>
      <c r="AT391" s="121"/>
      <c r="AU391" s="121"/>
      <c r="AV391" s="121"/>
      <c r="AW391" s="121"/>
      <c r="AX391" s="121"/>
      <c r="AY391" s="121"/>
      <c r="AZ391" s="121"/>
      <c r="BA391" s="121"/>
      <c r="BB391" s="121"/>
      <c r="BC391" s="121"/>
      <c r="BD391" s="121"/>
      <c r="BE391" s="121"/>
      <c r="BF391" s="121"/>
      <c r="BG391" s="121"/>
      <c r="BH391" s="121"/>
      <c r="BI391" s="121"/>
      <c r="BJ391" s="121"/>
      <c r="BK391" s="121"/>
      <c r="BL391" s="121"/>
      <c r="BM391" s="121"/>
      <c r="BN391" s="121"/>
      <c r="BO391" s="121"/>
      <c r="BP391" s="121"/>
      <c r="BQ391" s="121"/>
      <c r="BR391" s="121"/>
      <c r="BS391" s="121"/>
      <c r="BT391" s="121"/>
      <c r="BU391" s="121"/>
    </row>
    <row r="392" spans="1:73" x14ac:dyDescent="0.15">
      <c r="A392" s="109"/>
      <c r="B392" s="109"/>
      <c r="C392" s="12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0"/>
      <c r="AK392" s="90"/>
      <c r="AL392" s="90"/>
      <c r="AM392" s="121"/>
      <c r="AN392" s="121"/>
      <c r="AO392" s="121"/>
      <c r="AP392" s="121"/>
      <c r="AQ392" s="121"/>
      <c r="AR392" s="121"/>
      <c r="AS392" s="121"/>
      <c r="AT392" s="121"/>
      <c r="AU392" s="121"/>
      <c r="AV392" s="121"/>
      <c r="AW392" s="121"/>
      <c r="AX392" s="121"/>
      <c r="AY392" s="121"/>
      <c r="AZ392" s="121"/>
      <c r="BA392" s="121"/>
      <c r="BB392" s="121"/>
      <c r="BC392" s="121"/>
      <c r="BD392" s="121"/>
      <c r="BE392" s="121"/>
      <c r="BF392" s="121"/>
      <c r="BG392" s="121"/>
      <c r="BH392" s="121"/>
      <c r="BI392" s="121"/>
      <c r="BJ392" s="121"/>
      <c r="BK392" s="121"/>
      <c r="BL392" s="121"/>
      <c r="BM392" s="121"/>
      <c r="BN392" s="121"/>
      <c r="BO392" s="121"/>
      <c r="BP392" s="121"/>
      <c r="BQ392" s="121"/>
      <c r="BR392" s="121"/>
      <c r="BS392" s="121"/>
      <c r="BT392" s="121"/>
      <c r="BU392" s="121"/>
    </row>
    <row r="393" spans="1:73" x14ac:dyDescent="0.15">
      <c r="A393" s="109"/>
      <c r="B393" s="109"/>
      <c r="C393" s="12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0"/>
      <c r="AK393" s="90"/>
      <c r="AL393" s="90"/>
      <c r="AM393" s="121"/>
      <c r="AN393" s="121"/>
      <c r="AO393" s="121"/>
      <c r="AP393" s="121"/>
      <c r="AQ393" s="121"/>
      <c r="AR393" s="121"/>
      <c r="AS393" s="121"/>
      <c r="AT393" s="121"/>
      <c r="AU393" s="121"/>
      <c r="AV393" s="121"/>
      <c r="AW393" s="121"/>
      <c r="AX393" s="121"/>
      <c r="AY393" s="121"/>
      <c r="AZ393" s="121"/>
      <c r="BA393" s="121"/>
      <c r="BB393" s="121"/>
      <c r="BC393" s="121"/>
      <c r="BD393" s="121"/>
      <c r="BE393" s="121"/>
      <c r="BF393" s="121"/>
      <c r="BG393" s="121"/>
      <c r="BH393" s="121"/>
      <c r="BI393" s="121"/>
      <c r="BJ393" s="121"/>
      <c r="BK393" s="121"/>
      <c r="BL393" s="121"/>
      <c r="BM393" s="121"/>
      <c r="BN393" s="121"/>
      <c r="BO393" s="121"/>
      <c r="BP393" s="121"/>
      <c r="BQ393" s="121"/>
      <c r="BR393" s="121"/>
      <c r="BS393" s="121"/>
      <c r="BT393" s="121"/>
      <c r="BU393" s="121"/>
    </row>
    <row r="394" spans="1:73" x14ac:dyDescent="0.15">
      <c r="A394" s="109"/>
      <c r="B394" s="109"/>
      <c r="C394" s="12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0"/>
      <c r="AK394" s="90"/>
      <c r="AL394" s="90"/>
      <c r="AM394" s="121"/>
      <c r="AN394" s="121"/>
      <c r="AO394" s="121"/>
      <c r="AP394" s="121"/>
      <c r="AQ394" s="121"/>
      <c r="AR394" s="121"/>
      <c r="AS394" s="121"/>
      <c r="AT394" s="121"/>
      <c r="AU394" s="121"/>
      <c r="AV394" s="121"/>
      <c r="AW394" s="121"/>
      <c r="AX394" s="121"/>
      <c r="AY394" s="121"/>
      <c r="AZ394" s="121"/>
      <c r="BA394" s="121"/>
      <c r="BB394" s="121"/>
      <c r="BC394" s="121"/>
      <c r="BD394" s="121"/>
      <c r="BE394" s="121"/>
      <c r="BF394" s="121"/>
      <c r="BG394" s="121"/>
      <c r="BH394" s="121"/>
      <c r="BI394" s="121"/>
      <c r="BJ394" s="121"/>
      <c r="BK394" s="121"/>
      <c r="BL394" s="121"/>
      <c r="BM394" s="121"/>
      <c r="BN394" s="121"/>
      <c r="BO394" s="121"/>
      <c r="BP394" s="121"/>
      <c r="BQ394" s="121"/>
      <c r="BR394" s="121"/>
      <c r="BS394" s="121"/>
      <c r="BT394" s="121"/>
      <c r="BU394" s="121"/>
    </row>
    <row r="395" spans="1:73" x14ac:dyDescent="0.15">
      <c r="A395" s="109"/>
      <c r="B395" s="109"/>
      <c r="C395" s="12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0"/>
      <c r="AK395" s="90"/>
      <c r="AL395" s="90"/>
      <c r="AM395" s="121"/>
      <c r="AN395" s="121"/>
      <c r="AO395" s="121"/>
      <c r="AP395" s="121"/>
      <c r="AQ395" s="121"/>
      <c r="AR395" s="121"/>
      <c r="AS395" s="121"/>
      <c r="AT395" s="121"/>
      <c r="AU395" s="121"/>
      <c r="AV395" s="121"/>
      <c r="AW395" s="121"/>
      <c r="AX395" s="121"/>
      <c r="AY395" s="121"/>
      <c r="AZ395" s="121"/>
      <c r="BA395" s="121"/>
      <c r="BB395" s="121"/>
      <c r="BC395" s="121"/>
      <c r="BD395" s="121"/>
      <c r="BE395" s="121"/>
      <c r="BF395" s="121"/>
      <c r="BG395" s="121"/>
      <c r="BH395" s="121"/>
      <c r="BI395" s="121"/>
      <c r="BJ395" s="121"/>
      <c r="BK395" s="121"/>
      <c r="BL395" s="121"/>
      <c r="BM395" s="121"/>
      <c r="BN395" s="121"/>
      <c r="BO395" s="121"/>
      <c r="BP395" s="121"/>
      <c r="BQ395" s="121"/>
      <c r="BR395" s="121"/>
      <c r="BS395" s="121"/>
      <c r="BT395" s="121"/>
      <c r="BU395" s="121"/>
    </row>
    <row r="396" spans="1:73" x14ac:dyDescent="0.15">
      <c r="A396" s="109"/>
      <c r="B396" s="109"/>
      <c r="C396" s="12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0"/>
      <c r="AK396" s="90"/>
      <c r="AL396" s="90"/>
      <c r="AM396" s="121"/>
      <c r="AN396" s="121"/>
      <c r="AO396" s="121"/>
      <c r="AP396" s="121"/>
      <c r="AQ396" s="121"/>
      <c r="AR396" s="121"/>
      <c r="AS396" s="121"/>
      <c r="AT396" s="121"/>
      <c r="AU396" s="121"/>
      <c r="AV396" s="121"/>
      <c r="AW396" s="121"/>
      <c r="AX396" s="121"/>
      <c r="AY396" s="121"/>
      <c r="AZ396" s="121"/>
      <c r="BA396" s="121"/>
      <c r="BB396" s="121"/>
      <c r="BC396" s="121"/>
      <c r="BD396" s="121"/>
      <c r="BE396" s="121"/>
      <c r="BF396" s="121"/>
      <c r="BG396" s="121"/>
      <c r="BH396" s="121"/>
      <c r="BI396" s="121"/>
      <c r="BJ396" s="121"/>
      <c r="BK396" s="121"/>
      <c r="BL396" s="121"/>
      <c r="BM396" s="121"/>
      <c r="BN396" s="121"/>
      <c r="BO396" s="121"/>
      <c r="BP396" s="121"/>
      <c r="BQ396" s="121"/>
      <c r="BR396" s="121"/>
      <c r="BS396" s="121"/>
      <c r="BT396" s="121"/>
      <c r="BU396" s="121"/>
    </row>
    <row r="397" spans="1:73" x14ac:dyDescent="0.15">
      <c r="A397" s="109"/>
      <c r="B397" s="109"/>
      <c r="C397" s="12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0"/>
      <c r="AK397" s="90"/>
      <c r="AL397" s="90"/>
      <c r="AM397" s="121"/>
      <c r="AN397" s="121"/>
      <c r="AO397" s="121"/>
      <c r="AP397" s="121"/>
      <c r="AQ397" s="121"/>
      <c r="AR397" s="121"/>
      <c r="AS397" s="121"/>
      <c r="AT397" s="121"/>
      <c r="AU397" s="121"/>
      <c r="AV397" s="121"/>
      <c r="AW397" s="121"/>
      <c r="AX397" s="121"/>
      <c r="AY397" s="121"/>
      <c r="AZ397" s="121"/>
      <c r="BA397" s="121"/>
      <c r="BB397" s="121"/>
      <c r="BC397" s="121"/>
      <c r="BD397" s="121"/>
      <c r="BE397" s="121"/>
      <c r="BF397" s="121"/>
      <c r="BG397" s="121"/>
      <c r="BH397" s="121"/>
      <c r="BI397" s="121"/>
      <c r="BJ397" s="121"/>
      <c r="BK397" s="121"/>
      <c r="BL397" s="121"/>
      <c r="BM397" s="121"/>
      <c r="BN397" s="121"/>
      <c r="BO397" s="121"/>
      <c r="BP397" s="121"/>
      <c r="BQ397" s="121"/>
      <c r="BR397" s="121"/>
      <c r="BS397" s="121"/>
      <c r="BT397" s="121"/>
      <c r="BU397" s="121"/>
    </row>
    <row r="398" spans="1:73" x14ac:dyDescent="0.15">
      <c r="A398" s="109"/>
      <c r="B398" s="109"/>
      <c r="C398" s="12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0"/>
      <c r="AK398" s="90"/>
      <c r="AL398" s="90"/>
      <c r="AM398" s="121"/>
      <c r="AN398" s="121"/>
      <c r="AO398" s="121"/>
      <c r="AP398" s="121"/>
      <c r="AQ398" s="121"/>
      <c r="AR398" s="121"/>
      <c r="AS398" s="121"/>
      <c r="AT398" s="121"/>
      <c r="AU398" s="121"/>
      <c r="AV398" s="121"/>
      <c r="AW398" s="121"/>
      <c r="AX398" s="121"/>
      <c r="AY398" s="121"/>
      <c r="AZ398" s="121"/>
      <c r="BA398" s="121"/>
      <c r="BB398" s="121"/>
      <c r="BC398" s="121"/>
      <c r="BD398" s="121"/>
      <c r="BE398" s="121"/>
      <c r="BF398" s="121"/>
      <c r="BG398" s="121"/>
      <c r="BH398" s="121"/>
      <c r="BI398" s="121"/>
      <c r="BJ398" s="121"/>
      <c r="BK398" s="121"/>
      <c r="BL398" s="121"/>
      <c r="BM398" s="121"/>
      <c r="BN398" s="121"/>
      <c r="BO398" s="121"/>
      <c r="BP398" s="121"/>
      <c r="BQ398" s="121"/>
      <c r="BR398" s="121"/>
      <c r="BS398" s="121"/>
      <c r="BT398" s="121"/>
      <c r="BU398" s="121"/>
    </row>
    <row r="399" spans="1:73" x14ac:dyDescent="0.15">
      <c r="A399" s="109"/>
      <c r="B399" s="109"/>
      <c r="C399" s="12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0"/>
      <c r="AK399" s="90"/>
      <c r="AL399" s="90"/>
      <c r="AM399" s="121"/>
      <c r="AN399" s="121"/>
      <c r="AO399" s="121"/>
      <c r="AP399" s="121"/>
      <c r="AQ399" s="121"/>
      <c r="AR399" s="121"/>
      <c r="AS399" s="121"/>
      <c r="AT399" s="121"/>
      <c r="AU399" s="121"/>
      <c r="AV399" s="121"/>
      <c r="AW399" s="121"/>
      <c r="AX399" s="121"/>
      <c r="AY399" s="121"/>
      <c r="AZ399" s="121"/>
      <c r="BA399" s="121"/>
      <c r="BB399" s="121"/>
      <c r="BC399" s="121"/>
      <c r="BD399" s="121"/>
      <c r="BE399" s="121"/>
      <c r="BF399" s="121"/>
      <c r="BG399" s="121"/>
      <c r="BH399" s="121"/>
      <c r="BI399" s="121"/>
      <c r="BJ399" s="121"/>
      <c r="BK399" s="121"/>
      <c r="BL399" s="121"/>
      <c r="BM399" s="121"/>
      <c r="BN399" s="121"/>
      <c r="BO399" s="121"/>
      <c r="BP399" s="121"/>
      <c r="BQ399" s="121"/>
      <c r="BR399" s="121"/>
      <c r="BS399" s="121"/>
      <c r="BT399" s="121"/>
      <c r="BU399" s="121"/>
    </row>
    <row r="400" spans="1:73" x14ac:dyDescent="0.15">
      <c r="A400" s="109"/>
      <c r="B400" s="109"/>
      <c r="C400" s="12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0"/>
      <c r="AK400" s="90"/>
      <c r="AL400" s="90"/>
      <c r="AM400" s="121"/>
      <c r="AN400" s="121"/>
      <c r="AO400" s="121"/>
      <c r="AP400" s="121"/>
      <c r="AQ400" s="121"/>
      <c r="AR400" s="121"/>
      <c r="AS400" s="121"/>
      <c r="AT400" s="121"/>
      <c r="AU400" s="121"/>
      <c r="AV400" s="121"/>
      <c r="AW400" s="121"/>
      <c r="AX400" s="121"/>
      <c r="AY400" s="121"/>
      <c r="AZ400" s="121"/>
      <c r="BA400" s="121"/>
      <c r="BB400" s="121"/>
      <c r="BC400" s="121"/>
      <c r="BD400" s="121"/>
      <c r="BE400" s="121"/>
      <c r="BF400" s="121"/>
      <c r="BG400" s="121"/>
      <c r="BH400" s="121"/>
      <c r="BI400" s="121"/>
      <c r="BJ400" s="121"/>
      <c r="BK400" s="121"/>
      <c r="BL400" s="121"/>
      <c r="BM400" s="121"/>
      <c r="BN400" s="121"/>
      <c r="BO400" s="121"/>
      <c r="BP400" s="121"/>
      <c r="BQ400" s="121"/>
      <c r="BR400" s="121"/>
      <c r="BS400" s="121"/>
      <c r="BT400" s="121"/>
      <c r="BU400" s="121"/>
    </row>
    <row r="401" spans="1:73" x14ac:dyDescent="0.15">
      <c r="A401" s="109"/>
      <c r="B401" s="109"/>
      <c r="C401" s="12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0"/>
      <c r="AK401" s="90"/>
      <c r="AL401" s="90"/>
      <c r="AM401" s="121"/>
      <c r="AN401" s="121"/>
      <c r="AO401" s="121"/>
      <c r="AP401" s="121"/>
      <c r="AQ401" s="121"/>
      <c r="AR401" s="121"/>
      <c r="AS401" s="121"/>
      <c r="AT401" s="121"/>
      <c r="AU401" s="121"/>
      <c r="AV401" s="121"/>
      <c r="AW401" s="121"/>
      <c r="AX401" s="121"/>
      <c r="AY401" s="121"/>
      <c r="AZ401" s="121"/>
      <c r="BA401" s="121"/>
      <c r="BB401" s="121"/>
      <c r="BC401" s="121"/>
      <c r="BD401" s="121"/>
      <c r="BE401" s="121"/>
      <c r="BF401" s="121"/>
      <c r="BG401" s="121"/>
      <c r="BH401" s="121"/>
      <c r="BI401" s="121"/>
      <c r="BJ401" s="121"/>
      <c r="BK401" s="121"/>
      <c r="BL401" s="121"/>
      <c r="BM401" s="121"/>
      <c r="BN401" s="121"/>
      <c r="BO401" s="121"/>
      <c r="BP401" s="121"/>
      <c r="BQ401" s="121"/>
      <c r="BR401" s="121"/>
      <c r="BS401" s="121"/>
      <c r="BT401" s="121"/>
      <c r="BU401" s="121"/>
    </row>
    <row r="402" spans="1:73" x14ac:dyDescent="0.15">
      <c r="A402" s="109"/>
      <c r="B402" s="109"/>
      <c r="C402" s="12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0"/>
      <c r="AK402" s="90"/>
      <c r="AL402" s="90"/>
      <c r="AM402" s="121"/>
      <c r="AN402" s="121"/>
      <c r="AO402" s="121"/>
      <c r="AP402" s="121"/>
      <c r="AQ402" s="121"/>
      <c r="AR402" s="121"/>
      <c r="AS402" s="121"/>
      <c r="AT402" s="121"/>
      <c r="AU402" s="121"/>
      <c r="AV402" s="121"/>
      <c r="AW402" s="121"/>
      <c r="AX402" s="121"/>
      <c r="AY402" s="121"/>
      <c r="AZ402" s="121"/>
      <c r="BA402" s="121"/>
      <c r="BB402" s="121"/>
      <c r="BC402" s="121"/>
      <c r="BD402" s="121"/>
      <c r="BE402" s="121"/>
      <c r="BF402" s="121"/>
      <c r="BG402" s="121"/>
      <c r="BH402" s="121"/>
      <c r="BI402" s="121"/>
      <c r="BJ402" s="121"/>
      <c r="BK402" s="121"/>
      <c r="BL402" s="121"/>
      <c r="BM402" s="121"/>
      <c r="BN402" s="121"/>
      <c r="BO402" s="121"/>
      <c r="BP402" s="121"/>
      <c r="BQ402" s="121"/>
      <c r="BR402" s="121"/>
      <c r="BS402" s="121"/>
      <c r="BT402" s="121"/>
      <c r="BU402" s="121"/>
    </row>
    <row r="403" spans="1:73" x14ac:dyDescent="0.15">
      <c r="A403" s="109"/>
      <c r="B403" s="109"/>
      <c r="C403" s="12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0"/>
      <c r="AK403" s="90"/>
      <c r="AL403" s="90"/>
      <c r="AM403" s="121"/>
      <c r="AN403" s="121"/>
      <c r="AO403" s="121"/>
      <c r="AP403" s="121"/>
      <c r="AQ403" s="121"/>
      <c r="AR403" s="121"/>
      <c r="AS403" s="121"/>
      <c r="AT403" s="121"/>
      <c r="AU403" s="121"/>
      <c r="AV403" s="121"/>
      <c r="AW403" s="121"/>
      <c r="AX403" s="121"/>
      <c r="AY403" s="121"/>
      <c r="AZ403" s="121"/>
      <c r="BA403" s="121"/>
      <c r="BB403" s="121"/>
      <c r="BC403" s="121"/>
      <c r="BD403" s="121"/>
      <c r="BE403" s="121"/>
      <c r="BF403" s="121"/>
      <c r="BG403" s="121"/>
      <c r="BH403" s="121"/>
      <c r="BI403" s="121"/>
      <c r="BJ403" s="121"/>
      <c r="BK403" s="121"/>
      <c r="BL403" s="121"/>
      <c r="BM403" s="121"/>
      <c r="BN403" s="121"/>
      <c r="BO403" s="121"/>
      <c r="BP403" s="121"/>
      <c r="BQ403" s="121"/>
      <c r="BR403" s="121"/>
      <c r="BS403" s="121"/>
      <c r="BT403" s="121"/>
      <c r="BU403" s="121"/>
    </row>
    <row r="404" spans="1:73" x14ac:dyDescent="0.15">
      <c r="A404" s="109"/>
      <c r="B404" s="109"/>
      <c r="C404" s="12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0"/>
      <c r="AK404" s="90"/>
      <c r="AL404" s="90"/>
      <c r="AM404" s="121"/>
      <c r="AN404" s="121"/>
      <c r="AO404" s="121"/>
      <c r="AP404" s="121"/>
      <c r="AQ404" s="121"/>
      <c r="AR404" s="121"/>
      <c r="AS404" s="121"/>
      <c r="AT404" s="121"/>
      <c r="AU404" s="121"/>
      <c r="AV404" s="121"/>
      <c r="AW404" s="121"/>
      <c r="AX404" s="121"/>
      <c r="AY404" s="121"/>
      <c r="AZ404" s="121"/>
      <c r="BA404" s="121"/>
      <c r="BB404" s="121"/>
      <c r="BC404" s="121"/>
      <c r="BD404" s="121"/>
      <c r="BE404" s="121"/>
      <c r="BF404" s="121"/>
      <c r="BG404" s="121"/>
      <c r="BH404" s="121"/>
      <c r="BI404" s="121"/>
      <c r="BJ404" s="121"/>
      <c r="BK404" s="121"/>
      <c r="BL404" s="121"/>
      <c r="BM404" s="121"/>
      <c r="BN404" s="121"/>
      <c r="BO404" s="121"/>
      <c r="BP404" s="121"/>
      <c r="BQ404" s="121"/>
      <c r="BR404" s="121"/>
      <c r="BS404" s="121"/>
      <c r="BT404" s="121"/>
      <c r="BU404" s="121"/>
    </row>
    <row r="405" spans="1:73" x14ac:dyDescent="0.15">
      <c r="A405" s="109"/>
      <c r="B405" s="109"/>
      <c r="C405" s="12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0"/>
      <c r="AK405" s="90"/>
      <c r="AL405" s="90"/>
      <c r="AM405" s="121"/>
      <c r="AN405" s="121"/>
      <c r="AO405" s="121"/>
      <c r="AP405" s="121"/>
      <c r="AQ405" s="121"/>
      <c r="AR405" s="121"/>
      <c r="AS405" s="121"/>
      <c r="AT405" s="121"/>
      <c r="AU405" s="121"/>
      <c r="AV405" s="121"/>
      <c r="AW405" s="121"/>
      <c r="AX405" s="121"/>
      <c r="AY405" s="121"/>
      <c r="AZ405" s="121"/>
      <c r="BA405" s="121"/>
      <c r="BB405" s="121"/>
      <c r="BC405" s="121"/>
      <c r="BD405" s="121"/>
      <c r="BE405" s="121"/>
      <c r="BF405" s="121"/>
      <c r="BG405" s="121"/>
      <c r="BH405" s="121"/>
      <c r="BI405" s="121"/>
      <c r="BJ405" s="121"/>
      <c r="BK405" s="121"/>
      <c r="BL405" s="121"/>
      <c r="BM405" s="121"/>
      <c r="BN405" s="121"/>
      <c r="BO405" s="121"/>
      <c r="BP405" s="121"/>
      <c r="BQ405" s="121"/>
      <c r="BR405" s="121"/>
      <c r="BS405" s="121"/>
      <c r="BT405" s="121"/>
      <c r="BU405" s="121"/>
    </row>
    <row r="406" spans="1:73" x14ac:dyDescent="0.15">
      <c r="A406" s="109"/>
      <c r="B406" s="109"/>
      <c r="C406" s="12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0"/>
      <c r="AK406" s="90"/>
      <c r="AL406" s="90"/>
      <c r="AM406" s="121"/>
      <c r="AN406" s="121"/>
      <c r="AO406" s="121"/>
      <c r="AP406" s="121"/>
      <c r="AQ406" s="121"/>
      <c r="AR406" s="121"/>
      <c r="AS406" s="121"/>
      <c r="AT406" s="121"/>
      <c r="AU406" s="121"/>
      <c r="AV406" s="121"/>
      <c r="AW406" s="121"/>
      <c r="AX406" s="121"/>
      <c r="AY406" s="121"/>
      <c r="AZ406" s="121"/>
      <c r="BA406" s="121"/>
      <c r="BB406" s="121"/>
      <c r="BC406" s="121"/>
      <c r="BD406" s="121"/>
      <c r="BE406" s="121"/>
      <c r="BF406" s="121"/>
      <c r="BG406" s="121"/>
      <c r="BH406" s="121"/>
      <c r="BI406" s="121"/>
      <c r="BJ406" s="121"/>
      <c r="BK406" s="121"/>
      <c r="BL406" s="121"/>
      <c r="BM406" s="121"/>
      <c r="BN406" s="121"/>
      <c r="BO406" s="121"/>
      <c r="BP406" s="121"/>
      <c r="BQ406" s="121"/>
      <c r="BR406" s="121"/>
      <c r="BS406" s="121"/>
      <c r="BT406" s="121"/>
      <c r="BU406" s="121"/>
    </row>
    <row r="407" spans="1:73" x14ac:dyDescent="0.15">
      <c r="A407" s="109"/>
      <c r="B407" s="109"/>
      <c r="C407" s="12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0"/>
      <c r="AK407" s="90"/>
      <c r="AL407" s="90"/>
      <c r="AM407" s="121"/>
      <c r="AN407" s="121"/>
      <c r="AO407" s="121"/>
      <c r="AP407" s="121"/>
      <c r="AQ407" s="121"/>
      <c r="AR407" s="121"/>
      <c r="AS407" s="121"/>
      <c r="AT407" s="121"/>
      <c r="AU407" s="121"/>
      <c r="AV407" s="121"/>
      <c r="AW407" s="121"/>
      <c r="AX407" s="121"/>
      <c r="AY407" s="121"/>
      <c r="AZ407" s="121"/>
      <c r="BA407" s="121"/>
      <c r="BB407" s="121"/>
      <c r="BC407" s="121"/>
      <c r="BD407" s="121"/>
      <c r="BE407" s="121"/>
      <c r="BF407" s="121"/>
      <c r="BG407" s="121"/>
      <c r="BH407" s="121"/>
      <c r="BI407" s="121"/>
      <c r="BJ407" s="121"/>
      <c r="BK407" s="121"/>
      <c r="BL407" s="121"/>
      <c r="BM407" s="121"/>
      <c r="BN407" s="121"/>
      <c r="BO407" s="121"/>
      <c r="BP407" s="121"/>
      <c r="BQ407" s="121"/>
      <c r="BR407" s="121"/>
      <c r="BS407" s="121"/>
      <c r="BT407" s="121"/>
      <c r="BU407" s="121"/>
    </row>
    <row r="408" spans="1:73" x14ac:dyDescent="0.15">
      <c r="A408" s="109"/>
      <c r="B408" s="109"/>
      <c r="C408" s="12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0"/>
      <c r="AK408" s="90"/>
      <c r="AL408" s="90"/>
      <c r="AM408" s="121"/>
      <c r="AN408" s="121"/>
      <c r="AO408" s="121"/>
      <c r="AP408" s="121"/>
      <c r="AQ408" s="121"/>
      <c r="AR408" s="121"/>
      <c r="AS408" s="121"/>
      <c r="AT408" s="121"/>
      <c r="AU408" s="121"/>
      <c r="AV408" s="121"/>
      <c r="AW408" s="121"/>
      <c r="AX408" s="121"/>
      <c r="AY408" s="121"/>
      <c r="AZ408" s="121"/>
      <c r="BA408" s="121"/>
      <c r="BB408" s="121"/>
      <c r="BC408" s="121"/>
      <c r="BD408" s="121"/>
      <c r="BE408" s="121"/>
      <c r="BF408" s="121"/>
      <c r="BG408" s="121"/>
      <c r="BH408" s="121"/>
      <c r="BI408" s="121"/>
      <c r="BJ408" s="121"/>
      <c r="BK408" s="121"/>
      <c r="BL408" s="121"/>
      <c r="BM408" s="121"/>
      <c r="BN408" s="121"/>
      <c r="BO408" s="121"/>
      <c r="BP408" s="121"/>
      <c r="BQ408" s="121"/>
      <c r="BR408" s="121"/>
      <c r="BS408" s="121"/>
      <c r="BT408" s="121"/>
      <c r="BU408" s="121"/>
    </row>
    <row r="409" spans="1:73" x14ac:dyDescent="0.15">
      <c r="A409" s="109"/>
      <c r="B409" s="109"/>
      <c r="C409" s="12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0"/>
      <c r="AK409" s="90"/>
      <c r="AL409" s="90"/>
      <c r="AM409" s="121"/>
      <c r="AN409" s="121"/>
      <c r="AO409" s="121"/>
      <c r="AP409" s="121"/>
      <c r="AQ409" s="121"/>
      <c r="AR409" s="121"/>
      <c r="AS409" s="121"/>
      <c r="AT409" s="121"/>
      <c r="AU409" s="121"/>
      <c r="AV409" s="121"/>
      <c r="AW409" s="121"/>
      <c r="AX409" s="121"/>
      <c r="AY409" s="121"/>
      <c r="AZ409" s="121"/>
      <c r="BA409" s="121"/>
      <c r="BB409" s="121"/>
      <c r="BC409" s="121"/>
      <c r="BD409" s="121"/>
      <c r="BE409" s="121"/>
      <c r="BF409" s="121"/>
      <c r="BG409" s="121"/>
      <c r="BH409" s="121"/>
      <c r="BI409" s="121"/>
      <c r="BJ409" s="121"/>
      <c r="BK409" s="121"/>
      <c r="BL409" s="121"/>
      <c r="BM409" s="121"/>
      <c r="BN409" s="121"/>
      <c r="BO409" s="121"/>
      <c r="BP409" s="121"/>
      <c r="BQ409" s="121"/>
      <c r="BR409" s="121"/>
      <c r="BS409" s="121"/>
      <c r="BT409" s="121"/>
      <c r="BU409" s="121"/>
    </row>
    <row r="410" spans="1:73" x14ac:dyDescent="0.15">
      <c r="A410" s="109"/>
      <c r="B410" s="109"/>
      <c r="C410" s="12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0"/>
      <c r="AK410" s="90"/>
      <c r="AL410" s="90"/>
      <c r="AM410" s="121"/>
      <c r="AN410" s="121"/>
      <c r="AO410" s="121"/>
      <c r="AP410" s="121"/>
      <c r="AQ410" s="121"/>
      <c r="AR410" s="121"/>
      <c r="AS410" s="121"/>
      <c r="AT410" s="121"/>
      <c r="AU410" s="121"/>
      <c r="AV410" s="121"/>
      <c r="AW410" s="121"/>
      <c r="AX410" s="121"/>
      <c r="AY410" s="121"/>
      <c r="AZ410" s="121"/>
      <c r="BA410" s="121"/>
      <c r="BB410" s="121"/>
      <c r="BC410" s="121"/>
      <c r="BD410" s="121"/>
      <c r="BE410" s="121"/>
      <c r="BF410" s="121"/>
      <c r="BG410" s="121"/>
      <c r="BH410" s="121"/>
      <c r="BI410" s="121"/>
      <c r="BJ410" s="121"/>
      <c r="BK410" s="121"/>
      <c r="BL410" s="121"/>
      <c r="BM410" s="121"/>
      <c r="BN410" s="121"/>
      <c r="BO410" s="121"/>
      <c r="BP410" s="121"/>
      <c r="BQ410" s="121"/>
      <c r="BR410" s="121"/>
      <c r="BS410" s="121"/>
      <c r="BT410" s="121"/>
      <c r="BU410" s="121"/>
    </row>
    <row r="411" spans="1:73" x14ac:dyDescent="0.15">
      <c r="A411" s="109"/>
      <c r="B411" s="109"/>
      <c r="C411" s="12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0"/>
      <c r="AK411" s="90"/>
      <c r="AL411" s="90"/>
      <c r="AM411" s="121"/>
      <c r="AN411" s="121"/>
      <c r="AO411" s="121"/>
      <c r="AP411" s="121"/>
      <c r="AQ411" s="121"/>
      <c r="AR411" s="121"/>
      <c r="AS411" s="121"/>
      <c r="AT411" s="121"/>
      <c r="AU411" s="121"/>
      <c r="AV411" s="121"/>
      <c r="AW411" s="121"/>
      <c r="AX411" s="121"/>
      <c r="AY411" s="121"/>
      <c r="AZ411" s="121"/>
      <c r="BA411" s="121"/>
      <c r="BB411" s="121"/>
      <c r="BC411" s="121"/>
      <c r="BD411" s="121"/>
      <c r="BE411" s="121"/>
      <c r="BF411" s="121"/>
      <c r="BG411" s="121"/>
      <c r="BH411" s="121"/>
      <c r="BI411" s="121"/>
      <c r="BJ411" s="121"/>
      <c r="BK411" s="121"/>
      <c r="BL411" s="121"/>
      <c r="BM411" s="121"/>
      <c r="BN411" s="121"/>
      <c r="BO411" s="121"/>
      <c r="BP411" s="121"/>
      <c r="BQ411" s="121"/>
      <c r="BR411" s="121"/>
      <c r="BS411" s="121"/>
      <c r="BT411" s="121"/>
      <c r="BU411" s="121"/>
    </row>
    <row r="412" spans="1:73" x14ac:dyDescent="0.15">
      <c r="A412" s="109"/>
      <c r="B412" s="109"/>
      <c r="C412" s="12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0"/>
      <c r="AK412" s="90"/>
      <c r="AL412" s="90"/>
      <c r="AM412" s="121"/>
      <c r="AN412" s="121"/>
      <c r="AO412" s="121"/>
      <c r="AP412" s="121"/>
      <c r="AQ412" s="121"/>
      <c r="AR412" s="121"/>
      <c r="AS412" s="121"/>
      <c r="AT412" s="121"/>
      <c r="AU412" s="121"/>
      <c r="AV412" s="121"/>
      <c r="AW412" s="121"/>
      <c r="AX412" s="121"/>
      <c r="AY412" s="121"/>
      <c r="AZ412" s="121"/>
      <c r="BA412" s="121"/>
      <c r="BB412" s="121"/>
      <c r="BC412" s="121"/>
      <c r="BD412" s="121"/>
      <c r="BE412" s="121"/>
      <c r="BF412" s="121"/>
      <c r="BG412" s="121"/>
      <c r="BH412" s="121"/>
      <c r="BI412" s="121"/>
      <c r="BJ412" s="121"/>
      <c r="BK412" s="121"/>
      <c r="BL412" s="121"/>
      <c r="BM412" s="121"/>
      <c r="BN412" s="121"/>
      <c r="BO412" s="121"/>
      <c r="BP412" s="121"/>
      <c r="BQ412" s="121"/>
      <c r="BR412" s="121"/>
      <c r="BS412" s="121"/>
      <c r="BT412" s="121"/>
      <c r="BU412" s="121"/>
    </row>
    <row r="413" spans="1:73" x14ac:dyDescent="0.15">
      <c r="A413" s="109"/>
      <c r="B413" s="109"/>
      <c r="C413" s="12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0"/>
      <c r="AK413" s="90"/>
      <c r="AL413" s="90"/>
      <c r="AM413" s="121"/>
      <c r="AN413" s="121"/>
      <c r="AO413" s="121"/>
      <c r="AP413" s="121"/>
      <c r="AQ413" s="121"/>
      <c r="AR413" s="121"/>
      <c r="AS413" s="121"/>
      <c r="AT413" s="121"/>
      <c r="AU413" s="121"/>
      <c r="AV413" s="121"/>
      <c r="AW413" s="121"/>
      <c r="AX413" s="121"/>
      <c r="AY413" s="121"/>
      <c r="AZ413" s="121"/>
      <c r="BA413" s="121"/>
      <c r="BB413" s="121"/>
      <c r="BC413" s="121"/>
      <c r="BD413" s="121"/>
      <c r="BE413" s="121"/>
      <c r="BF413" s="121"/>
      <c r="BG413" s="121"/>
      <c r="BH413" s="121"/>
      <c r="BI413" s="121"/>
      <c r="BJ413" s="121"/>
      <c r="BK413" s="121"/>
      <c r="BL413" s="121"/>
      <c r="BM413" s="121"/>
      <c r="BN413" s="121"/>
      <c r="BO413" s="121"/>
      <c r="BP413" s="121"/>
      <c r="BQ413" s="121"/>
      <c r="BR413" s="121"/>
      <c r="BS413" s="121"/>
      <c r="BT413" s="121"/>
      <c r="BU413" s="121"/>
    </row>
    <row r="414" spans="1:73" x14ac:dyDescent="0.15">
      <c r="B414" s="127" t="s">
        <v>48</v>
      </c>
      <c r="C414" s="42" t="s">
        <v>237</v>
      </c>
      <c r="D414" s="122">
        <f>D3</f>
        <v>0</v>
      </c>
      <c r="E414" s="122">
        <f t="shared" ref="E414:AL414" si="1">E3</f>
        <v>10</v>
      </c>
      <c r="F414" s="122">
        <f t="shared" si="1"/>
        <v>20</v>
      </c>
      <c r="G414" s="122">
        <f t="shared" si="1"/>
        <v>30</v>
      </c>
      <c r="H414" s="122">
        <f t="shared" si="1"/>
        <v>40</v>
      </c>
      <c r="I414" s="122">
        <f t="shared" si="1"/>
        <v>50</v>
      </c>
      <c r="J414" s="122">
        <f t="shared" si="1"/>
        <v>60</v>
      </c>
      <c r="K414" s="122">
        <f t="shared" si="1"/>
        <v>70</v>
      </c>
      <c r="L414" s="122">
        <f t="shared" si="1"/>
        <v>80</v>
      </c>
      <c r="M414" s="122">
        <f t="shared" si="1"/>
        <v>90</v>
      </c>
      <c r="N414" s="122">
        <f t="shared" si="1"/>
        <v>100</v>
      </c>
      <c r="O414" s="122">
        <f t="shared" si="1"/>
        <v>120</v>
      </c>
      <c r="P414" s="122">
        <f t="shared" si="1"/>
        <v>140</v>
      </c>
      <c r="Q414" s="122">
        <f t="shared" si="1"/>
        <v>160</v>
      </c>
      <c r="R414" s="122">
        <f t="shared" si="1"/>
        <v>180</v>
      </c>
      <c r="S414" s="122">
        <f t="shared" si="1"/>
        <v>200</v>
      </c>
      <c r="T414" s="122">
        <f t="shared" si="1"/>
        <v>220</v>
      </c>
      <c r="U414" s="122">
        <f t="shared" si="1"/>
        <v>240</v>
      </c>
      <c r="V414" s="122">
        <f t="shared" si="1"/>
        <v>260</v>
      </c>
      <c r="W414" s="122">
        <f t="shared" si="1"/>
        <v>280</v>
      </c>
      <c r="X414" s="122">
        <f t="shared" si="1"/>
        <v>300</v>
      </c>
      <c r="Y414" s="122">
        <f t="shared" si="1"/>
        <v>350</v>
      </c>
      <c r="Z414" s="122">
        <f t="shared" si="1"/>
        <v>400</v>
      </c>
      <c r="AA414" s="122">
        <f t="shared" si="1"/>
        <v>450</v>
      </c>
      <c r="AB414" s="122">
        <f t="shared" si="1"/>
        <v>500</v>
      </c>
      <c r="AC414" s="122">
        <f t="shared" si="1"/>
        <v>600</v>
      </c>
      <c r="AD414" s="122">
        <f t="shared" si="1"/>
        <v>700</v>
      </c>
      <c r="AE414" s="122">
        <f t="shared" si="1"/>
        <v>800</v>
      </c>
      <c r="AF414" s="122">
        <f t="shared" si="1"/>
        <v>900</v>
      </c>
      <c r="AG414" s="122">
        <f t="shared" si="1"/>
        <v>1000</v>
      </c>
      <c r="AH414" s="122">
        <f t="shared" si="1"/>
        <v>1200</v>
      </c>
      <c r="AI414" s="122">
        <f t="shared" si="1"/>
        <v>1400</v>
      </c>
      <c r="AJ414" s="122">
        <f t="shared" si="1"/>
        <v>1600</v>
      </c>
      <c r="AK414" s="122">
        <f t="shared" si="1"/>
        <v>1800</v>
      </c>
      <c r="AL414" s="122">
        <f t="shared" si="1"/>
        <v>2000</v>
      </c>
      <c r="AM414" s="122">
        <f t="shared" ref="AM414:BU414" si="2">D414</f>
        <v>0</v>
      </c>
      <c r="AN414" s="122">
        <f t="shared" si="2"/>
        <v>10</v>
      </c>
      <c r="AO414" s="122">
        <f t="shared" si="2"/>
        <v>20</v>
      </c>
      <c r="AP414" s="122">
        <f t="shared" si="2"/>
        <v>30</v>
      </c>
      <c r="AQ414" s="122">
        <f t="shared" si="2"/>
        <v>40</v>
      </c>
      <c r="AR414" s="122">
        <f t="shared" si="2"/>
        <v>50</v>
      </c>
      <c r="AS414" s="122">
        <f t="shared" si="2"/>
        <v>60</v>
      </c>
      <c r="AT414" s="122">
        <f t="shared" si="2"/>
        <v>70</v>
      </c>
      <c r="AU414" s="122">
        <f t="shared" si="2"/>
        <v>80</v>
      </c>
      <c r="AV414" s="122">
        <f t="shared" si="2"/>
        <v>90</v>
      </c>
      <c r="AW414" s="122">
        <f t="shared" si="2"/>
        <v>100</v>
      </c>
      <c r="AX414" s="122">
        <f t="shared" si="2"/>
        <v>120</v>
      </c>
      <c r="AY414" s="122">
        <f t="shared" si="2"/>
        <v>140</v>
      </c>
      <c r="AZ414" s="122">
        <f t="shared" si="2"/>
        <v>160</v>
      </c>
      <c r="BA414" s="122">
        <f t="shared" si="2"/>
        <v>180</v>
      </c>
      <c r="BB414" s="122">
        <f t="shared" si="2"/>
        <v>200</v>
      </c>
      <c r="BC414" s="122">
        <f t="shared" si="2"/>
        <v>220</v>
      </c>
      <c r="BD414" s="122">
        <f t="shared" si="2"/>
        <v>240</v>
      </c>
      <c r="BE414" s="122">
        <f t="shared" si="2"/>
        <v>260</v>
      </c>
      <c r="BF414" s="122">
        <f t="shared" si="2"/>
        <v>280</v>
      </c>
      <c r="BG414" s="122">
        <f t="shared" si="2"/>
        <v>300</v>
      </c>
      <c r="BH414" s="122">
        <f t="shared" si="2"/>
        <v>350</v>
      </c>
      <c r="BI414" s="122">
        <f t="shared" si="2"/>
        <v>400</v>
      </c>
      <c r="BJ414" s="122">
        <f t="shared" si="2"/>
        <v>450</v>
      </c>
      <c r="BK414" s="122">
        <f t="shared" si="2"/>
        <v>500</v>
      </c>
      <c r="BL414" s="122">
        <f t="shared" si="2"/>
        <v>600</v>
      </c>
      <c r="BM414" s="122">
        <f t="shared" si="2"/>
        <v>700</v>
      </c>
      <c r="BN414" s="122">
        <f t="shared" si="2"/>
        <v>800</v>
      </c>
      <c r="BO414" s="122">
        <f t="shared" si="2"/>
        <v>900</v>
      </c>
      <c r="BP414" s="122">
        <f t="shared" si="2"/>
        <v>1000</v>
      </c>
      <c r="BQ414" s="122">
        <f t="shared" si="2"/>
        <v>1200</v>
      </c>
      <c r="BR414" s="122">
        <f t="shared" si="2"/>
        <v>1400</v>
      </c>
      <c r="BS414" s="122">
        <f t="shared" si="2"/>
        <v>1600</v>
      </c>
      <c r="BT414" s="122">
        <f t="shared" si="2"/>
        <v>1800</v>
      </c>
      <c r="BU414" s="122">
        <f t="shared" si="2"/>
        <v>2000</v>
      </c>
    </row>
    <row r="415" spans="1:73" x14ac:dyDescent="0.15">
      <c r="B415" s="124">
        <f>SUMIF($B$4:$B$413,$C415,C$4:C$413)</f>
        <v>0</v>
      </c>
      <c r="C415" s="123" t="s">
        <v>231</v>
      </c>
      <c r="D415" s="125">
        <f t="shared" ref="D415:M419" si="3">IF($B415&lt;&gt;0,AM415/$B415,0)</f>
        <v>0</v>
      </c>
      <c r="E415" s="125">
        <f t="shared" si="3"/>
        <v>0</v>
      </c>
      <c r="F415" s="125">
        <f t="shared" si="3"/>
        <v>0</v>
      </c>
      <c r="G415" s="125">
        <f t="shared" si="3"/>
        <v>0</v>
      </c>
      <c r="H415" s="125">
        <f t="shared" si="3"/>
        <v>0</v>
      </c>
      <c r="I415" s="125">
        <f t="shared" si="3"/>
        <v>0</v>
      </c>
      <c r="J415" s="125">
        <f t="shared" si="3"/>
        <v>0</v>
      </c>
      <c r="K415" s="125">
        <f t="shared" si="3"/>
        <v>0</v>
      </c>
      <c r="L415" s="125">
        <f t="shared" si="3"/>
        <v>0</v>
      </c>
      <c r="M415" s="125">
        <f t="shared" si="3"/>
        <v>0</v>
      </c>
      <c r="N415" s="125">
        <f t="shared" ref="N415:W419" si="4">IF($B415&lt;&gt;0,AW415/$B415,0)</f>
        <v>0</v>
      </c>
      <c r="O415" s="125">
        <f t="shared" si="4"/>
        <v>0</v>
      </c>
      <c r="P415" s="125">
        <f t="shared" si="4"/>
        <v>0</v>
      </c>
      <c r="Q415" s="125">
        <f t="shared" si="4"/>
        <v>0</v>
      </c>
      <c r="R415" s="125">
        <f t="shared" si="4"/>
        <v>0</v>
      </c>
      <c r="S415" s="125">
        <f t="shared" si="4"/>
        <v>0</v>
      </c>
      <c r="T415" s="125">
        <f t="shared" si="4"/>
        <v>0</v>
      </c>
      <c r="U415" s="125">
        <f t="shared" si="4"/>
        <v>0</v>
      </c>
      <c r="V415" s="125">
        <f t="shared" si="4"/>
        <v>0</v>
      </c>
      <c r="W415" s="125">
        <f t="shared" si="4"/>
        <v>0</v>
      </c>
      <c r="X415" s="125">
        <f t="shared" ref="X415:AG419" si="5">IF($B415&lt;&gt;0,BG415/$B415,0)</f>
        <v>0</v>
      </c>
      <c r="Y415" s="125">
        <f t="shared" si="5"/>
        <v>0</v>
      </c>
      <c r="Z415" s="125">
        <f t="shared" si="5"/>
        <v>0</v>
      </c>
      <c r="AA415" s="125">
        <f t="shared" si="5"/>
        <v>0</v>
      </c>
      <c r="AB415" s="125">
        <f t="shared" si="5"/>
        <v>0</v>
      </c>
      <c r="AC415" s="125">
        <f t="shared" si="5"/>
        <v>0</v>
      </c>
      <c r="AD415" s="125">
        <f t="shared" si="5"/>
        <v>0</v>
      </c>
      <c r="AE415" s="125">
        <f t="shared" si="5"/>
        <v>0</v>
      </c>
      <c r="AF415" s="125">
        <f t="shared" si="5"/>
        <v>0</v>
      </c>
      <c r="AG415" s="125">
        <f t="shared" si="5"/>
        <v>0</v>
      </c>
      <c r="AH415" s="125">
        <f t="shared" ref="AH415:AL419" si="6">IF($B415&lt;&gt;0,BQ415/$B415,0)</f>
        <v>0</v>
      </c>
      <c r="AI415" s="125">
        <f t="shared" si="6"/>
        <v>0</v>
      </c>
      <c r="AJ415" s="125">
        <f t="shared" si="6"/>
        <v>0</v>
      </c>
      <c r="AK415" s="125">
        <f t="shared" si="6"/>
        <v>0</v>
      </c>
      <c r="AL415" s="125">
        <f t="shared" si="6"/>
        <v>0</v>
      </c>
      <c r="AM415" s="124">
        <f t="shared" ref="AM415:AV418" si="7">SUMIF($B$4:$B$413,$C415,AM$4:AM$413)</f>
        <v>0</v>
      </c>
      <c r="AN415" s="124">
        <f t="shared" si="7"/>
        <v>0</v>
      </c>
      <c r="AO415" s="124">
        <f t="shared" si="7"/>
        <v>0</v>
      </c>
      <c r="AP415" s="124">
        <f t="shared" si="7"/>
        <v>0</v>
      </c>
      <c r="AQ415" s="124">
        <f t="shared" si="7"/>
        <v>0</v>
      </c>
      <c r="AR415" s="124">
        <f t="shared" si="7"/>
        <v>0</v>
      </c>
      <c r="AS415" s="124">
        <f t="shared" si="7"/>
        <v>0</v>
      </c>
      <c r="AT415" s="124">
        <f t="shared" si="7"/>
        <v>0</v>
      </c>
      <c r="AU415" s="124">
        <f t="shared" si="7"/>
        <v>0</v>
      </c>
      <c r="AV415" s="124">
        <f t="shared" si="7"/>
        <v>0</v>
      </c>
      <c r="AW415" s="124">
        <f t="shared" ref="AW415:BF418" si="8">SUMIF($B$4:$B$413,$C415,AW$4:AW$413)</f>
        <v>0</v>
      </c>
      <c r="AX415" s="124">
        <f t="shared" si="8"/>
        <v>0</v>
      </c>
      <c r="AY415" s="124">
        <f t="shared" si="8"/>
        <v>0</v>
      </c>
      <c r="AZ415" s="124">
        <f t="shared" si="8"/>
        <v>0</v>
      </c>
      <c r="BA415" s="124">
        <f t="shared" si="8"/>
        <v>0</v>
      </c>
      <c r="BB415" s="124">
        <f t="shared" si="8"/>
        <v>0</v>
      </c>
      <c r="BC415" s="124">
        <f t="shared" si="8"/>
        <v>0</v>
      </c>
      <c r="BD415" s="124">
        <f t="shared" si="8"/>
        <v>0</v>
      </c>
      <c r="BE415" s="124">
        <f t="shared" si="8"/>
        <v>0</v>
      </c>
      <c r="BF415" s="124">
        <f t="shared" si="8"/>
        <v>0</v>
      </c>
      <c r="BG415" s="124">
        <f t="shared" ref="BG415:BU418" si="9">SUMIF($B$4:$B$413,$C415,BG$4:BG$413)</f>
        <v>0</v>
      </c>
      <c r="BH415" s="124">
        <f t="shared" si="9"/>
        <v>0</v>
      </c>
      <c r="BI415" s="124">
        <f t="shared" si="9"/>
        <v>0</v>
      </c>
      <c r="BJ415" s="124">
        <f t="shared" si="9"/>
        <v>0</v>
      </c>
      <c r="BK415" s="124">
        <f t="shared" si="9"/>
        <v>0</v>
      </c>
      <c r="BL415" s="124">
        <f t="shared" si="9"/>
        <v>0</v>
      </c>
      <c r="BM415" s="124">
        <f t="shared" si="9"/>
        <v>0</v>
      </c>
      <c r="BN415" s="124">
        <f t="shared" si="9"/>
        <v>0</v>
      </c>
      <c r="BO415" s="124">
        <f t="shared" si="9"/>
        <v>0</v>
      </c>
      <c r="BP415" s="124">
        <f t="shared" si="9"/>
        <v>0</v>
      </c>
      <c r="BQ415" s="124">
        <f t="shared" si="9"/>
        <v>0</v>
      </c>
      <c r="BR415" s="124">
        <f t="shared" si="9"/>
        <v>0</v>
      </c>
      <c r="BS415" s="124">
        <f t="shared" si="9"/>
        <v>0</v>
      </c>
      <c r="BT415" s="124">
        <f t="shared" si="9"/>
        <v>0</v>
      </c>
      <c r="BU415" s="124">
        <f t="shared" si="9"/>
        <v>0</v>
      </c>
    </row>
    <row r="416" spans="1:73" x14ac:dyDescent="0.15">
      <c r="B416" s="124">
        <f>SUMIF($B$4:$B$413,$C416,C$4:C$413)</f>
        <v>0</v>
      </c>
      <c r="C416" s="123" t="s">
        <v>232</v>
      </c>
      <c r="D416" s="125">
        <f t="shared" si="3"/>
        <v>0</v>
      </c>
      <c r="E416" s="125">
        <f t="shared" si="3"/>
        <v>0</v>
      </c>
      <c r="F416" s="125">
        <f t="shared" si="3"/>
        <v>0</v>
      </c>
      <c r="G416" s="125">
        <f t="shared" si="3"/>
        <v>0</v>
      </c>
      <c r="H416" s="125">
        <f t="shared" si="3"/>
        <v>0</v>
      </c>
      <c r="I416" s="125">
        <f t="shared" si="3"/>
        <v>0</v>
      </c>
      <c r="J416" s="125">
        <f t="shared" si="3"/>
        <v>0</v>
      </c>
      <c r="K416" s="125">
        <f t="shared" si="3"/>
        <v>0</v>
      </c>
      <c r="L416" s="125">
        <f t="shared" si="3"/>
        <v>0</v>
      </c>
      <c r="M416" s="125">
        <f t="shared" si="3"/>
        <v>0</v>
      </c>
      <c r="N416" s="125">
        <f t="shared" si="4"/>
        <v>0</v>
      </c>
      <c r="O416" s="125">
        <f t="shared" si="4"/>
        <v>0</v>
      </c>
      <c r="P416" s="125">
        <f t="shared" si="4"/>
        <v>0</v>
      </c>
      <c r="Q416" s="125">
        <f t="shared" si="4"/>
        <v>0</v>
      </c>
      <c r="R416" s="125">
        <f t="shared" si="4"/>
        <v>0</v>
      </c>
      <c r="S416" s="125">
        <f t="shared" si="4"/>
        <v>0</v>
      </c>
      <c r="T416" s="125">
        <f t="shared" si="4"/>
        <v>0</v>
      </c>
      <c r="U416" s="125">
        <f t="shared" si="4"/>
        <v>0</v>
      </c>
      <c r="V416" s="125">
        <f t="shared" si="4"/>
        <v>0</v>
      </c>
      <c r="W416" s="125">
        <f t="shared" si="4"/>
        <v>0</v>
      </c>
      <c r="X416" s="125">
        <f t="shared" si="5"/>
        <v>0</v>
      </c>
      <c r="Y416" s="125">
        <f t="shared" si="5"/>
        <v>0</v>
      </c>
      <c r="Z416" s="125">
        <f t="shared" si="5"/>
        <v>0</v>
      </c>
      <c r="AA416" s="125">
        <f t="shared" si="5"/>
        <v>0</v>
      </c>
      <c r="AB416" s="125">
        <f t="shared" si="5"/>
        <v>0</v>
      </c>
      <c r="AC416" s="125">
        <f t="shared" si="5"/>
        <v>0</v>
      </c>
      <c r="AD416" s="125">
        <f t="shared" si="5"/>
        <v>0</v>
      </c>
      <c r="AE416" s="125">
        <f t="shared" si="5"/>
        <v>0</v>
      </c>
      <c r="AF416" s="125">
        <f t="shared" si="5"/>
        <v>0</v>
      </c>
      <c r="AG416" s="125">
        <f t="shared" si="5"/>
        <v>0</v>
      </c>
      <c r="AH416" s="125">
        <f t="shared" si="6"/>
        <v>0</v>
      </c>
      <c r="AI416" s="125">
        <f t="shared" si="6"/>
        <v>0</v>
      </c>
      <c r="AJ416" s="125">
        <f t="shared" si="6"/>
        <v>0</v>
      </c>
      <c r="AK416" s="125">
        <f t="shared" si="6"/>
        <v>0</v>
      </c>
      <c r="AL416" s="125">
        <f t="shared" si="6"/>
        <v>0</v>
      </c>
      <c r="AM416" s="124">
        <f t="shared" si="7"/>
        <v>0</v>
      </c>
      <c r="AN416" s="124">
        <f t="shared" si="7"/>
        <v>0</v>
      </c>
      <c r="AO416" s="124">
        <f t="shared" si="7"/>
        <v>0</v>
      </c>
      <c r="AP416" s="124">
        <f t="shared" si="7"/>
        <v>0</v>
      </c>
      <c r="AQ416" s="124">
        <f t="shared" si="7"/>
        <v>0</v>
      </c>
      <c r="AR416" s="124">
        <f t="shared" si="7"/>
        <v>0</v>
      </c>
      <c r="AS416" s="124">
        <f t="shared" si="7"/>
        <v>0</v>
      </c>
      <c r="AT416" s="124">
        <f t="shared" si="7"/>
        <v>0</v>
      </c>
      <c r="AU416" s="124">
        <f t="shared" si="7"/>
        <v>0</v>
      </c>
      <c r="AV416" s="124">
        <f t="shared" si="7"/>
        <v>0</v>
      </c>
      <c r="AW416" s="124">
        <f t="shared" si="8"/>
        <v>0</v>
      </c>
      <c r="AX416" s="124">
        <f t="shared" si="8"/>
        <v>0</v>
      </c>
      <c r="AY416" s="124">
        <f t="shared" si="8"/>
        <v>0</v>
      </c>
      <c r="AZ416" s="124">
        <f t="shared" si="8"/>
        <v>0</v>
      </c>
      <c r="BA416" s="124">
        <f t="shared" si="8"/>
        <v>0</v>
      </c>
      <c r="BB416" s="124">
        <f t="shared" si="8"/>
        <v>0</v>
      </c>
      <c r="BC416" s="124">
        <f t="shared" si="8"/>
        <v>0</v>
      </c>
      <c r="BD416" s="124">
        <f t="shared" si="8"/>
        <v>0</v>
      </c>
      <c r="BE416" s="124">
        <f t="shared" si="8"/>
        <v>0</v>
      </c>
      <c r="BF416" s="124">
        <f t="shared" si="8"/>
        <v>0</v>
      </c>
      <c r="BG416" s="124">
        <f t="shared" si="9"/>
        <v>0</v>
      </c>
      <c r="BH416" s="124">
        <f t="shared" si="9"/>
        <v>0</v>
      </c>
      <c r="BI416" s="124">
        <f t="shared" si="9"/>
        <v>0</v>
      </c>
      <c r="BJ416" s="124">
        <f t="shared" si="9"/>
        <v>0</v>
      </c>
      <c r="BK416" s="124">
        <f t="shared" si="9"/>
        <v>0</v>
      </c>
      <c r="BL416" s="124">
        <f t="shared" si="9"/>
        <v>0</v>
      </c>
      <c r="BM416" s="124">
        <f t="shared" si="9"/>
        <v>0</v>
      </c>
      <c r="BN416" s="124">
        <f t="shared" si="9"/>
        <v>0</v>
      </c>
      <c r="BO416" s="124">
        <f t="shared" si="9"/>
        <v>0</v>
      </c>
      <c r="BP416" s="124">
        <f t="shared" si="9"/>
        <v>0</v>
      </c>
      <c r="BQ416" s="124">
        <f t="shared" si="9"/>
        <v>0</v>
      </c>
      <c r="BR416" s="124">
        <f t="shared" si="9"/>
        <v>0</v>
      </c>
      <c r="BS416" s="124">
        <f t="shared" si="9"/>
        <v>0</v>
      </c>
      <c r="BT416" s="124">
        <f t="shared" si="9"/>
        <v>0</v>
      </c>
      <c r="BU416" s="124">
        <f t="shared" si="9"/>
        <v>0</v>
      </c>
    </row>
    <row r="417" spans="1:73" x14ac:dyDescent="0.15">
      <c r="B417" s="124">
        <f>SUMIF($B$4:$B$413,$C417,C$4:C$413)</f>
        <v>0</v>
      </c>
      <c r="C417" s="123" t="s">
        <v>233</v>
      </c>
      <c r="D417" s="125">
        <f t="shared" si="3"/>
        <v>0</v>
      </c>
      <c r="E417" s="125">
        <f t="shared" si="3"/>
        <v>0</v>
      </c>
      <c r="F417" s="125">
        <f t="shared" si="3"/>
        <v>0</v>
      </c>
      <c r="G417" s="125">
        <f t="shared" si="3"/>
        <v>0</v>
      </c>
      <c r="H417" s="125">
        <f t="shared" si="3"/>
        <v>0</v>
      </c>
      <c r="I417" s="125">
        <f t="shared" si="3"/>
        <v>0</v>
      </c>
      <c r="J417" s="125">
        <f t="shared" si="3"/>
        <v>0</v>
      </c>
      <c r="K417" s="125">
        <f t="shared" si="3"/>
        <v>0</v>
      </c>
      <c r="L417" s="125">
        <f t="shared" si="3"/>
        <v>0</v>
      </c>
      <c r="M417" s="125">
        <f t="shared" si="3"/>
        <v>0</v>
      </c>
      <c r="N417" s="125">
        <f t="shared" si="4"/>
        <v>0</v>
      </c>
      <c r="O417" s="125">
        <f t="shared" si="4"/>
        <v>0</v>
      </c>
      <c r="P417" s="125">
        <f t="shared" si="4"/>
        <v>0</v>
      </c>
      <c r="Q417" s="125">
        <f t="shared" si="4"/>
        <v>0</v>
      </c>
      <c r="R417" s="125">
        <f t="shared" si="4"/>
        <v>0</v>
      </c>
      <c r="S417" s="125">
        <f t="shared" si="4"/>
        <v>0</v>
      </c>
      <c r="T417" s="125">
        <f t="shared" si="4"/>
        <v>0</v>
      </c>
      <c r="U417" s="125">
        <f t="shared" si="4"/>
        <v>0</v>
      </c>
      <c r="V417" s="125">
        <f t="shared" si="4"/>
        <v>0</v>
      </c>
      <c r="W417" s="125">
        <f t="shared" si="4"/>
        <v>0</v>
      </c>
      <c r="X417" s="125">
        <f t="shared" si="5"/>
        <v>0</v>
      </c>
      <c r="Y417" s="125">
        <f t="shared" si="5"/>
        <v>0</v>
      </c>
      <c r="Z417" s="125">
        <f t="shared" si="5"/>
        <v>0</v>
      </c>
      <c r="AA417" s="125">
        <f t="shared" si="5"/>
        <v>0</v>
      </c>
      <c r="AB417" s="125">
        <f t="shared" si="5"/>
        <v>0</v>
      </c>
      <c r="AC417" s="125">
        <f t="shared" si="5"/>
        <v>0</v>
      </c>
      <c r="AD417" s="125">
        <f t="shared" si="5"/>
        <v>0</v>
      </c>
      <c r="AE417" s="125">
        <f t="shared" si="5"/>
        <v>0</v>
      </c>
      <c r="AF417" s="125">
        <f t="shared" si="5"/>
        <v>0</v>
      </c>
      <c r="AG417" s="125">
        <f t="shared" si="5"/>
        <v>0</v>
      </c>
      <c r="AH417" s="125">
        <f t="shared" si="6"/>
        <v>0</v>
      </c>
      <c r="AI417" s="125">
        <f t="shared" si="6"/>
        <v>0</v>
      </c>
      <c r="AJ417" s="125">
        <f t="shared" si="6"/>
        <v>0</v>
      </c>
      <c r="AK417" s="125">
        <f t="shared" si="6"/>
        <v>0</v>
      </c>
      <c r="AL417" s="125">
        <f t="shared" si="6"/>
        <v>0</v>
      </c>
      <c r="AM417" s="124">
        <f t="shared" si="7"/>
        <v>0</v>
      </c>
      <c r="AN417" s="124">
        <f t="shared" si="7"/>
        <v>0</v>
      </c>
      <c r="AO417" s="124">
        <f t="shared" si="7"/>
        <v>0</v>
      </c>
      <c r="AP417" s="124">
        <f t="shared" si="7"/>
        <v>0</v>
      </c>
      <c r="AQ417" s="124">
        <f t="shared" si="7"/>
        <v>0</v>
      </c>
      <c r="AR417" s="124">
        <f t="shared" si="7"/>
        <v>0</v>
      </c>
      <c r="AS417" s="124">
        <f t="shared" si="7"/>
        <v>0</v>
      </c>
      <c r="AT417" s="124">
        <f t="shared" si="7"/>
        <v>0</v>
      </c>
      <c r="AU417" s="124">
        <f t="shared" si="7"/>
        <v>0</v>
      </c>
      <c r="AV417" s="124">
        <f t="shared" si="7"/>
        <v>0</v>
      </c>
      <c r="AW417" s="124">
        <f t="shared" si="8"/>
        <v>0</v>
      </c>
      <c r="AX417" s="124">
        <f t="shared" si="8"/>
        <v>0</v>
      </c>
      <c r="AY417" s="124">
        <f t="shared" si="8"/>
        <v>0</v>
      </c>
      <c r="AZ417" s="124">
        <f t="shared" si="8"/>
        <v>0</v>
      </c>
      <c r="BA417" s="124">
        <f t="shared" si="8"/>
        <v>0</v>
      </c>
      <c r="BB417" s="124">
        <f t="shared" si="8"/>
        <v>0</v>
      </c>
      <c r="BC417" s="124">
        <f t="shared" si="8"/>
        <v>0</v>
      </c>
      <c r="BD417" s="124">
        <f t="shared" si="8"/>
        <v>0</v>
      </c>
      <c r="BE417" s="124">
        <f t="shared" si="8"/>
        <v>0</v>
      </c>
      <c r="BF417" s="124">
        <f t="shared" si="8"/>
        <v>0</v>
      </c>
      <c r="BG417" s="124">
        <f t="shared" si="9"/>
        <v>0</v>
      </c>
      <c r="BH417" s="124">
        <f t="shared" si="9"/>
        <v>0</v>
      </c>
      <c r="BI417" s="124">
        <f t="shared" si="9"/>
        <v>0</v>
      </c>
      <c r="BJ417" s="124">
        <f t="shared" si="9"/>
        <v>0</v>
      </c>
      <c r="BK417" s="124">
        <f t="shared" si="9"/>
        <v>0</v>
      </c>
      <c r="BL417" s="124">
        <f t="shared" si="9"/>
        <v>0</v>
      </c>
      <c r="BM417" s="124">
        <f t="shared" si="9"/>
        <v>0</v>
      </c>
      <c r="BN417" s="124">
        <f t="shared" si="9"/>
        <v>0</v>
      </c>
      <c r="BO417" s="124">
        <f t="shared" si="9"/>
        <v>0</v>
      </c>
      <c r="BP417" s="124">
        <f t="shared" si="9"/>
        <v>0</v>
      </c>
      <c r="BQ417" s="124">
        <f t="shared" si="9"/>
        <v>0</v>
      </c>
      <c r="BR417" s="124">
        <f t="shared" si="9"/>
        <v>0</v>
      </c>
      <c r="BS417" s="124">
        <f t="shared" si="9"/>
        <v>0</v>
      </c>
      <c r="BT417" s="124">
        <f t="shared" si="9"/>
        <v>0</v>
      </c>
      <c r="BU417" s="124">
        <f t="shared" si="9"/>
        <v>0</v>
      </c>
    </row>
    <row r="418" spans="1:73" x14ac:dyDescent="0.15">
      <c r="B418" s="124">
        <f>SUMIF($B$4:$B$413,$C418,C$4:C$413)</f>
        <v>0</v>
      </c>
      <c r="C418" s="123" t="s">
        <v>234</v>
      </c>
      <c r="D418" s="125">
        <f t="shared" si="3"/>
        <v>0</v>
      </c>
      <c r="E418" s="125">
        <f t="shared" si="3"/>
        <v>0</v>
      </c>
      <c r="F418" s="125">
        <f t="shared" si="3"/>
        <v>0</v>
      </c>
      <c r="G418" s="125">
        <f t="shared" si="3"/>
        <v>0</v>
      </c>
      <c r="H418" s="125">
        <f t="shared" si="3"/>
        <v>0</v>
      </c>
      <c r="I418" s="125">
        <f t="shared" si="3"/>
        <v>0</v>
      </c>
      <c r="J418" s="125">
        <f t="shared" si="3"/>
        <v>0</v>
      </c>
      <c r="K418" s="125">
        <f t="shared" si="3"/>
        <v>0</v>
      </c>
      <c r="L418" s="125">
        <f t="shared" si="3"/>
        <v>0</v>
      </c>
      <c r="M418" s="125">
        <f t="shared" si="3"/>
        <v>0</v>
      </c>
      <c r="N418" s="125">
        <f t="shared" si="4"/>
        <v>0</v>
      </c>
      <c r="O418" s="125">
        <f t="shared" si="4"/>
        <v>0</v>
      </c>
      <c r="P418" s="125">
        <f t="shared" si="4"/>
        <v>0</v>
      </c>
      <c r="Q418" s="125">
        <f t="shared" si="4"/>
        <v>0</v>
      </c>
      <c r="R418" s="125">
        <f t="shared" si="4"/>
        <v>0</v>
      </c>
      <c r="S418" s="125">
        <f t="shared" si="4"/>
        <v>0</v>
      </c>
      <c r="T418" s="125">
        <f t="shared" si="4"/>
        <v>0</v>
      </c>
      <c r="U418" s="125">
        <f t="shared" si="4"/>
        <v>0</v>
      </c>
      <c r="V418" s="125">
        <f t="shared" si="4"/>
        <v>0</v>
      </c>
      <c r="W418" s="125">
        <f t="shared" si="4"/>
        <v>0</v>
      </c>
      <c r="X418" s="125">
        <f t="shared" si="5"/>
        <v>0</v>
      </c>
      <c r="Y418" s="125">
        <f t="shared" si="5"/>
        <v>0</v>
      </c>
      <c r="Z418" s="125">
        <f t="shared" si="5"/>
        <v>0</v>
      </c>
      <c r="AA418" s="125">
        <f t="shared" si="5"/>
        <v>0</v>
      </c>
      <c r="AB418" s="125">
        <f t="shared" si="5"/>
        <v>0</v>
      </c>
      <c r="AC418" s="125">
        <f t="shared" si="5"/>
        <v>0</v>
      </c>
      <c r="AD418" s="125">
        <f t="shared" si="5"/>
        <v>0</v>
      </c>
      <c r="AE418" s="125">
        <f t="shared" si="5"/>
        <v>0</v>
      </c>
      <c r="AF418" s="125">
        <f t="shared" si="5"/>
        <v>0</v>
      </c>
      <c r="AG418" s="125">
        <f t="shared" si="5"/>
        <v>0</v>
      </c>
      <c r="AH418" s="125">
        <f t="shared" si="6"/>
        <v>0</v>
      </c>
      <c r="AI418" s="125">
        <f t="shared" si="6"/>
        <v>0</v>
      </c>
      <c r="AJ418" s="125">
        <f t="shared" si="6"/>
        <v>0</v>
      </c>
      <c r="AK418" s="125">
        <f t="shared" si="6"/>
        <v>0</v>
      </c>
      <c r="AL418" s="125">
        <f t="shared" si="6"/>
        <v>0</v>
      </c>
      <c r="AM418" s="124">
        <f t="shared" si="7"/>
        <v>0</v>
      </c>
      <c r="AN418" s="124">
        <f t="shared" si="7"/>
        <v>0</v>
      </c>
      <c r="AO418" s="124">
        <f t="shared" si="7"/>
        <v>0</v>
      </c>
      <c r="AP418" s="124">
        <f t="shared" si="7"/>
        <v>0</v>
      </c>
      <c r="AQ418" s="124">
        <f t="shared" si="7"/>
        <v>0</v>
      </c>
      <c r="AR418" s="124">
        <f t="shared" si="7"/>
        <v>0</v>
      </c>
      <c r="AS418" s="124">
        <f t="shared" si="7"/>
        <v>0</v>
      </c>
      <c r="AT418" s="124">
        <f t="shared" si="7"/>
        <v>0</v>
      </c>
      <c r="AU418" s="124">
        <f t="shared" si="7"/>
        <v>0</v>
      </c>
      <c r="AV418" s="124">
        <f t="shared" si="7"/>
        <v>0</v>
      </c>
      <c r="AW418" s="124">
        <f t="shared" si="8"/>
        <v>0</v>
      </c>
      <c r="AX418" s="124">
        <f t="shared" si="8"/>
        <v>0</v>
      </c>
      <c r="AY418" s="124">
        <f t="shared" si="8"/>
        <v>0</v>
      </c>
      <c r="AZ418" s="124">
        <f t="shared" si="8"/>
        <v>0</v>
      </c>
      <c r="BA418" s="124">
        <f t="shared" si="8"/>
        <v>0</v>
      </c>
      <c r="BB418" s="124">
        <f t="shared" si="8"/>
        <v>0</v>
      </c>
      <c r="BC418" s="124">
        <f t="shared" si="8"/>
        <v>0</v>
      </c>
      <c r="BD418" s="124">
        <f t="shared" si="8"/>
        <v>0</v>
      </c>
      <c r="BE418" s="124">
        <f t="shared" si="8"/>
        <v>0</v>
      </c>
      <c r="BF418" s="124">
        <f t="shared" si="8"/>
        <v>0</v>
      </c>
      <c r="BG418" s="124">
        <f t="shared" si="9"/>
        <v>0</v>
      </c>
      <c r="BH418" s="124">
        <f t="shared" si="9"/>
        <v>0</v>
      </c>
      <c r="BI418" s="124">
        <f t="shared" si="9"/>
        <v>0</v>
      </c>
      <c r="BJ418" s="124">
        <f t="shared" si="9"/>
        <v>0</v>
      </c>
      <c r="BK418" s="124">
        <f t="shared" si="9"/>
        <v>0</v>
      </c>
      <c r="BL418" s="124">
        <f t="shared" si="9"/>
        <v>0</v>
      </c>
      <c r="BM418" s="124">
        <f t="shared" si="9"/>
        <v>0</v>
      </c>
      <c r="BN418" s="124">
        <f t="shared" si="9"/>
        <v>0</v>
      </c>
      <c r="BO418" s="124">
        <f t="shared" si="9"/>
        <v>0</v>
      </c>
      <c r="BP418" s="124">
        <f t="shared" si="9"/>
        <v>0</v>
      </c>
      <c r="BQ418" s="124">
        <f t="shared" si="9"/>
        <v>0</v>
      </c>
      <c r="BR418" s="124">
        <f t="shared" si="9"/>
        <v>0</v>
      </c>
      <c r="BS418" s="124">
        <f t="shared" si="9"/>
        <v>0</v>
      </c>
      <c r="BT418" s="124">
        <f t="shared" si="9"/>
        <v>0</v>
      </c>
      <c r="BU418" s="124">
        <f t="shared" si="9"/>
        <v>0</v>
      </c>
    </row>
    <row r="419" spans="1:73" x14ac:dyDescent="0.15">
      <c r="B419" s="124">
        <f>SUM(B415:B418)</f>
        <v>0</v>
      </c>
      <c r="C419" s="123" t="s">
        <v>235</v>
      </c>
      <c r="D419" s="125">
        <f t="shared" si="3"/>
        <v>0</v>
      </c>
      <c r="E419" s="125">
        <f t="shared" si="3"/>
        <v>0</v>
      </c>
      <c r="F419" s="125">
        <f t="shared" si="3"/>
        <v>0</v>
      </c>
      <c r="G419" s="125">
        <f t="shared" si="3"/>
        <v>0</v>
      </c>
      <c r="H419" s="125">
        <f t="shared" si="3"/>
        <v>0</v>
      </c>
      <c r="I419" s="125">
        <f t="shared" si="3"/>
        <v>0</v>
      </c>
      <c r="J419" s="125">
        <f t="shared" si="3"/>
        <v>0</v>
      </c>
      <c r="K419" s="125">
        <f t="shared" si="3"/>
        <v>0</v>
      </c>
      <c r="L419" s="125">
        <f t="shared" si="3"/>
        <v>0</v>
      </c>
      <c r="M419" s="125">
        <f t="shared" si="3"/>
        <v>0</v>
      </c>
      <c r="N419" s="125">
        <f t="shared" si="4"/>
        <v>0</v>
      </c>
      <c r="O419" s="125">
        <f t="shared" si="4"/>
        <v>0</v>
      </c>
      <c r="P419" s="125">
        <f t="shared" si="4"/>
        <v>0</v>
      </c>
      <c r="Q419" s="125">
        <f t="shared" si="4"/>
        <v>0</v>
      </c>
      <c r="R419" s="125">
        <f t="shared" si="4"/>
        <v>0</v>
      </c>
      <c r="S419" s="125">
        <f t="shared" si="4"/>
        <v>0</v>
      </c>
      <c r="T419" s="125">
        <f t="shared" si="4"/>
        <v>0</v>
      </c>
      <c r="U419" s="125">
        <f t="shared" si="4"/>
        <v>0</v>
      </c>
      <c r="V419" s="125">
        <f t="shared" si="4"/>
        <v>0</v>
      </c>
      <c r="W419" s="125">
        <f t="shared" si="4"/>
        <v>0</v>
      </c>
      <c r="X419" s="125">
        <f t="shared" si="5"/>
        <v>0</v>
      </c>
      <c r="Y419" s="125">
        <f t="shared" si="5"/>
        <v>0</v>
      </c>
      <c r="Z419" s="125">
        <f t="shared" si="5"/>
        <v>0</v>
      </c>
      <c r="AA419" s="125">
        <f t="shared" si="5"/>
        <v>0</v>
      </c>
      <c r="AB419" s="125">
        <f t="shared" si="5"/>
        <v>0</v>
      </c>
      <c r="AC419" s="125">
        <f t="shared" si="5"/>
        <v>0</v>
      </c>
      <c r="AD419" s="125">
        <f t="shared" si="5"/>
        <v>0</v>
      </c>
      <c r="AE419" s="125">
        <f t="shared" si="5"/>
        <v>0</v>
      </c>
      <c r="AF419" s="125">
        <f t="shared" si="5"/>
        <v>0</v>
      </c>
      <c r="AG419" s="125">
        <f t="shared" si="5"/>
        <v>0</v>
      </c>
      <c r="AH419" s="125">
        <f t="shared" si="6"/>
        <v>0</v>
      </c>
      <c r="AI419" s="125">
        <f t="shared" si="6"/>
        <v>0</v>
      </c>
      <c r="AJ419" s="125">
        <f t="shared" si="6"/>
        <v>0</v>
      </c>
      <c r="AK419" s="125">
        <f t="shared" si="6"/>
        <v>0</v>
      </c>
      <c r="AL419" s="125">
        <f t="shared" si="6"/>
        <v>0</v>
      </c>
      <c r="AM419" s="124">
        <f>SUM(AM415:AM418)</f>
        <v>0</v>
      </c>
      <c r="AN419" s="124">
        <f t="shared" ref="AN419:BU419" si="10">SUM(AN415:AN418)</f>
        <v>0</v>
      </c>
      <c r="AO419" s="124">
        <f t="shared" si="10"/>
        <v>0</v>
      </c>
      <c r="AP419" s="124">
        <f t="shared" si="10"/>
        <v>0</v>
      </c>
      <c r="AQ419" s="124">
        <f t="shared" si="10"/>
        <v>0</v>
      </c>
      <c r="AR419" s="124">
        <f t="shared" si="10"/>
        <v>0</v>
      </c>
      <c r="AS419" s="124">
        <f t="shared" si="10"/>
        <v>0</v>
      </c>
      <c r="AT419" s="124">
        <f t="shared" si="10"/>
        <v>0</v>
      </c>
      <c r="AU419" s="124">
        <f t="shared" si="10"/>
        <v>0</v>
      </c>
      <c r="AV419" s="124">
        <f t="shared" si="10"/>
        <v>0</v>
      </c>
      <c r="AW419" s="124">
        <f t="shared" si="10"/>
        <v>0</v>
      </c>
      <c r="AX419" s="124">
        <f t="shared" si="10"/>
        <v>0</v>
      </c>
      <c r="AY419" s="124">
        <f t="shared" si="10"/>
        <v>0</v>
      </c>
      <c r="AZ419" s="124">
        <f t="shared" si="10"/>
        <v>0</v>
      </c>
      <c r="BA419" s="124">
        <f t="shared" si="10"/>
        <v>0</v>
      </c>
      <c r="BB419" s="124">
        <f t="shared" si="10"/>
        <v>0</v>
      </c>
      <c r="BC419" s="124">
        <f t="shared" si="10"/>
        <v>0</v>
      </c>
      <c r="BD419" s="124">
        <f t="shared" si="10"/>
        <v>0</v>
      </c>
      <c r="BE419" s="124">
        <f t="shared" si="10"/>
        <v>0</v>
      </c>
      <c r="BF419" s="124">
        <f t="shared" si="10"/>
        <v>0</v>
      </c>
      <c r="BG419" s="124">
        <f t="shared" si="10"/>
        <v>0</v>
      </c>
      <c r="BH419" s="124">
        <f t="shared" si="10"/>
        <v>0</v>
      </c>
      <c r="BI419" s="124">
        <f t="shared" si="10"/>
        <v>0</v>
      </c>
      <c r="BJ419" s="124">
        <f t="shared" si="10"/>
        <v>0</v>
      </c>
      <c r="BK419" s="124">
        <f t="shared" si="10"/>
        <v>0</v>
      </c>
      <c r="BL419" s="124">
        <f t="shared" si="10"/>
        <v>0</v>
      </c>
      <c r="BM419" s="124">
        <f t="shared" si="10"/>
        <v>0</v>
      </c>
      <c r="BN419" s="124">
        <f t="shared" si="10"/>
        <v>0</v>
      </c>
      <c r="BO419" s="124">
        <f t="shared" si="10"/>
        <v>0</v>
      </c>
      <c r="BP419" s="124">
        <f t="shared" si="10"/>
        <v>0</v>
      </c>
      <c r="BQ419" s="124">
        <f t="shared" si="10"/>
        <v>0</v>
      </c>
      <c r="BR419" s="124">
        <f t="shared" si="10"/>
        <v>0</v>
      </c>
      <c r="BS419" s="124">
        <f t="shared" si="10"/>
        <v>0</v>
      </c>
      <c r="BT419" s="124">
        <f t="shared" si="10"/>
        <v>0</v>
      </c>
      <c r="BU419" s="124">
        <f t="shared" si="10"/>
        <v>0</v>
      </c>
    </row>
    <row r="420" spans="1:73" x14ac:dyDescent="0.15">
      <c r="B420" s="127" t="s">
        <v>48</v>
      </c>
      <c r="C420" s="42" t="s">
        <v>236</v>
      </c>
      <c r="D420" s="126">
        <f>D414</f>
        <v>0</v>
      </c>
      <c r="E420" s="126">
        <f t="shared" ref="E420:AL420" si="11">E414</f>
        <v>10</v>
      </c>
      <c r="F420" s="126">
        <f t="shared" si="11"/>
        <v>20</v>
      </c>
      <c r="G420" s="126">
        <f t="shared" si="11"/>
        <v>30</v>
      </c>
      <c r="H420" s="126">
        <f t="shared" si="11"/>
        <v>40</v>
      </c>
      <c r="I420" s="126">
        <f t="shared" si="11"/>
        <v>50</v>
      </c>
      <c r="J420" s="126">
        <f t="shared" si="11"/>
        <v>60</v>
      </c>
      <c r="K420" s="126">
        <f t="shared" si="11"/>
        <v>70</v>
      </c>
      <c r="L420" s="126">
        <f t="shared" si="11"/>
        <v>80</v>
      </c>
      <c r="M420" s="126">
        <f t="shared" si="11"/>
        <v>90</v>
      </c>
      <c r="N420" s="126">
        <f t="shared" si="11"/>
        <v>100</v>
      </c>
      <c r="O420" s="126">
        <f t="shared" si="11"/>
        <v>120</v>
      </c>
      <c r="P420" s="126">
        <f t="shared" si="11"/>
        <v>140</v>
      </c>
      <c r="Q420" s="126">
        <f t="shared" si="11"/>
        <v>160</v>
      </c>
      <c r="R420" s="126">
        <f t="shared" si="11"/>
        <v>180</v>
      </c>
      <c r="S420" s="126">
        <f t="shared" si="11"/>
        <v>200</v>
      </c>
      <c r="T420" s="126">
        <f t="shared" si="11"/>
        <v>220</v>
      </c>
      <c r="U420" s="126">
        <f t="shared" si="11"/>
        <v>240</v>
      </c>
      <c r="V420" s="126">
        <f t="shared" si="11"/>
        <v>260</v>
      </c>
      <c r="W420" s="126">
        <f t="shared" si="11"/>
        <v>280</v>
      </c>
      <c r="X420" s="126">
        <f t="shared" si="11"/>
        <v>300</v>
      </c>
      <c r="Y420" s="126">
        <f t="shared" si="11"/>
        <v>350</v>
      </c>
      <c r="Z420" s="126">
        <f t="shared" si="11"/>
        <v>400</v>
      </c>
      <c r="AA420" s="126">
        <f t="shared" si="11"/>
        <v>450</v>
      </c>
      <c r="AB420" s="126">
        <f t="shared" si="11"/>
        <v>500</v>
      </c>
      <c r="AC420" s="126">
        <f t="shared" si="11"/>
        <v>600</v>
      </c>
      <c r="AD420" s="126">
        <f t="shared" si="11"/>
        <v>700</v>
      </c>
      <c r="AE420" s="126">
        <f t="shared" si="11"/>
        <v>800</v>
      </c>
      <c r="AF420" s="126">
        <f t="shared" si="11"/>
        <v>900</v>
      </c>
      <c r="AG420" s="126">
        <f t="shared" si="11"/>
        <v>1000</v>
      </c>
      <c r="AH420" s="126">
        <f t="shared" si="11"/>
        <v>1200</v>
      </c>
      <c r="AI420" s="126">
        <f t="shared" si="11"/>
        <v>1400</v>
      </c>
      <c r="AJ420" s="126">
        <f t="shared" si="11"/>
        <v>1600</v>
      </c>
      <c r="AK420" s="126">
        <f t="shared" si="11"/>
        <v>1800</v>
      </c>
      <c r="AL420" s="126">
        <f t="shared" si="11"/>
        <v>2000</v>
      </c>
      <c r="AM420" s="126">
        <f t="shared" ref="AM420:BU420" si="12">D420</f>
        <v>0</v>
      </c>
      <c r="AN420" s="126">
        <f t="shared" si="12"/>
        <v>10</v>
      </c>
      <c r="AO420" s="126">
        <f t="shared" si="12"/>
        <v>20</v>
      </c>
      <c r="AP420" s="126">
        <f t="shared" si="12"/>
        <v>30</v>
      </c>
      <c r="AQ420" s="126">
        <f t="shared" si="12"/>
        <v>40</v>
      </c>
      <c r="AR420" s="126">
        <f t="shared" si="12"/>
        <v>50</v>
      </c>
      <c r="AS420" s="126">
        <f t="shared" si="12"/>
        <v>60</v>
      </c>
      <c r="AT420" s="126">
        <f t="shared" si="12"/>
        <v>70</v>
      </c>
      <c r="AU420" s="126">
        <f t="shared" si="12"/>
        <v>80</v>
      </c>
      <c r="AV420" s="126">
        <f t="shared" si="12"/>
        <v>90</v>
      </c>
      <c r="AW420" s="126">
        <f t="shared" si="12"/>
        <v>100</v>
      </c>
      <c r="AX420" s="126">
        <f t="shared" si="12"/>
        <v>120</v>
      </c>
      <c r="AY420" s="126">
        <f t="shared" si="12"/>
        <v>140</v>
      </c>
      <c r="AZ420" s="126">
        <f t="shared" si="12"/>
        <v>160</v>
      </c>
      <c r="BA420" s="126">
        <f t="shared" si="12"/>
        <v>180</v>
      </c>
      <c r="BB420" s="126">
        <f t="shared" si="12"/>
        <v>200</v>
      </c>
      <c r="BC420" s="126">
        <f t="shared" si="12"/>
        <v>220</v>
      </c>
      <c r="BD420" s="126">
        <f t="shared" si="12"/>
        <v>240</v>
      </c>
      <c r="BE420" s="126">
        <f t="shared" si="12"/>
        <v>260</v>
      </c>
      <c r="BF420" s="126">
        <f t="shared" si="12"/>
        <v>280</v>
      </c>
      <c r="BG420" s="126">
        <f t="shared" si="12"/>
        <v>300</v>
      </c>
      <c r="BH420" s="126">
        <f t="shared" si="12"/>
        <v>350</v>
      </c>
      <c r="BI420" s="126">
        <f t="shared" si="12"/>
        <v>400</v>
      </c>
      <c r="BJ420" s="126">
        <f t="shared" si="12"/>
        <v>450</v>
      </c>
      <c r="BK420" s="126">
        <f t="shared" si="12"/>
        <v>500</v>
      </c>
      <c r="BL420" s="126">
        <f t="shared" si="12"/>
        <v>600</v>
      </c>
      <c r="BM420" s="126">
        <f t="shared" si="12"/>
        <v>700</v>
      </c>
      <c r="BN420" s="126">
        <f t="shared" si="12"/>
        <v>800</v>
      </c>
      <c r="BO420" s="126">
        <f t="shared" si="12"/>
        <v>900</v>
      </c>
      <c r="BP420" s="126">
        <f t="shared" si="12"/>
        <v>1000</v>
      </c>
      <c r="BQ420" s="126">
        <f t="shared" si="12"/>
        <v>1200</v>
      </c>
      <c r="BR420" s="126">
        <f t="shared" si="12"/>
        <v>1400</v>
      </c>
      <c r="BS420" s="126">
        <f t="shared" si="12"/>
        <v>1600</v>
      </c>
      <c r="BT420" s="126">
        <f t="shared" si="12"/>
        <v>1800</v>
      </c>
      <c r="BU420" s="126">
        <f t="shared" si="12"/>
        <v>2000</v>
      </c>
    </row>
    <row r="421" spans="1:73" x14ac:dyDescent="0.15">
      <c r="A421">
        <v>1</v>
      </c>
      <c r="B421" s="124" t="str">
        <f ca="1">IF($C421&lt;&gt;"",SUMIFS(C$4:C$413,$A$4:$A$413,$C421,$B$4:$B$413,"合計"),"")</f>
        <v/>
      </c>
      <c r="C421" s="123" t="str">
        <f ca="1">IF(A421&lt;=①簡易状況入力!$AC$5,INDIRECT("A"&amp;VLOOKUP($A421,①簡易状況入力!$Y$5:$AB$104,4,FALSE)),"")</f>
        <v/>
      </c>
      <c r="D421" s="125" t="str">
        <f t="shared" ref="D421" ca="1" si="13">IF(B421&lt;&gt;"",AM421/$B421,"")</f>
        <v/>
      </c>
      <c r="E421" s="125" t="str">
        <f t="shared" ref="E421" ca="1" si="14">IF(D421&lt;&gt;"",AN421/$B421,"")</f>
        <v/>
      </c>
      <c r="F421" s="125" t="str">
        <f t="shared" ref="F421" ca="1" si="15">IF(E421&lt;&gt;"",AO421/$B421,"")</f>
        <v/>
      </c>
      <c r="G421" s="125" t="str">
        <f t="shared" ref="G421" ca="1" si="16">IF(F421&lt;&gt;"",AP421/$B421,"")</f>
        <v/>
      </c>
      <c r="H421" s="125" t="str">
        <f t="shared" ref="H421" ca="1" si="17">IF(G421&lt;&gt;"",AQ421/$B421,"")</f>
        <v/>
      </c>
      <c r="I421" s="125" t="str">
        <f t="shared" ref="I421" ca="1" si="18">IF(H421&lt;&gt;"",AR421/$B421,"")</f>
        <v/>
      </c>
      <c r="J421" s="125" t="str">
        <f t="shared" ref="J421" ca="1" si="19">IF(I421&lt;&gt;"",AS421/$B421,"")</f>
        <v/>
      </c>
      <c r="K421" s="125" t="str">
        <f t="shared" ref="K421" ca="1" si="20">IF(J421&lt;&gt;"",AT421/$B421,"")</f>
        <v/>
      </c>
      <c r="L421" s="125" t="str">
        <f t="shared" ref="L421" ca="1" si="21">IF(K421&lt;&gt;"",AU421/$B421,"")</f>
        <v/>
      </c>
      <c r="M421" s="125" t="str">
        <f t="shared" ref="M421" ca="1" si="22">IF(L421&lt;&gt;"",AV421/$B421,"")</f>
        <v/>
      </c>
      <c r="N421" s="125" t="str">
        <f t="shared" ref="N421" ca="1" si="23">IF(M421&lt;&gt;"",AW421/$B421,"")</f>
        <v/>
      </c>
      <c r="O421" s="125" t="str">
        <f t="shared" ref="O421" ca="1" si="24">IF(N421&lt;&gt;"",AX421/$B421,"")</f>
        <v/>
      </c>
      <c r="P421" s="125" t="str">
        <f t="shared" ref="P421" ca="1" si="25">IF(O421&lt;&gt;"",AY421/$B421,"")</f>
        <v/>
      </c>
      <c r="Q421" s="125" t="str">
        <f t="shared" ref="Q421" ca="1" si="26">IF(P421&lt;&gt;"",AZ421/$B421,"")</f>
        <v/>
      </c>
      <c r="R421" s="125" t="str">
        <f t="shared" ref="R421" ca="1" si="27">IF(Q421&lt;&gt;"",BA421/$B421,"")</f>
        <v/>
      </c>
      <c r="S421" s="125" t="str">
        <f t="shared" ref="S421" ca="1" si="28">IF(R421&lt;&gt;"",BB421/$B421,"")</f>
        <v/>
      </c>
      <c r="T421" s="125" t="str">
        <f t="shared" ref="T421" ca="1" si="29">IF(S421&lt;&gt;"",BC421/$B421,"")</f>
        <v/>
      </c>
      <c r="U421" s="125" t="str">
        <f t="shared" ref="U421" ca="1" si="30">IF(T421&lt;&gt;"",BD421/$B421,"")</f>
        <v/>
      </c>
      <c r="V421" s="125" t="str">
        <f t="shared" ref="V421" ca="1" si="31">IF(U421&lt;&gt;"",BE421/$B421,"")</f>
        <v/>
      </c>
      <c r="W421" s="125" t="str">
        <f t="shared" ref="W421" ca="1" si="32">IF(V421&lt;&gt;"",BF421/$B421,"")</f>
        <v/>
      </c>
      <c r="X421" s="125" t="str">
        <f t="shared" ref="X421" ca="1" si="33">IF(W421&lt;&gt;"",BG421/$B421,"")</f>
        <v/>
      </c>
      <c r="Y421" s="125" t="str">
        <f t="shared" ref="Y421" ca="1" si="34">IF(X421&lt;&gt;"",BH421/$B421,"")</f>
        <v/>
      </c>
      <c r="Z421" s="125" t="str">
        <f t="shared" ref="Z421" ca="1" si="35">IF(Y421&lt;&gt;"",BI421/$B421,"")</f>
        <v/>
      </c>
      <c r="AA421" s="125" t="str">
        <f t="shared" ref="AA421" ca="1" si="36">IF(Z421&lt;&gt;"",BJ421/$B421,"")</f>
        <v/>
      </c>
      <c r="AB421" s="125" t="str">
        <f t="shared" ref="AB421" ca="1" si="37">IF(AA421&lt;&gt;"",BK421/$B421,"")</f>
        <v/>
      </c>
      <c r="AC421" s="125" t="str">
        <f t="shared" ref="AC421" ca="1" si="38">IF(AB421&lt;&gt;"",BL421/$B421,"")</f>
        <v/>
      </c>
      <c r="AD421" s="125" t="str">
        <f t="shared" ref="AD421" ca="1" si="39">IF(AC421&lt;&gt;"",BM421/$B421,"")</f>
        <v/>
      </c>
      <c r="AE421" s="125" t="str">
        <f t="shared" ref="AE421" ca="1" si="40">IF(AD421&lt;&gt;"",BN421/$B421,"")</f>
        <v/>
      </c>
      <c r="AF421" s="125" t="str">
        <f t="shared" ref="AF421" ca="1" si="41">IF(AE421&lt;&gt;"",BO421/$B421,"")</f>
        <v/>
      </c>
      <c r="AG421" s="125" t="str">
        <f t="shared" ref="AG421" ca="1" si="42">IF(AF421&lt;&gt;"",BP421/$B421,"")</f>
        <v/>
      </c>
      <c r="AH421" s="125" t="str">
        <f t="shared" ref="AH421" ca="1" si="43">IF(AG421&lt;&gt;"",BQ421/$B421,"")</f>
        <v/>
      </c>
      <c r="AI421" s="125" t="str">
        <f t="shared" ref="AI421" ca="1" si="44">IF(AH421&lt;&gt;"",BR421/$B421,"")</f>
        <v/>
      </c>
      <c r="AJ421" s="125" t="str">
        <f t="shared" ref="AJ421" ca="1" si="45">IF(AI421&lt;&gt;"",BS421/$B421,"")</f>
        <v/>
      </c>
      <c r="AK421" s="125" t="str">
        <f t="shared" ref="AK421" ca="1" si="46">IF(AJ421&lt;&gt;"",BT421/$B421,"")</f>
        <v/>
      </c>
      <c r="AL421" s="125" t="str">
        <f t="shared" ref="AL421" ca="1" si="47">IF(AK421&lt;&gt;"",BU421/$B421,"")</f>
        <v/>
      </c>
      <c r="AM421" s="124" t="str">
        <f t="shared" ref="AM421:BU421" ca="1" si="48">IF($C421&lt;&gt;"",SUMIFS(AM$4:AM$413,$A$4:$A$413,$C421,$B$4:$B$413,"合計"),"")</f>
        <v/>
      </c>
      <c r="AN421" s="124" t="str">
        <f t="shared" ca="1" si="48"/>
        <v/>
      </c>
      <c r="AO421" s="124" t="str">
        <f t="shared" ca="1" si="48"/>
        <v/>
      </c>
      <c r="AP421" s="124" t="str">
        <f t="shared" ca="1" si="48"/>
        <v/>
      </c>
      <c r="AQ421" s="124" t="str">
        <f t="shared" ca="1" si="48"/>
        <v/>
      </c>
      <c r="AR421" s="124" t="str">
        <f t="shared" ca="1" si="48"/>
        <v/>
      </c>
      <c r="AS421" s="124" t="str">
        <f t="shared" ca="1" si="48"/>
        <v/>
      </c>
      <c r="AT421" s="124" t="str">
        <f t="shared" ca="1" si="48"/>
        <v/>
      </c>
      <c r="AU421" s="124" t="str">
        <f t="shared" ca="1" si="48"/>
        <v/>
      </c>
      <c r="AV421" s="124" t="str">
        <f t="shared" ca="1" si="48"/>
        <v/>
      </c>
      <c r="AW421" s="124" t="str">
        <f t="shared" ca="1" si="48"/>
        <v/>
      </c>
      <c r="AX421" s="124" t="str">
        <f t="shared" ca="1" si="48"/>
        <v/>
      </c>
      <c r="AY421" s="124" t="str">
        <f t="shared" ca="1" si="48"/>
        <v/>
      </c>
      <c r="AZ421" s="124" t="str">
        <f t="shared" ca="1" si="48"/>
        <v/>
      </c>
      <c r="BA421" s="124" t="str">
        <f t="shared" ca="1" si="48"/>
        <v/>
      </c>
      <c r="BB421" s="124" t="str">
        <f t="shared" ca="1" si="48"/>
        <v/>
      </c>
      <c r="BC421" s="124" t="str">
        <f t="shared" ca="1" si="48"/>
        <v/>
      </c>
      <c r="BD421" s="124" t="str">
        <f t="shared" ca="1" si="48"/>
        <v/>
      </c>
      <c r="BE421" s="124" t="str">
        <f t="shared" ca="1" si="48"/>
        <v/>
      </c>
      <c r="BF421" s="124" t="str">
        <f t="shared" ca="1" si="48"/>
        <v/>
      </c>
      <c r="BG421" s="124" t="str">
        <f t="shared" ca="1" si="48"/>
        <v/>
      </c>
      <c r="BH421" s="124" t="str">
        <f t="shared" ca="1" si="48"/>
        <v/>
      </c>
      <c r="BI421" s="124" t="str">
        <f t="shared" ca="1" si="48"/>
        <v/>
      </c>
      <c r="BJ421" s="124" t="str">
        <f t="shared" ca="1" si="48"/>
        <v/>
      </c>
      <c r="BK421" s="124" t="str">
        <f t="shared" ca="1" si="48"/>
        <v/>
      </c>
      <c r="BL421" s="124" t="str">
        <f t="shared" ca="1" si="48"/>
        <v/>
      </c>
      <c r="BM421" s="124" t="str">
        <f t="shared" ca="1" si="48"/>
        <v/>
      </c>
      <c r="BN421" s="124" t="str">
        <f t="shared" ca="1" si="48"/>
        <v/>
      </c>
      <c r="BO421" s="124" t="str">
        <f t="shared" ca="1" si="48"/>
        <v/>
      </c>
      <c r="BP421" s="124" t="str">
        <f t="shared" ca="1" si="48"/>
        <v/>
      </c>
      <c r="BQ421" s="124" t="str">
        <f t="shared" ca="1" si="48"/>
        <v/>
      </c>
      <c r="BR421" s="124" t="str">
        <f t="shared" ca="1" si="48"/>
        <v/>
      </c>
      <c r="BS421" s="124" t="str">
        <f t="shared" ca="1" si="48"/>
        <v/>
      </c>
      <c r="BT421" s="124" t="str">
        <f t="shared" ca="1" si="48"/>
        <v/>
      </c>
      <c r="BU421" s="124" t="str">
        <f t="shared" ca="1" si="48"/>
        <v/>
      </c>
    </row>
    <row r="422" spans="1:73" x14ac:dyDescent="0.15">
      <c r="A422">
        <v>2</v>
      </c>
      <c r="B422" s="124" t="str">
        <f t="shared" ref="B422:B485" ca="1" si="49">IF($C422&lt;&gt;"",SUMIFS(C$4:C$413,$A$4:$A$413,$C422,$B$4:$B$413,"合計"),"")</f>
        <v/>
      </c>
      <c r="C422" s="123" t="str">
        <f ca="1">IF(A422&lt;=①簡易状況入力!$AC$5,INDIRECT("A"&amp;VLOOKUP($A422,①簡易状況入力!$Y$5:$AB$104,4,FALSE)),"")</f>
        <v/>
      </c>
      <c r="D422" s="125" t="str">
        <f t="shared" ref="D422:D485" ca="1" si="50">IF(B422&lt;&gt;"",AM422/$B422,"")</f>
        <v/>
      </c>
      <c r="E422" s="125" t="str">
        <f t="shared" ref="E422:E485" ca="1" si="51">IF(D422&lt;&gt;"",AN422/$B422,"")</f>
        <v/>
      </c>
      <c r="F422" s="125" t="str">
        <f t="shared" ref="F422:F485" ca="1" si="52">IF(E422&lt;&gt;"",AO422/$B422,"")</f>
        <v/>
      </c>
      <c r="G422" s="125" t="str">
        <f t="shared" ref="G422:G485" ca="1" si="53">IF(F422&lt;&gt;"",AP422/$B422,"")</f>
        <v/>
      </c>
      <c r="H422" s="125" t="str">
        <f t="shared" ref="H422:H485" ca="1" si="54">IF(G422&lt;&gt;"",AQ422/$B422,"")</f>
        <v/>
      </c>
      <c r="I422" s="125" t="str">
        <f t="shared" ref="I422:I485" ca="1" si="55">IF(H422&lt;&gt;"",AR422/$B422,"")</f>
        <v/>
      </c>
      <c r="J422" s="125" t="str">
        <f t="shared" ref="J422:J485" ca="1" si="56">IF(I422&lt;&gt;"",AS422/$B422,"")</f>
        <v/>
      </c>
      <c r="K422" s="125" t="str">
        <f t="shared" ref="K422:K485" ca="1" si="57">IF(J422&lt;&gt;"",AT422/$B422,"")</f>
        <v/>
      </c>
      <c r="L422" s="125" t="str">
        <f t="shared" ref="L422:L485" ca="1" si="58">IF(K422&lt;&gt;"",AU422/$B422,"")</f>
        <v/>
      </c>
      <c r="M422" s="125" t="str">
        <f t="shared" ref="M422:M485" ca="1" si="59">IF(L422&lt;&gt;"",AV422/$B422,"")</f>
        <v/>
      </c>
      <c r="N422" s="125" t="str">
        <f t="shared" ref="N422:N485" ca="1" si="60">IF(M422&lt;&gt;"",AW422/$B422,"")</f>
        <v/>
      </c>
      <c r="O422" s="125" t="str">
        <f t="shared" ref="O422:O485" ca="1" si="61">IF(N422&lt;&gt;"",AX422/$B422,"")</f>
        <v/>
      </c>
      <c r="P422" s="125" t="str">
        <f t="shared" ref="P422:P485" ca="1" si="62">IF(O422&lt;&gt;"",AY422/$B422,"")</f>
        <v/>
      </c>
      <c r="Q422" s="125" t="str">
        <f t="shared" ref="Q422:Q485" ca="1" si="63">IF(P422&lt;&gt;"",AZ422/$B422,"")</f>
        <v/>
      </c>
      <c r="R422" s="125" t="str">
        <f t="shared" ref="R422:R485" ca="1" si="64">IF(Q422&lt;&gt;"",BA422/$B422,"")</f>
        <v/>
      </c>
      <c r="S422" s="125" t="str">
        <f t="shared" ref="S422:S485" ca="1" si="65">IF(R422&lt;&gt;"",BB422/$B422,"")</f>
        <v/>
      </c>
      <c r="T422" s="125" t="str">
        <f t="shared" ref="T422:T485" ca="1" si="66">IF(S422&lt;&gt;"",BC422/$B422,"")</f>
        <v/>
      </c>
      <c r="U422" s="125" t="str">
        <f t="shared" ref="U422:U485" ca="1" si="67">IF(T422&lt;&gt;"",BD422/$B422,"")</f>
        <v/>
      </c>
      <c r="V422" s="125" t="str">
        <f t="shared" ref="V422:V485" ca="1" si="68">IF(U422&lt;&gt;"",BE422/$B422,"")</f>
        <v/>
      </c>
      <c r="W422" s="125" t="str">
        <f t="shared" ref="W422:W485" ca="1" si="69">IF(V422&lt;&gt;"",BF422/$B422,"")</f>
        <v/>
      </c>
      <c r="X422" s="125" t="str">
        <f t="shared" ref="X422:X485" ca="1" si="70">IF(W422&lt;&gt;"",BG422/$B422,"")</f>
        <v/>
      </c>
      <c r="Y422" s="125" t="str">
        <f t="shared" ref="Y422:Y485" ca="1" si="71">IF(X422&lt;&gt;"",BH422/$B422,"")</f>
        <v/>
      </c>
      <c r="Z422" s="125" t="str">
        <f t="shared" ref="Z422:Z485" ca="1" si="72">IF(Y422&lt;&gt;"",BI422/$B422,"")</f>
        <v/>
      </c>
      <c r="AA422" s="125" t="str">
        <f t="shared" ref="AA422:AA485" ca="1" si="73">IF(Z422&lt;&gt;"",BJ422/$B422,"")</f>
        <v/>
      </c>
      <c r="AB422" s="125" t="str">
        <f t="shared" ref="AB422:AB485" ca="1" si="74">IF(AA422&lt;&gt;"",BK422/$B422,"")</f>
        <v/>
      </c>
      <c r="AC422" s="125" t="str">
        <f t="shared" ref="AC422:AC485" ca="1" si="75">IF(AB422&lt;&gt;"",BL422/$B422,"")</f>
        <v/>
      </c>
      <c r="AD422" s="125" t="str">
        <f t="shared" ref="AD422:AD485" ca="1" si="76">IF(AC422&lt;&gt;"",BM422/$B422,"")</f>
        <v/>
      </c>
      <c r="AE422" s="125" t="str">
        <f t="shared" ref="AE422:AE485" ca="1" si="77">IF(AD422&lt;&gt;"",BN422/$B422,"")</f>
        <v/>
      </c>
      <c r="AF422" s="125" t="str">
        <f t="shared" ref="AF422:AF485" ca="1" si="78">IF(AE422&lt;&gt;"",BO422/$B422,"")</f>
        <v/>
      </c>
      <c r="AG422" s="125" t="str">
        <f t="shared" ref="AG422:AG485" ca="1" si="79">IF(AF422&lt;&gt;"",BP422/$B422,"")</f>
        <v/>
      </c>
      <c r="AH422" s="125" t="str">
        <f t="shared" ref="AH422:AH485" ca="1" si="80">IF(AG422&lt;&gt;"",BQ422/$B422,"")</f>
        <v/>
      </c>
      <c r="AI422" s="125" t="str">
        <f t="shared" ref="AI422:AI485" ca="1" si="81">IF(AH422&lt;&gt;"",BR422/$B422,"")</f>
        <v/>
      </c>
      <c r="AJ422" s="125" t="str">
        <f t="shared" ref="AJ422:AJ485" ca="1" si="82">IF(AI422&lt;&gt;"",BS422/$B422,"")</f>
        <v/>
      </c>
      <c r="AK422" s="125" t="str">
        <f t="shared" ref="AK422:AK485" ca="1" si="83">IF(AJ422&lt;&gt;"",BT422/$B422,"")</f>
        <v/>
      </c>
      <c r="AL422" s="125" t="str">
        <f t="shared" ref="AL422:AL485" ca="1" si="84">IF(AK422&lt;&gt;"",BU422/$B422,"")</f>
        <v/>
      </c>
      <c r="AM422" s="124" t="str">
        <f t="shared" ref="AM422:BB437" ca="1" si="85">IF($C422&lt;&gt;"",SUMIFS(AM$4:AM$413,$A$4:$A$413,$C422,$B$4:$B$413,"合計"),"")</f>
        <v/>
      </c>
      <c r="AN422" s="124" t="str">
        <f t="shared" ca="1" si="85"/>
        <v/>
      </c>
      <c r="AO422" s="124" t="str">
        <f t="shared" ca="1" si="85"/>
        <v/>
      </c>
      <c r="AP422" s="124" t="str">
        <f t="shared" ca="1" si="85"/>
        <v/>
      </c>
      <c r="AQ422" s="124" t="str">
        <f t="shared" ca="1" si="85"/>
        <v/>
      </c>
      <c r="AR422" s="124" t="str">
        <f t="shared" ca="1" si="85"/>
        <v/>
      </c>
      <c r="AS422" s="124" t="str">
        <f t="shared" ca="1" si="85"/>
        <v/>
      </c>
      <c r="AT422" s="124" t="str">
        <f t="shared" ca="1" si="85"/>
        <v/>
      </c>
      <c r="AU422" s="124" t="str">
        <f t="shared" ca="1" si="85"/>
        <v/>
      </c>
      <c r="AV422" s="124" t="str">
        <f t="shared" ca="1" si="85"/>
        <v/>
      </c>
      <c r="AW422" s="124" t="str">
        <f t="shared" ca="1" si="85"/>
        <v/>
      </c>
      <c r="AX422" s="124" t="str">
        <f t="shared" ca="1" si="85"/>
        <v/>
      </c>
      <c r="AY422" s="124" t="str">
        <f t="shared" ca="1" si="85"/>
        <v/>
      </c>
      <c r="AZ422" s="124" t="str">
        <f t="shared" ca="1" si="85"/>
        <v/>
      </c>
      <c r="BA422" s="124" t="str">
        <f t="shared" ca="1" si="85"/>
        <v/>
      </c>
      <c r="BB422" s="124" t="str">
        <f t="shared" ca="1" si="85"/>
        <v/>
      </c>
      <c r="BC422" s="124" t="str">
        <f t="shared" ref="BC422:BR437" ca="1" si="86">IF($C422&lt;&gt;"",SUMIFS(BC$4:BC$413,$A$4:$A$413,$C422,$B$4:$B$413,"合計"),"")</f>
        <v/>
      </c>
      <c r="BD422" s="124" t="str">
        <f t="shared" ca="1" si="86"/>
        <v/>
      </c>
      <c r="BE422" s="124" t="str">
        <f t="shared" ca="1" si="86"/>
        <v/>
      </c>
      <c r="BF422" s="124" t="str">
        <f t="shared" ca="1" si="86"/>
        <v/>
      </c>
      <c r="BG422" s="124" t="str">
        <f t="shared" ca="1" si="86"/>
        <v/>
      </c>
      <c r="BH422" s="124" t="str">
        <f t="shared" ca="1" si="86"/>
        <v/>
      </c>
      <c r="BI422" s="124" t="str">
        <f t="shared" ca="1" si="86"/>
        <v/>
      </c>
      <c r="BJ422" s="124" t="str">
        <f t="shared" ca="1" si="86"/>
        <v/>
      </c>
      <c r="BK422" s="124" t="str">
        <f t="shared" ca="1" si="86"/>
        <v/>
      </c>
      <c r="BL422" s="124" t="str">
        <f t="shared" ca="1" si="86"/>
        <v/>
      </c>
      <c r="BM422" s="124" t="str">
        <f t="shared" ca="1" si="86"/>
        <v/>
      </c>
      <c r="BN422" s="124" t="str">
        <f t="shared" ca="1" si="86"/>
        <v/>
      </c>
      <c r="BO422" s="124" t="str">
        <f t="shared" ca="1" si="86"/>
        <v/>
      </c>
      <c r="BP422" s="124" t="str">
        <f t="shared" ca="1" si="86"/>
        <v/>
      </c>
      <c r="BQ422" s="124" t="str">
        <f t="shared" ca="1" si="86"/>
        <v/>
      </c>
      <c r="BR422" s="124" t="str">
        <f t="shared" ca="1" si="86"/>
        <v/>
      </c>
      <c r="BS422" s="124" t="str">
        <f t="shared" ref="BS422:BU453" ca="1" si="87">IF($C422&lt;&gt;"",SUMIFS(BS$4:BS$413,$A$4:$A$413,$C422,$B$4:$B$413,"合計"),"")</f>
        <v/>
      </c>
      <c r="BT422" s="124" t="str">
        <f t="shared" ca="1" si="87"/>
        <v/>
      </c>
      <c r="BU422" s="124" t="str">
        <f t="shared" ca="1" si="87"/>
        <v/>
      </c>
    </row>
    <row r="423" spans="1:73" x14ac:dyDescent="0.15">
      <c r="A423">
        <v>3</v>
      </c>
      <c r="B423" s="124" t="str">
        <f t="shared" ca="1" si="49"/>
        <v/>
      </c>
      <c r="C423" s="123" t="str">
        <f ca="1">IF(A423&lt;=①簡易状況入力!$AC$5,INDIRECT("A"&amp;VLOOKUP($A423,①簡易状況入力!$Y$5:$AB$104,4,FALSE)),"")</f>
        <v/>
      </c>
      <c r="D423" s="125" t="str">
        <f t="shared" ca="1" si="50"/>
        <v/>
      </c>
      <c r="E423" s="125" t="str">
        <f t="shared" ca="1" si="51"/>
        <v/>
      </c>
      <c r="F423" s="125" t="str">
        <f t="shared" ca="1" si="52"/>
        <v/>
      </c>
      <c r="G423" s="125" t="str">
        <f t="shared" ca="1" si="53"/>
        <v/>
      </c>
      <c r="H423" s="125" t="str">
        <f t="shared" ca="1" si="54"/>
        <v/>
      </c>
      <c r="I423" s="125" t="str">
        <f t="shared" ca="1" si="55"/>
        <v/>
      </c>
      <c r="J423" s="125" t="str">
        <f t="shared" ca="1" si="56"/>
        <v/>
      </c>
      <c r="K423" s="125" t="str">
        <f t="shared" ca="1" si="57"/>
        <v/>
      </c>
      <c r="L423" s="125" t="str">
        <f t="shared" ca="1" si="58"/>
        <v/>
      </c>
      <c r="M423" s="125" t="str">
        <f t="shared" ca="1" si="59"/>
        <v/>
      </c>
      <c r="N423" s="125" t="str">
        <f t="shared" ca="1" si="60"/>
        <v/>
      </c>
      <c r="O423" s="125" t="str">
        <f t="shared" ca="1" si="61"/>
        <v/>
      </c>
      <c r="P423" s="125" t="str">
        <f t="shared" ca="1" si="62"/>
        <v/>
      </c>
      <c r="Q423" s="125" t="str">
        <f t="shared" ca="1" si="63"/>
        <v/>
      </c>
      <c r="R423" s="125" t="str">
        <f t="shared" ca="1" si="64"/>
        <v/>
      </c>
      <c r="S423" s="125" t="str">
        <f t="shared" ca="1" si="65"/>
        <v/>
      </c>
      <c r="T423" s="125" t="str">
        <f t="shared" ca="1" si="66"/>
        <v/>
      </c>
      <c r="U423" s="125" t="str">
        <f t="shared" ca="1" si="67"/>
        <v/>
      </c>
      <c r="V423" s="125" t="str">
        <f t="shared" ca="1" si="68"/>
        <v/>
      </c>
      <c r="W423" s="125" t="str">
        <f t="shared" ca="1" si="69"/>
        <v/>
      </c>
      <c r="X423" s="125" t="str">
        <f t="shared" ca="1" si="70"/>
        <v/>
      </c>
      <c r="Y423" s="125" t="str">
        <f t="shared" ca="1" si="71"/>
        <v/>
      </c>
      <c r="Z423" s="125" t="str">
        <f t="shared" ca="1" si="72"/>
        <v/>
      </c>
      <c r="AA423" s="125" t="str">
        <f t="shared" ca="1" si="73"/>
        <v/>
      </c>
      <c r="AB423" s="125" t="str">
        <f t="shared" ca="1" si="74"/>
        <v/>
      </c>
      <c r="AC423" s="125" t="str">
        <f t="shared" ca="1" si="75"/>
        <v/>
      </c>
      <c r="AD423" s="125" t="str">
        <f t="shared" ca="1" si="76"/>
        <v/>
      </c>
      <c r="AE423" s="125" t="str">
        <f t="shared" ca="1" si="77"/>
        <v/>
      </c>
      <c r="AF423" s="125" t="str">
        <f t="shared" ca="1" si="78"/>
        <v/>
      </c>
      <c r="AG423" s="125" t="str">
        <f t="shared" ca="1" si="79"/>
        <v/>
      </c>
      <c r="AH423" s="125" t="str">
        <f t="shared" ca="1" si="80"/>
        <v/>
      </c>
      <c r="AI423" s="125" t="str">
        <f t="shared" ca="1" si="81"/>
        <v/>
      </c>
      <c r="AJ423" s="125" t="str">
        <f t="shared" ca="1" si="82"/>
        <v/>
      </c>
      <c r="AK423" s="125" t="str">
        <f t="shared" ca="1" si="83"/>
        <v/>
      </c>
      <c r="AL423" s="125" t="str">
        <f t="shared" ca="1" si="84"/>
        <v/>
      </c>
      <c r="AM423" s="124" t="str">
        <f t="shared" ca="1" si="85"/>
        <v/>
      </c>
      <c r="AN423" s="124" t="str">
        <f t="shared" ca="1" si="85"/>
        <v/>
      </c>
      <c r="AO423" s="124" t="str">
        <f t="shared" ca="1" si="85"/>
        <v/>
      </c>
      <c r="AP423" s="124" t="str">
        <f t="shared" ca="1" si="85"/>
        <v/>
      </c>
      <c r="AQ423" s="124" t="str">
        <f t="shared" ca="1" si="85"/>
        <v/>
      </c>
      <c r="AR423" s="124" t="str">
        <f t="shared" ca="1" si="85"/>
        <v/>
      </c>
      <c r="AS423" s="124" t="str">
        <f t="shared" ca="1" si="85"/>
        <v/>
      </c>
      <c r="AT423" s="124" t="str">
        <f t="shared" ca="1" si="85"/>
        <v/>
      </c>
      <c r="AU423" s="124" t="str">
        <f t="shared" ca="1" si="85"/>
        <v/>
      </c>
      <c r="AV423" s="124" t="str">
        <f t="shared" ca="1" si="85"/>
        <v/>
      </c>
      <c r="AW423" s="124" t="str">
        <f t="shared" ca="1" si="85"/>
        <v/>
      </c>
      <c r="AX423" s="124" t="str">
        <f t="shared" ca="1" si="85"/>
        <v/>
      </c>
      <c r="AY423" s="124" t="str">
        <f t="shared" ca="1" si="85"/>
        <v/>
      </c>
      <c r="AZ423" s="124" t="str">
        <f t="shared" ca="1" si="85"/>
        <v/>
      </c>
      <c r="BA423" s="124" t="str">
        <f t="shared" ca="1" si="85"/>
        <v/>
      </c>
      <c r="BB423" s="124" t="str">
        <f t="shared" ca="1" si="85"/>
        <v/>
      </c>
      <c r="BC423" s="124" t="str">
        <f t="shared" ca="1" si="86"/>
        <v/>
      </c>
      <c r="BD423" s="124" t="str">
        <f t="shared" ca="1" si="86"/>
        <v/>
      </c>
      <c r="BE423" s="124" t="str">
        <f t="shared" ca="1" si="86"/>
        <v/>
      </c>
      <c r="BF423" s="124" t="str">
        <f t="shared" ca="1" si="86"/>
        <v/>
      </c>
      <c r="BG423" s="124" t="str">
        <f t="shared" ca="1" si="86"/>
        <v/>
      </c>
      <c r="BH423" s="124" t="str">
        <f t="shared" ca="1" si="86"/>
        <v/>
      </c>
      <c r="BI423" s="124" t="str">
        <f t="shared" ca="1" si="86"/>
        <v/>
      </c>
      <c r="BJ423" s="124" t="str">
        <f t="shared" ca="1" si="86"/>
        <v/>
      </c>
      <c r="BK423" s="124" t="str">
        <f t="shared" ca="1" si="86"/>
        <v/>
      </c>
      <c r="BL423" s="124" t="str">
        <f t="shared" ca="1" si="86"/>
        <v/>
      </c>
      <c r="BM423" s="124" t="str">
        <f t="shared" ca="1" si="86"/>
        <v/>
      </c>
      <c r="BN423" s="124" t="str">
        <f t="shared" ca="1" si="86"/>
        <v/>
      </c>
      <c r="BO423" s="124" t="str">
        <f t="shared" ca="1" si="86"/>
        <v/>
      </c>
      <c r="BP423" s="124" t="str">
        <f t="shared" ca="1" si="86"/>
        <v/>
      </c>
      <c r="BQ423" s="124" t="str">
        <f t="shared" ca="1" si="86"/>
        <v/>
      </c>
      <c r="BR423" s="124" t="str">
        <f t="shared" ca="1" si="86"/>
        <v/>
      </c>
      <c r="BS423" s="124" t="str">
        <f t="shared" ca="1" si="87"/>
        <v/>
      </c>
      <c r="BT423" s="124" t="str">
        <f t="shared" ca="1" si="87"/>
        <v/>
      </c>
      <c r="BU423" s="124" t="str">
        <f t="shared" ca="1" si="87"/>
        <v/>
      </c>
    </row>
    <row r="424" spans="1:73" x14ac:dyDescent="0.15">
      <c r="A424">
        <v>4</v>
      </c>
      <c r="B424" s="124" t="str">
        <f t="shared" ca="1" si="49"/>
        <v/>
      </c>
      <c r="C424" s="123" t="str">
        <f ca="1">IF(A424&lt;=①簡易状況入力!$AC$5,INDIRECT("A"&amp;VLOOKUP($A424,①簡易状況入力!$Y$5:$AB$104,4,FALSE)),"")</f>
        <v/>
      </c>
      <c r="D424" s="125" t="str">
        <f t="shared" ca="1" si="50"/>
        <v/>
      </c>
      <c r="E424" s="125" t="str">
        <f t="shared" ca="1" si="51"/>
        <v/>
      </c>
      <c r="F424" s="125" t="str">
        <f t="shared" ca="1" si="52"/>
        <v/>
      </c>
      <c r="G424" s="125" t="str">
        <f t="shared" ca="1" si="53"/>
        <v/>
      </c>
      <c r="H424" s="125" t="str">
        <f t="shared" ca="1" si="54"/>
        <v/>
      </c>
      <c r="I424" s="125" t="str">
        <f t="shared" ca="1" si="55"/>
        <v/>
      </c>
      <c r="J424" s="125" t="str">
        <f t="shared" ca="1" si="56"/>
        <v/>
      </c>
      <c r="K424" s="125" t="str">
        <f t="shared" ca="1" si="57"/>
        <v/>
      </c>
      <c r="L424" s="125" t="str">
        <f t="shared" ca="1" si="58"/>
        <v/>
      </c>
      <c r="M424" s="125" t="str">
        <f t="shared" ca="1" si="59"/>
        <v/>
      </c>
      <c r="N424" s="125" t="str">
        <f t="shared" ca="1" si="60"/>
        <v/>
      </c>
      <c r="O424" s="125" t="str">
        <f t="shared" ca="1" si="61"/>
        <v/>
      </c>
      <c r="P424" s="125" t="str">
        <f t="shared" ca="1" si="62"/>
        <v/>
      </c>
      <c r="Q424" s="125" t="str">
        <f t="shared" ca="1" si="63"/>
        <v/>
      </c>
      <c r="R424" s="125" t="str">
        <f t="shared" ca="1" si="64"/>
        <v/>
      </c>
      <c r="S424" s="125" t="str">
        <f t="shared" ca="1" si="65"/>
        <v/>
      </c>
      <c r="T424" s="125" t="str">
        <f t="shared" ca="1" si="66"/>
        <v/>
      </c>
      <c r="U424" s="125" t="str">
        <f t="shared" ca="1" si="67"/>
        <v/>
      </c>
      <c r="V424" s="125" t="str">
        <f t="shared" ca="1" si="68"/>
        <v/>
      </c>
      <c r="W424" s="125" t="str">
        <f t="shared" ca="1" si="69"/>
        <v/>
      </c>
      <c r="X424" s="125" t="str">
        <f t="shared" ca="1" si="70"/>
        <v/>
      </c>
      <c r="Y424" s="125" t="str">
        <f t="shared" ca="1" si="71"/>
        <v/>
      </c>
      <c r="Z424" s="125" t="str">
        <f t="shared" ca="1" si="72"/>
        <v/>
      </c>
      <c r="AA424" s="125" t="str">
        <f t="shared" ca="1" si="73"/>
        <v/>
      </c>
      <c r="AB424" s="125" t="str">
        <f t="shared" ca="1" si="74"/>
        <v/>
      </c>
      <c r="AC424" s="125" t="str">
        <f t="shared" ca="1" si="75"/>
        <v/>
      </c>
      <c r="AD424" s="125" t="str">
        <f t="shared" ca="1" si="76"/>
        <v/>
      </c>
      <c r="AE424" s="125" t="str">
        <f t="shared" ca="1" si="77"/>
        <v/>
      </c>
      <c r="AF424" s="125" t="str">
        <f t="shared" ca="1" si="78"/>
        <v/>
      </c>
      <c r="AG424" s="125" t="str">
        <f t="shared" ca="1" si="79"/>
        <v/>
      </c>
      <c r="AH424" s="125" t="str">
        <f t="shared" ca="1" si="80"/>
        <v/>
      </c>
      <c r="AI424" s="125" t="str">
        <f t="shared" ca="1" si="81"/>
        <v/>
      </c>
      <c r="AJ424" s="125" t="str">
        <f t="shared" ca="1" si="82"/>
        <v/>
      </c>
      <c r="AK424" s="125" t="str">
        <f t="shared" ca="1" si="83"/>
        <v/>
      </c>
      <c r="AL424" s="125" t="str">
        <f t="shared" ca="1" si="84"/>
        <v/>
      </c>
      <c r="AM424" s="124" t="str">
        <f t="shared" ca="1" si="85"/>
        <v/>
      </c>
      <c r="AN424" s="124" t="str">
        <f t="shared" ca="1" si="85"/>
        <v/>
      </c>
      <c r="AO424" s="124" t="str">
        <f t="shared" ca="1" si="85"/>
        <v/>
      </c>
      <c r="AP424" s="124" t="str">
        <f t="shared" ca="1" si="85"/>
        <v/>
      </c>
      <c r="AQ424" s="124" t="str">
        <f t="shared" ca="1" si="85"/>
        <v/>
      </c>
      <c r="AR424" s="124" t="str">
        <f t="shared" ca="1" si="85"/>
        <v/>
      </c>
      <c r="AS424" s="124" t="str">
        <f t="shared" ca="1" si="85"/>
        <v/>
      </c>
      <c r="AT424" s="124" t="str">
        <f t="shared" ca="1" si="85"/>
        <v/>
      </c>
      <c r="AU424" s="124" t="str">
        <f t="shared" ca="1" si="85"/>
        <v/>
      </c>
      <c r="AV424" s="124" t="str">
        <f t="shared" ca="1" si="85"/>
        <v/>
      </c>
      <c r="AW424" s="124" t="str">
        <f t="shared" ca="1" si="85"/>
        <v/>
      </c>
      <c r="AX424" s="124" t="str">
        <f t="shared" ca="1" si="85"/>
        <v/>
      </c>
      <c r="AY424" s="124" t="str">
        <f t="shared" ca="1" si="85"/>
        <v/>
      </c>
      <c r="AZ424" s="124" t="str">
        <f t="shared" ca="1" si="85"/>
        <v/>
      </c>
      <c r="BA424" s="124" t="str">
        <f t="shared" ca="1" si="85"/>
        <v/>
      </c>
      <c r="BB424" s="124" t="str">
        <f t="shared" ca="1" si="85"/>
        <v/>
      </c>
      <c r="BC424" s="124" t="str">
        <f t="shared" ca="1" si="86"/>
        <v/>
      </c>
      <c r="BD424" s="124" t="str">
        <f t="shared" ca="1" si="86"/>
        <v/>
      </c>
      <c r="BE424" s="124" t="str">
        <f t="shared" ca="1" si="86"/>
        <v/>
      </c>
      <c r="BF424" s="124" t="str">
        <f t="shared" ca="1" si="86"/>
        <v/>
      </c>
      <c r="BG424" s="124" t="str">
        <f t="shared" ca="1" si="86"/>
        <v/>
      </c>
      <c r="BH424" s="124" t="str">
        <f t="shared" ca="1" si="86"/>
        <v/>
      </c>
      <c r="BI424" s="124" t="str">
        <f t="shared" ca="1" si="86"/>
        <v/>
      </c>
      <c r="BJ424" s="124" t="str">
        <f t="shared" ca="1" si="86"/>
        <v/>
      </c>
      <c r="BK424" s="124" t="str">
        <f t="shared" ca="1" si="86"/>
        <v/>
      </c>
      <c r="BL424" s="124" t="str">
        <f t="shared" ca="1" si="86"/>
        <v/>
      </c>
      <c r="BM424" s="124" t="str">
        <f t="shared" ca="1" si="86"/>
        <v/>
      </c>
      <c r="BN424" s="124" t="str">
        <f t="shared" ca="1" si="86"/>
        <v/>
      </c>
      <c r="BO424" s="124" t="str">
        <f t="shared" ca="1" si="86"/>
        <v/>
      </c>
      <c r="BP424" s="124" t="str">
        <f t="shared" ca="1" si="86"/>
        <v/>
      </c>
      <c r="BQ424" s="124" t="str">
        <f t="shared" ca="1" si="86"/>
        <v/>
      </c>
      <c r="BR424" s="124" t="str">
        <f t="shared" ca="1" si="86"/>
        <v/>
      </c>
      <c r="BS424" s="124" t="str">
        <f t="shared" ca="1" si="87"/>
        <v/>
      </c>
      <c r="BT424" s="124" t="str">
        <f t="shared" ca="1" si="87"/>
        <v/>
      </c>
      <c r="BU424" s="124" t="str">
        <f t="shared" ca="1" si="87"/>
        <v/>
      </c>
    </row>
    <row r="425" spans="1:73" x14ac:dyDescent="0.15">
      <c r="A425">
        <v>5</v>
      </c>
      <c r="B425" s="124" t="str">
        <f t="shared" ca="1" si="49"/>
        <v/>
      </c>
      <c r="C425" s="123" t="str">
        <f ca="1">IF(A425&lt;=①簡易状況入力!$AC$5,INDIRECT("A"&amp;VLOOKUP($A425,①簡易状況入力!$Y$5:$AB$104,4,FALSE)),"")</f>
        <v/>
      </c>
      <c r="D425" s="125" t="str">
        <f t="shared" ca="1" si="50"/>
        <v/>
      </c>
      <c r="E425" s="125" t="str">
        <f t="shared" ca="1" si="51"/>
        <v/>
      </c>
      <c r="F425" s="125" t="str">
        <f t="shared" ca="1" si="52"/>
        <v/>
      </c>
      <c r="G425" s="125" t="str">
        <f t="shared" ca="1" si="53"/>
        <v/>
      </c>
      <c r="H425" s="125" t="str">
        <f t="shared" ca="1" si="54"/>
        <v/>
      </c>
      <c r="I425" s="125" t="str">
        <f t="shared" ca="1" si="55"/>
        <v/>
      </c>
      <c r="J425" s="125" t="str">
        <f t="shared" ca="1" si="56"/>
        <v/>
      </c>
      <c r="K425" s="125" t="str">
        <f t="shared" ca="1" si="57"/>
        <v/>
      </c>
      <c r="L425" s="125" t="str">
        <f t="shared" ca="1" si="58"/>
        <v/>
      </c>
      <c r="M425" s="125" t="str">
        <f t="shared" ca="1" si="59"/>
        <v/>
      </c>
      <c r="N425" s="125" t="str">
        <f t="shared" ca="1" si="60"/>
        <v/>
      </c>
      <c r="O425" s="125" t="str">
        <f t="shared" ca="1" si="61"/>
        <v/>
      </c>
      <c r="P425" s="125" t="str">
        <f t="shared" ca="1" si="62"/>
        <v/>
      </c>
      <c r="Q425" s="125" t="str">
        <f t="shared" ca="1" si="63"/>
        <v/>
      </c>
      <c r="R425" s="125" t="str">
        <f t="shared" ca="1" si="64"/>
        <v/>
      </c>
      <c r="S425" s="125" t="str">
        <f t="shared" ca="1" si="65"/>
        <v/>
      </c>
      <c r="T425" s="125" t="str">
        <f t="shared" ca="1" si="66"/>
        <v/>
      </c>
      <c r="U425" s="125" t="str">
        <f t="shared" ca="1" si="67"/>
        <v/>
      </c>
      <c r="V425" s="125" t="str">
        <f t="shared" ca="1" si="68"/>
        <v/>
      </c>
      <c r="W425" s="125" t="str">
        <f t="shared" ca="1" si="69"/>
        <v/>
      </c>
      <c r="X425" s="125" t="str">
        <f t="shared" ca="1" si="70"/>
        <v/>
      </c>
      <c r="Y425" s="125" t="str">
        <f t="shared" ca="1" si="71"/>
        <v/>
      </c>
      <c r="Z425" s="125" t="str">
        <f t="shared" ca="1" si="72"/>
        <v/>
      </c>
      <c r="AA425" s="125" t="str">
        <f t="shared" ca="1" si="73"/>
        <v/>
      </c>
      <c r="AB425" s="125" t="str">
        <f t="shared" ca="1" si="74"/>
        <v/>
      </c>
      <c r="AC425" s="125" t="str">
        <f t="shared" ca="1" si="75"/>
        <v/>
      </c>
      <c r="AD425" s="125" t="str">
        <f t="shared" ca="1" si="76"/>
        <v/>
      </c>
      <c r="AE425" s="125" t="str">
        <f t="shared" ca="1" si="77"/>
        <v/>
      </c>
      <c r="AF425" s="125" t="str">
        <f t="shared" ca="1" si="78"/>
        <v/>
      </c>
      <c r="AG425" s="125" t="str">
        <f t="shared" ca="1" si="79"/>
        <v/>
      </c>
      <c r="AH425" s="125" t="str">
        <f t="shared" ca="1" si="80"/>
        <v/>
      </c>
      <c r="AI425" s="125" t="str">
        <f t="shared" ca="1" si="81"/>
        <v/>
      </c>
      <c r="AJ425" s="125" t="str">
        <f t="shared" ca="1" si="82"/>
        <v/>
      </c>
      <c r="AK425" s="125" t="str">
        <f t="shared" ca="1" si="83"/>
        <v/>
      </c>
      <c r="AL425" s="125" t="str">
        <f t="shared" ca="1" si="84"/>
        <v/>
      </c>
      <c r="AM425" s="124" t="str">
        <f t="shared" ca="1" si="85"/>
        <v/>
      </c>
      <c r="AN425" s="124" t="str">
        <f t="shared" ca="1" si="85"/>
        <v/>
      </c>
      <c r="AO425" s="124" t="str">
        <f t="shared" ca="1" si="85"/>
        <v/>
      </c>
      <c r="AP425" s="124" t="str">
        <f t="shared" ca="1" si="85"/>
        <v/>
      </c>
      <c r="AQ425" s="124" t="str">
        <f t="shared" ca="1" si="85"/>
        <v/>
      </c>
      <c r="AR425" s="124" t="str">
        <f t="shared" ca="1" si="85"/>
        <v/>
      </c>
      <c r="AS425" s="124" t="str">
        <f t="shared" ca="1" si="85"/>
        <v/>
      </c>
      <c r="AT425" s="124" t="str">
        <f t="shared" ca="1" si="85"/>
        <v/>
      </c>
      <c r="AU425" s="124" t="str">
        <f t="shared" ca="1" si="85"/>
        <v/>
      </c>
      <c r="AV425" s="124" t="str">
        <f t="shared" ca="1" si="85"/>
        <v/>
      </c>
      <c r="AW425" s="124" t="str">
        <f t="shared" ca="1" si="85"/>
        <v/>
      </c>
      <c r="AX425" s="124" t="str">
        <f t="shared" ca="1" si="85"/>
        <v/>
      </c>
      <c r="AY425" s="124" t="str">
        <f t="shared" ca="1" si="85"/>
        <v/>
      </c>
      <c r="AZ425" s="124" t="str">
        <f t="shared" ca="1" si="85"/>
        <v/>
      </c>
      <c r="BA425" s="124" t="str">
        <f t="shared" ca="1" si="85"/>
        <v/>
      </c>
      <c r="BB425" s="124" t="str">
        <f t="shared" ca="1" si="85"/>
        <v/>
      </c>
      <c r="BC425" s="124" t="str">
        <f t="shared" ca="1" si="86"/>
        <v/>
      </c>
      <c r="BD425" s="124" t="str">
        <f t="shared" ca="1" si="86"/>
        <v/>
      </c>
      <c r="BE425" s="124" t="str">
        <f t="shared" ca="1" si="86"/>
        <v/>
      </c>
      <c r="BF425" s="124" t="str">
        <f t="shared" ca="1" si="86"/>
        <v/>
      </c>
      <c r="BG425" s="124" t="str">
        <f t="shared" ca="1" si="86"/>
        <v/>
      </c>
      <c r="BH425" s="124" t="str">
        <f t="shared" ca="1" si="86"/>
        <v/>
      </c>
      <c r="BI425" s="124" t="str">
        <f t="shared" ca="1" si="86"/>
        <v/>
      </c>
      <c r="BJ425" s="124" t="str">
        <f t="shared" ca="1" si="86"/>
        <v/>
      </c>
      <c r="BK425" s="124" t="str">
        <f t="shared" ca="1" si="86"/>
        <v/>
      </c>
      <c r="BL425" s="124" t="str">
        <f t="shared" ca="1" si="86"/>
        <v/>
      </c>
      <c r="BM425" s="124" t="str">
        <f t="shared" ca="1" si="86"/>
        <v/>
      </c>
      <c r="BN425" s="124" t="str">
        <f t="shared" ca="1" si="86"/>
        <v/>
      </c>
      <c r="BO425" s="124" t="str">
        <f t="shared" ca="1" si="86"/>
        <v/>
      </c>
      <c r="BP425" s="124" t="str">
        <f t="shared" ca="1" si="86"/>
        <v/>
      </c>
      <c r="BQ425" s="124" t="str">
        <f t="shared" ca="1" si="86"/>
        <v/>
      </c>
      <c r="BR425" s="124" t="str">
        <f t="shared" ca="1" si="86"/>
        <v/>
      </c>
      <c r="BS425" s="124" t="str">
        <f t="shared" ca="1" si="87"/>
        <v/>
      </c>
      <c r="BT425" s="124" t="str">
        <f t="shared" ca="1" si="87"/>
        <v/>
      </c>
      <c r="BU425" s="124" t="str">
        <f t="shared" ca="1" si="87"/>
        <v/>
      </c>
    </row>
    <row r="426" spans="1:73" x14ac:dyDescent="0.15">
      <c r="A426">
        <v>6</v>
      </c>
      <c r="B426" s="124" t="str">
        <f t="shared" ca="1" si="49"/>
        <v/>
      </c>
      <c r="C426" s="123" t="str">
        <f ca="1">IF(A426&lt;=①簡易状況入力!$AC$5,INDIRECT("A"&amp;VLOOKUP($A426,①簡易状況入力!$Y$5:$AB$104,4,FALSE)),"")</f>
        <v/>
      </c>
      <c r="D426" s="125" t="str">
        <f t="shared" ca="1" si="50"/>
        <v/>
      </c>
      <c r="E426" s="125" t="str">
        <f t="shared" ca="1" si="51"/>
        <v/>
      </c>
      <c r="F426" s="125" t="str">
        <f t="shared" ca="1" si="52"/>
        <v/>
      </c>
      <c r="G426" s="125" t="str">
        <f t="shared" ca="1" si="53"/>
        <v/>
      </c>
      <c r="H426" s="125" t="str">
        <f t="shared" ca="1" si="54"/>
        <v/>
      </c>
      <c r="I426" s="125" t="str">
        <f t="shared" ca="1" si="55"/>
        <v/>
      </c>
      <c r="J426" s="125" t="str">
        <f t="shared" ca="1" si="56"/>
        <v/>
      </c>
      <c r="K426" s="125" t="str">
        <f t="shared" ca="1" si="57"/>
        <v/>
      </c>
      <c r="L426" s="125" t="str">
        <f t="shared" ca="1" si="58"/>
        <v/>
      </c>
      <c r="M426" s="125" t="str">
        <f t="shared" ca="1" si="59"/>
        <v/>
      </c>
      <c r="N426" s="125" t="str">
        <f t="shared" ca="1" si="60"/>
        <v/>
      </c>
      <c r="O426" s="125" t="str">
        <f t="shared" ca="1" si="61"/>
        <v/>
      </c>
      <c r="P426" s="125" t="str">
        <f t="shared" ca="1" si="62"/>
        <v/>
      </c>
      <c r="Q426" s="125" t="str">
        <f t="shared" ca="1" si="63"/>
        <v/>
      </c>
      <c r="R426" s="125" t="str">
        <f t="shared" ca="1" si="64"/>
        <v/>
      </c>
      <c r="S426" s="125" t="str">
        <f t="shared" ca="1" si="65"/>
        <v/>
      </c>
      <c r="T426" s="125" t="str">
        <f t="shared" ca="1" si="66"/>
        <v/>
      </c>
      <c r="U426" s="125" t="str">
        <f t="shared" ca="1" si="67"/>
        <v/>
      </c>
      <c r="V426" s="125" t="str">
        <f t="shared" ca="1" si="68"/>
        <v/>
      </c>
      <c r="W426" s="125" t="str">
        <f t="shared" ca="1" si="69"/>
        <v/>
      </c>
      <c r="X426" s="125" t="str">
        <f t="shared" ca="1" si="70"/>
        <v/>
      </c>
      <c r="Y426" s="125" t="str">
        <f t="shared" ca="1" si="71"/>
        <v/>
      </c>
      <c r="Z426" s="125" t="str">
        <f t="shared" ca="1" si="72"/>
        <v/>
      </c>
      <c r="AA426" s="125" t="str">
        <f t="shared" ca="1" si="73"/>
        <v/>
      </c>
      <c r="AB426" s="125" t="str">
        <f t="shared" ca="1" si="74"/>
        <v/>
      </c>
      <c r="AC426" s="125" t="str">
        <f t="shared" ca="1" si="75"/>
        <v/>
      </c>
      <c r="AD426" s="125" t="str">
        <f t="shared" ca="1" si="76"/>
        <v/>
      </c>
      <c r="AE426" s="125" t="str">
        <f t="shared" ca="1" si="77"/>
        <v/>
      </c>
      <c r="AF426" s="125" t="str">
        <f t="shared" ca="1" si="78"/>
        <v/>
      </c>
      <c r="AG426" s="125" t="str">
        <f t="shared" ca="1" si="79"/>
        <v/>
      </c>
      <c r="AH426" s="125" t="str">
        <f t="shared" ca="1" si="80"/>
        <v/>
      </c>
      <c r="AI426" s="125" t="str">
        <f t="shared" ca="1" si="81"/>
        <v/>
      </c>
      <c r="AJ426" s="125" t="str">
        <f t="shared" ca="1" si="82"/>
        <v/>
      </c>
      <c r="AK426" s="125" t="str">
        <f t="shared" ca="1" si="83"/>
        <v/>
      </c>
      <c r="AL426" s="125" t="str">
        <f t="shared" ca="1" si="84"/>
        <v/>
      </c>
      <c r="AM426" s="124" t="str">
        <f t="shared" ca="1" si="85"/>
        <v/>
      </c>
      <c r="AN426" s="124" t="str">
        <f t="shared" ca="1" si="85"/>
        <v/>
      </c>
      <c r="AO426" s="124" t="str">
        <f t="shared" ca="1" si="85"/>
        <v/>
      </c>
      <c r="AP426" s="124" t="str">
        <f t="shared" ca="1" si="85"/>
        <v/>
      </c>
      <c r="AQ426" s="124" t="str">
        <f t="shared" ca="1" si="85"/>
        <v/>
      </c>
      <c r="AR426" s="124" t="str">
        <f t="shared" ca="1" si="85"/>
        <v/>
      </c>
      <c r="AS426" s="124" t="str">
        <f t="shared" ca="1" si="85"/>
        <v/>
      </c>
      <c r="AT426" s="124" t="str">
        <f t="shared" ca="1" si="85"/>
        <v/>
      </c>
      <c r="AU426" s="124" t="str">
        <f t="shared" ca="1" si="85"/>
        <v/>
      </c>
      <c r="AV426" s="124" t="str">
        <f t="shared" ca="1" si="85"/>
        <v/>
      </c>
      <c r="AW426" s="124" t="str">
        <f t="shared" ca="1" si="85"/>
        <v/>
      </c>
      <c r="AX426" s="124" t="str">
        <f t="shared" ca="1" si="85"/>
        <v/>
      </c>
      <c r="AY426" s="124" t="str">
        <f t="shared" ca="1" si="85"/>
        <v/>
      </c>
      <c r="AZ426" s="124" t="str">
        <f t="shared" ca="1" si="85"/>
        <v/>
      </c>
      <c r="BA426" s="124" t="str">
        <f t="shared" ca="1" si="85"/>
        <v/>
      </c>
      <c r="BB426" s="124" t="str">
        <f t="shared" ca="1" si="85"/>
        <v/>
      </c>
      <c r="BC426" s="124" t="str">
        <f t="shared" ca="1" si="86"/>
        <v/>
      </c>
      <c r="BD426" s="124" t="str">
        <f t="shared" ca="1" si="86"/>
        <v/>
      </c>
      <c r="BE426" s="124" t="str">
        <f t="shared" ca="1" si="86"/>
        <v/>
      </c>
      <c r="BF426" s="124" t="str">
        <f t="shared" ca="1" si="86"/>
        <v/>
      </c>
      <c r="BG426" s="124" t="str">
        <f t="shared" ca="1" si="86"/>
        <v/>
      </c>
      <c r="BH426" s="124" t="str">
        <f t="shared" ca="1" si="86"/>
        <v/>
      </c>
      <c r="BI426" s="124" t="str">
        <f t="shared" ca="1" si="86"/>
        <v/>
      </c>
      <c r="BJ426" s="124" t="str">
        <f t="shared" ca="1" si="86"/>
        <v/>
      </c>
      <c r="BK426" s="124" t="str">
        <f t="shared" ca="1" si="86"/>
        <v/>
      </c>
      <c r="BL426" s="124" t="str">
        <f t="shared" ca="1" si="86"/>
        <v/>
      </c>
      <c r="BM426" s="124" t="str">
        <f t="shared" ca="1" si="86"/>
        <v/>
      </c>
      <c r="BN426" s="124" t="str">
        <f t="shared" ca="1" si="86"/>
        <v/>
      </c>
      <c r="BO426" s="124" t="str">
        <f t="shared" ca="1" si="86"/>
        <v/>
      </c>
      <c r="BP426" s="124" t="str">
        <f t="shared" ca="1" si="86"/>
        <v/>
      </c>
      <c r="BQ426" s="124" t="str">
        <f t="shared" ca="1" si="86"/>
        <v/>
      </c>
      <c r="BR426" s="124" t="str">
        <f t="shared" ca="1" si="86"/>
        <v/>
      </c>
      <c r="BS426" s="124" t="str">
        <f t="shared" ca="1" si="87"/>
        <v/>
      </c>
      <c r="BT426" s="124" t="str">
        <f t="shared" ca="1" si="87"/>
        <v/>
      </c>
      <c r="BU426" s="124" t="str">
        <f t="shared" ca="1" si="87"/>
        <v/>
      </c>
    </row>
    <row r="427" spans="1:73" x14ac:dyDescent="0.15">
      <c r="A427">
        <v>7</v>
      </c>
      <c r="B427" s="124" t="str">
        <f t="shared" ca="1" si="49"/>
        <v/>
      </c>
      <c r="C427" s="123" t="str">
        <f ca="1">IF(A427&lt;=①簡易状況入力!$AC$5,INDIRECT("A"&amp;VLOOKUP($A427,①簡易状況入力!$Y$5:$AB$104,4,FALSE)),"")</f>
        <v/>
      </c>
      <c r="D427" s="125" t="str">
        <f t="shared" ca="1" si="50"/>
        <v/>
      </c>
      <c r="E427" s="125" t="str">
        <f t="shared" ca="1" si="51"/>
        <v/>
      </c>
      <c r="F427" s="125" t="str">
        <f t="shared" ca="1" si="52"/>
        <v/>
      </c>
      <c r="G427" s="125" t="str">
        <f t="shared" ca="1" si="53"/>
        <v/>
      </c>
      <c r="H427" s="125" t="str">
        <f t="shared" ca="1" si="54"/>
        <v/>
      </c>
      <c r="I427" s="125" t="str">
        <f t="shared" ca="1" si="55"/>
        <v/>
      </c>
      <c r="J427" s="125" t="str">
        <f t="shared" ca="1" si="56"/>
        <v/>
      </c>
      <c r="K427" s="125" t="str">
        <f t="shared" ca="1" si="57"/>
        <v/>
      </c>
      <c r="L427" s="125" t="str">
        <f t="shared" ca="1" si="58"/>
        <v/>
      </c>
      <c r="M427" s="125" t="str">
        <f t="shared" ca="1" si="59"/>
        <v/>
      </c>
      <c r="N427" s="125" t="str">
        <f t="shared" ca="1" si="60"/>
        <v/>
      </c>
      <c r="O427" s="125" t="str">
        <f t="shared" ca="1" si="61"/>
        <v/>
      </c>
      <c r="P427" s="125" t="str">
        <f t="shared" ca="1" si="62"/>
        <v/>
      </c>
      <c r="Q427" s="125" t="str">
        <f t="shared" ca="1" si="63"/>
        <v/>
      </c>
      <c r="R427" s="125" t="str">
        <f t="shared" ca="1" si="64"/>
        <v/>
      </c>
      <c r="S427" s="125" t="str">
        <f t="shared" ca="1" si="65"/>
        <v/>
      </c>
      <c r="T427" s="125" t="str">
        <f t="shared" ca="1" si="66"/>
        <v/>
      </c>
      <c r="U427" s="125" t="str">
        <f t="shared" ca="1" si="67"/>
        <v/>
      </c>
      <c r="V427" s="125" t="str">
        <f t="shared" ca="1" si="68"/>
        <v/>
      </c>
      <c r="W427" s="125" t="str">
        <f t="shared" ca="1" si="69"/>
        <v/>
      </c>
      <c r="X427" s="125" t="str">
        <f t="shared" ca="1" si="70"/>
        <v/>
      </c>
      <c r="Y427" s="125" t="str">
        <f t="shared" ca="1" si="71"/>
        <v/>
      </c>
      <c r="Z427" s="125" t="str">
        <f t="shared" ca="1" si="72"/>
        <v/>
      </c>
      <c r="AA427" s="125" t="str">
        <f t="shared" ca="1" si="73"/>
        <v/>
      </c>
      <c r="AB427" s="125" t="str">
        <f t="shared" ca="1" si="74"/>
        <v/>
      </c>
      <c r="AC427" s="125" t="str">
        <f t="shared" ca="1" si="75"/>
        <v/>
      </c>
      <c r="AD427" s="125" t="str">
        <f t="shared" ca="1" si="76"/>
        <v/>
      </c>
      <c r="AE427" s="125" t="str">
        <f t="shared" ca="1" si="77"/>
        <v/>
      </c>
      <c r="AF427" s="125" t="str">
        <f t="shared" ca="1" si="78"/>
        <v/>
      </c>
      <c r="AG427" s="125" t="str">
        <f t="shared" ca="1" si="79"/>
        <v/>
      </c>
      <c r="AH427" s="125" t="str">
        <f t="shared" ca="1" si="80"/>
        <v/>
      </c>
      <c r="AI427" s="125" t="str">
        <f t="shared" ca="1" si="81"/>
        <v/>
      </c>
      <c r="AJ427" s="125" t="str">
        <f t="shared" ca="1" si="82"/>
        <v/>
      </c>
      <c r="AK427" s="125" t="str">
        <f t="shared" ca="1" si="83"/>
        <v/>
      </c>
      <c r="AL427" s="125" t="str">
        <f t="shared" ca="1" si="84"/>
        <v/>
      </c>
      <c r="AM427" s="124" t="str">
        <f t="shared" ca="1" si="85"/>
        <v/>
      </c>
      <c r="AN427" s="124" t="str">
        <f t="shared" ca="1" si="85"/>
        <v/>
      </c>
      <c r="AO427" s="124" t="str">
        <f t="shared" ca="1" si="85"/>
        <v/>
      </c>
      <c r="AP427" s="124" t="str">
        <f t="shared" ca="1" si="85"/>
        <v/>
      </c>
      <c r="AQ427" s="124" t="str">
        <f t="shared" ca="1" si="85"/>
        <v/>
      </c>
      <c r="AR427" s="124" t="str">
        <f t="shared" ca="1" si="85"/>
        <v/>
      </c>
      <c r="AS427" s="124" t="str">
        <f t="shared" ca="1" si="85"/>
        <v/>
      </c>
      <c r="AT427" s="124" t="str">
        <f t="shared" ca="1" si="85"/>
        <v/>
      </c>
      <c r="AU427" s="124" t="str">
        <f t="shared" ca="1" si="85"/>
        <v/>
      </c>
      <c r="AV427" s="124" t="str">
        <f t="shared" ca="1" si="85"/>
        <v/>
      </c>
      <c r="AW427" s="124" t="str">
        <f t="shared" ca="1" si="85"/>
        <v/>
      </c>
      <c r="AX427" s="124" t="str">
        <f t="shared" ca="1" si="85"/>
        <v/>
      </c>
      <c r="AY427" s="124" t="str">
        <f t="shared" ca="1" si="85"/>
        <v/>
      </c>
      <c r="AZ427" s="124" t="str">
        <f t="shared" ca="1" si="85"/>
        <v/>
      </c>
      <c r="BA427" s="124" t="str">
        <f t="shared" ca="1" si="85"/>
        <v/>
      </c>
      <c r="BB427" s="124" t="str">
        <f t="shared" ca="1" si="85"/>
        <v/>
      </c>
      <c r="BC427" s="124" t="str">
        <f t="shared" ca="1" si="86"/>
        <v/>
      </c>
      <c r="BD427" s="124" t="str">
        <f t="shared" ca="1" si="86"/>
        <v/>
      </c>
      <c r="BE427" s="124" t="str">
        <f t="shared" ca="1" si="86"/>
        <v/>
      </c>
      <c r="BF427" s="124" t="str">
        <f t="shared" ca="1" si="86"/>
        <v/>
      </c>
      <c r="BG427" s="124" t="str">
        <f t="shared" ca="1" si="86"/>
        <v/>
      </c>
      <c r="BH427" s="124" t="str">
        <f t="shared" ca="1" si="86"/>
        <v/>
      </c>
      <c r="BI427" s="124" t="str">
        <f t="shared" ca="1" si="86"/>
        <v/>
      </c>
      <c r="BJ427" s="124" t="str">
        <f t="shared" ca="1" si="86"/>
        <v/>
      </c>
      <c r="BK427" s="124" t="str">
        <f t="shared" ca="1" si="86"/>
        <v/>
      </c>
      <c r="BL427" s="124" t="str">
        <f t="shared" ca="1" si="86"/>
        <v/>
      </c>
      <c r="BM427" s="124" t="str">
        <f t="shared" ca="1" si="86"/>
        <v/>
      </c>
      <c r="BN427" s="124" t="str">
        <f t="shared" ca="1" si="86"/>
        <v/>
      </c>
      <c r="BO427" s="124" t="str">
        <f t="shared" ca="1" si="86"/>
        <v/>
      </c>
      <c r="BP427" s="124" t="str">
        <f t="shared" ca="1" si="86"/>
        <v/>
      </c>
      <c r="BQ427" s="124" t="str">
        <f t="shared" ca="1" si="86"/>
        <v/>
      </c>
      <c r="BR427" s="124" t="str">
        <f t="shared" ca="1" si="86"/>
        <v/>
      </c>
      <c r="BS427" s="124" t="str">
        <f t="shared" ca="1" si="87"/>
        <v/>
      </c>
      <c r="BT427" s="124" t="str">
        <f t="shared" ca="1" si="87"/>
        <v/>
      </c>
      <c r="BU427" s="124" t="str">
        <f t="shared" ca="1" si="87"/>
        <v/>
      </c>
    </row>
    <row r="428" spans="1:73" x14ac:dyDescent="0.15">
      <c r="A428">
        <v>8</v>
      </c>
      <c r="B428" s="124" t="str">
        <f t="shared" ca="1" si="49"/>
        <v/>
      </c>
      <c r="C428" s="123" t="str">
        <f ca="1">IF(A428&lt;=①簡易状況入力!$AC$5,INDIRECT("A"&amp;VLOOKUP($A428,①簡易状況入力!$Y$5:$AB$104,4,FALSE)),"")</f>
        <v/>
      </c>
      <c r="D428" s="125" t="str">
        <f t="shared" ca="1" si="50"/>
        <v/>
      </c>
      <c r="E428" s="125" t="str">
        <f t="shared" ca="1" si="51"/>
        <v/>
      </c>
      <c r="F428" s="125" t="str">
        <f t="shared" ca="1" si="52"/>
        <v/>
      </c>
      <c r="G428" s="125" t="str">
        <f t="shared" ca="1" si="53"/>
        <v/>
      </c>
      <c r="H428" s="125" t="str">
        <f t="shared" ca="1" si="54"/>
        <v/>
      </c>
      <c r="I428" s="125" t="str">
        <f t="shared" ca="1" si="55"/>
        <v/>
      </c>
      <c r="J428" s="125" t="str">
        <f t="shared" ca="1" si="56"/>
        <v/>
      </c>
      <c r="K428" s="125" t="str">
        <f t="shared" ca="1" si="57"/>
        <v/>
      </c>
      <c r="L428" s="125" t="str">
        <f t="shared" ca="1" si="58"/>
        <v/>
      </c>
      <c r="M428" s="125" t="str">
        <f t="shared" ca="1" si="59"/>
        <v/>
      </c>
      <c r="N428" s="125" t="str">
        <f t="shared" ca="1" si="60"/>
        <v/>
      </c>
      <c r="O428" s="125" t="str">
        <f t="shared" ca="1" si="61"/>
        <v/>
      </c>
      <c r="P428" s="125" t="str">
        <f t="shared" ca="1" si="62"/>
        <v/>
      </c>
      <c r="Q428" s="125" t="str">
        <f t="shared" ca="1" si="63"/>
        <v/>
      </c>
      <c r="R428" s="125" t="str">
        <f t="shared" ca="1" si="64"/>
        <v/>
      </c>
      <c r="S428" s="125" t="str">
        <f t="shared" ca="1" si="65"/>
        <v/>
      </c>
      <c r="T428" s="125" t="str">
        <f t="shared" ca="1" si="66"/>
        <v/>
      </c>
      <c r="U428" s="125" t="str">
        <f t="shared" ca="1" si="67"/>
        <v/>
      </c>
      <c r="V428" s="125" t="str">
        <f t="shared" ca="1" si="68"/>
        <v/>
      </c>
      <c r="W428" s="125" t="str">
        <f t="shared" ca="1" si="69"/>
        <v/>
      </c>
      <c r="X428" s="125" t="str">
        <f t="shared" ca="1" si="70"/>
        <v/>
      </c>
      <c r="Y428" s="125" t="str">
        <f t="shared" ca="1" si="71"/>
        <v/>
      </c>
      <c r="Z428" s="125" t="str">
        <f t="shared" ca="1" si="72"/>
        <v/>
      </c>
      <c r="AA428" s="125" t="str">
        <f t="shared" ca="1" si="73"/>
        <v/>
      </c>
      <c r="AB428" s="125" t="str">
        <f t="shared" ca="1" si="74"/>
        <v/>
      </c>
      <c r="AC428" s="125" t="str">
        <f t="shared" ca="1" si="75"/>
        <v/>
      </c>
      <c r="AD428" s="125" t="str">
        <f t="shared" ca="1" si="76"/>
        <v/>
      </c>
      <c r="AE428" s="125" t="str">
        <f t="shared" ca="1" si="77"/>
        <v/>
      </c>
      <c r="AF428" s="125" t="str">
        <f t="shared" ca="1" si="78"/>
        <v/>
      </c>
      <c r="AG428" s="125" t="str">
        <f t="shared" ca="1" si="79"/>
        <v/>
      </c>
      <c r="AH428" s="125" t="str">
        <f t="shared" ca="1" si="80"/>
        <v/>
      </c>
      <c r="AI428" s="125" t="str">
        <f t="shared" ca="1" si="81"/>
        <v/>
      </c>
      <c r="AJ428" s="125" t="str">
        <f t="shared" ca="1" si="82"/>
        <v/>
      </c>
      <c r="AK428" s="125" t="str">
        <f t="shared" ca="1" si="83"/>
        <v/>
      </c>
      <c r="AL428" s="125" t="str">
        <f t="shared" ca="1" si="84"/>
        <v/>
      </c>
      <c r="AM428" s="124" t="str">
        <f t="shared" ca="1" si="85"/>
        <v/>
      </c>
      <c r="AN428" s="124" t="str">
        <f t="shared" ca="1" si="85"/>
        <v/>
      </c>
      <c r="AO428" s="124" t="str">
        <f t="shared" ca="1" si="85"/>
        <v/>
      </c>
      <c r="AP428" s="124" t="str">
        <f t="shared" ca="1" si="85"/>
        <v/>
      </c>
      <c r="AQ428" s="124" t="str">
        <f t="shared" ca="1" si="85"/>
        <v/>
      </c>
      <c r="AR428" s="124" t="str">
        <f t="shared" ca="1" si="85"/>
        <v/>
      </c>
      <c r="AS428" s="124" t="str">
        <f t="shared" ca="1" si="85"/>
        <v/>
      </c>
      <c r="AT428" s="124" t="str">
        <f t="shared" ca="1" si="85"/>
        <v/>
      </c>
      <c r="AU428" s="124" t="str">
        <f t="shared" ca="1" si="85"/>
        <v/>
      </c>
      <c r="AV428" s="124" t="str">
        <f t="shared" ca="1" si="85"/>
        <v/>
      </c>
      <c r="AW428" s="124" t="str">
        <f t="shared" ca="1" si="85"/>
        <v/>
      </c>
      <c r="AX428" s="124" t="str">
        <f t="shared" ca="1" si="85"/>
        <v/>
      </c>
      <c r="AY428" s="124" t="str">
        <f t="shared" ca="1" si="85"/>
        <v/>
      </c>
      <c r="AZ428" s="124" t="str">
        <f t="shared" ca="1" si="85"/>
        <v/>
      </c>
      <c r="BA428" s="124" t="str">
        <f t="shared" ca="1" si="85"/>
        <v/>
      </c>
      <c r="BB428" s="124" t="str">
        <f t="shared" ca="1" si="85"/>
        <v/>
      </c>
      <c r="BC428" s="124" t="str">
        <f t="shared" ca="1" si="86"/>
        <v/>
      </c>
      <c r="BD428" s="124" t="str">
        <f t="shared" ca="1" si="86"/>
        <v/>
      </c>
      <c r="BE428" s="124" t="str">
        <f t="shared" ca="1" si="86"/>
        <v/>
      </c>
      <c r="BF428" s="124" t="str">
        <f t="shared" ca="1" si="86"/>
        <v/>
      </c>
      <c r="BG428" s="124" t="str">
        <f t="shared" ca="1" si="86"/>
        <v/>
      </c>
      <c r="BH428" s="124" t="str">
        <f t="shared" ca="1" si="86"/>
        <v/>
      </c>
      <c r="BI428" s="124" t="str">
        <f t="shared" ca="1" si="86"/>
        <v/>
      </c>
      <c r="BJ428" s="124" t="str">
        <f t="shared" ca="1" si="86"/>
        <v/>
      </c>
      <c r="BK428" s="124" t="str">
        <f t="shared" ca="1" si="86"/>
        <v/>
      </c>
      <c r="BL428" s="124" t="str">
        <f t="shared" ca="1" si="86"/>
        <v/>
      </c>
      <c r="BM428" s="124" t="str">
        <f t="shared" ca="1" si="86"/>
        <v/>
      </c>
      <c r="BN428" s="124" t="str">
        <f t="shared" ca="1" si="86"/>
        <v/>
      </c>
      <c r="BO428" s="124" t="str">
        <f t="shared" ca="1" si="86"/>
        <v/>
      </c>
      <c r="BP428" s="124" t="str">
        <f t="shared" ca="1" si="86"/>
        <v/>
      </c>
      <c r="BQ428" s="124" t="str">
        <f t="shared" ca="1" si="86"/>
        <v/>
      </c>
      <c r="BR428" s="124" t="str">
        <f t="shared" ca="1" si="86"/>
        <v/>
      </c>
      <c r="BS428" s="124" t="str">
        <f t="shared" ca="1" si="87"/>
        <v/>
      </c>
      <c r="BT428" s="124" t="str">
        <f t="shared" ca="1" si="87"/>
        <v/>
      </c>
      <c r="BU428" s="124" t="str">
        <f t="shared" ca="1" si="87"/>
        <v/>
      </c>
    </row>
    <row r="429" spans="1:73" x14ac:dyDescent="0.15">
      <c r="A429">
        <v>9</v>
      </c>
      <c r="B429" s="124" t="str">
        <f t="shared" ca="1" si="49"/>
        <v/>
      </c>
      <c r="C429" s="123" t="str">
        <f ca="1">IF(A429&lt;=①簡易状況入力!$AC$5,INDIRECT("A"&amp;VLOOKUP($A429,①簡易状況入力!$Y$5:$AB$104,4,FALSE)),"")</f>
        <v/>
      </c>
      <c r="D429" s="125" t="str">
        <f t="shared" ca="1" si="50"/>
        <v/>
      </c>
      <c r="E429" s="125" t="str">
        <f t="shared" ca="1" si="51"/>
        <v/>
      </c>
      <c r="F429" s="125" t="str">
        <f t="shared" ca="1" si="52"/>
        <v/>
      </c>
      <c r="G429" s="125" t="str">
        <f t="shared" ca="1" si="53"/>
        <v/>
      </c>
      <c r="H429" s="125" t="str">
        <f t="shared" ca="1" si="54"/>
        <v/>
      </c>
      <c r="I429" s="125" t="str">
        <f t="shared" ca="1" si="55"/>
        <v/>
      </c>
      <c r="J429" s="125" t="str">
        <f t="shared" ca="1" si="56"/>
        <v/>
      </c>
      <c r="K429" s="125" t="str">
        <f t="shared" ca="1" si="57"/>
        <v/>
      </c>
      <c r="L429" s="125" t="str">
        <f t="shared" ca="1" si="58"/>
        <v/>
      </c>
      <c r="M429" s="125" t="str">
        <f t="shared" ca="1" si="59"/>
        <v/>
      </c>
      <c r="N429" s="125" t="str">
        <f t="shared" ca="1" si="60"/>
        <v/>
      </c>
      <c r="O429" s="125" t="str">
        <f t="shared" ca="1" si="61"/>
        <v/>
      </c>
      <c r="P429" s="125" t="str">
        <f t="shared" ca="1" si="62"/>
        <v/>
      </c>
      <c r="Q429" s="125" t="str">
        <f t="shared" ca="1" si="63"/>
        <v/>
      </c>
      <c r="R429" s="125" t="str">
        <f t="shared" ca="1" si="64"/>
        <v/>
      </c>
      <c r="S429" s="125" t="str">
        <f t="shared" ca="1" si="65"/>
        <v/>
      </c>
      <c r="T429" s="125" t="str">
        <f t="shared" ca="1" si="66"/>
        <v/>
      </c>
      <c r="U429" s="125" t="str">
        <f t="shared" ca="1" si="67"/>
        <v/>
      </c>
      <c r="V429" s="125" t="str">
        <f t="shared" ca="1" si="68"/>
        <v/>
      </c>
      <c r="W429" s="125" t="str">
        <f t="shared" ca="1" si="69"/>
        <v/>
      </c>
      <c r="X429" s="125" t="str">
        <f t="shared" ca="1" si="70"/>
        <v/>
      </c>
      <c r="Y429" s="125" t="str">
        <f t="shared" ca="1" si="71"/>
        <v/>
      </c>
      <c r="Z429" s="125" t="str">
        <f t="shared" ca="1" si="72"/>
        <v/>
      </c>
      <c r="AA429" s="125" t="str">
        <f t="shared" ca="1" si="73"/>
        <v/>
      </c>
      <c r="AB429" s="125" t="str">
        <f t="shared" ca="1" si="74"/>
        <v/>
      </c>
      <c r="AC429" s="125" t="str">
        <f t="shared" ca="1" si="75"/>
        <v/>
      </c>
      <c r="AD429" s="125" t="str">
        <f t="shared" ca="1" si="76"/>
        <v/>
      </c>
      <c r="AE429" s="125" t="str">
        <f t="shared" ca="1" si="77"/>
        <v/>
      </c>
      <c r="AF429" s="125" t="str">
        <f t="shared" ca="1" si="78"/>
        <v/>
      </c>
      <c r="AG429" s="125" t="str">
        <f t="shared" ca="1" si="79"/>
        <v/>
      </c>
      <c r="AH429" s="125" t="str">
        <f t="shared" ca="1" si="80"/>
        <v/>
      </c>
      <c r="AI429" s="125" t="str">
        <f t="shared" ca="1" si="81"/>
        <v/>
      </c>
      <c r="AJ429" s="125" t="str">
        <f t="shared" ca="1" si="82"/>
        <v/>
      </c>
      <c r="AK429" s="125" t="str">
        <f t="shared" ca="1" si="83"/>
        <v/>
      </c>
      <c r="AL429" s="125" t="str">
        <f t="shared" ca="1" si="84"/>
        <v/>
      </c>
      <c r="AM429" s="124" t="str">
        <f t="shared" ca="1" si="85"/>
        <v/>
      </c>
      <c r="AN429" s="124" t="str">
        <f t="shared" ca="1" si="85"/>
        <v/>
      </c>
      <c r="AO429" s="124" t="str">
        <f t="shared" ca="1" si="85"/>
        <v/>
      </c>
      <c r="AP429" s="124" t="str">
        <f t="shared" ca="1" si="85"/>
        <v/>
      </c>
      <c r="AQ429" s="124" t="str">
        <f t="shared" ca="1" si="85"/>
        <v/>
      </c>
      <c r="AR429" s="124" t="str">
        <f t="shared" ca="1" si="85"/>
        <v/>
      </c>
      <c r="AS429" s="124" t="str">
        <f t="shared" ca="1" si="85"/>
        <v/>
      </c>
      <c r="AT429" s="124" t="str">
        <f t="shared" ca="1" si="85"/>
        <v/>
      </c>
      <c r="AU429" s="124" t="str">
        <f t="shared" ca="1" si="85"/>
        <v/>
      </c>
      <c r="AV429" s="124" t="str">
        <f t="shared" ca="1" si="85"/>
        <v/>
      </c>
      <c r="AW429" s="124" t="str">
        <f t="shared" ca="1" si="85"/>
        <v/>
      </c>
      <c r="AX429" s="124" t="str">
        <f t="shared" ca="1" si="85"/>
        <v/>
      </c>
      <c r="AY429" s="124" t="str">
        <f t="shared" ca="1" si="85"/>
        <v/>
      </c>
      <c r="AZ429" s="124" t="str">
        <f t="shared" ca="1" si="85"/>
        <v/>
      </c>
      <c r="BA429" s="124" t="str">
        <f t="shared" ca="1" si="85"/>
        <v/>
      </c>
      <c r="BB429" s="124" t="str">
        <f t="shared" ca="1" si="85"/>
        <v/>
      </c>
      <c r="BC429" s="124" t="str">
        <f t="shared" ca="1" si="86"/>
        <v/>
      </c>
      <c r="BD429" s="124" t="str">
        <f t="shared" ca="1" si="86"/>
        <v/>
      </c>
      <c r="BE429" s="124" t="str">
        <f t="shared" ca="1" si="86"/>
        <v/>
      </c>
      <c r="BF429" s="124" t="str">
        <f t="shared" ca="1" si="86"/>
        <v/>
      </c>
      <c r="BG429" s="124" t="str">
        <f t="shared" ca="1" si="86"/>
        <v/>
      </c>
      <c r="BH429" s="124" t="str">
        <f t="shared" ca="1" si="86"/>
        <v/>
      </c>
      <c r="BI429" s="124" t="str">
        <f t="shared" ca="1" si="86"/>
        <v/>
      </c>
      <c r="BJ429" s="124" t="str">
        <f t="shared" ca="1" si="86"/>
        <v/>
      </c>
      <c r="BK429" s="124" t="str">
        <f t="shared" ca="1" si="86"/>
        <v/>
      </c>
      <c r="BL429" s="124" t="str">
        <f t="shared" ca="1" si="86"/>
        <v/>
      </c>
      <c r="BM429" s="124" t="str">
        <f t="shared" ca="1" si="86"/>
        <v/>
      </c>
      <c r="BN429" s="124" t="str">
        <f t="shared" ca="1" si="86"/>
        <v/>
      </c>
      <c r="BO429" s="124" t="str">
        <f t="shared" ca="1" si="86"/>
        <v/>
      </c>
      <c r="BP429" s="124" t="str">
        <f t="shared" ca="1" si="86"/>
        <v/>
      </c>
      <c r="BQ429" s="124" t="str">
        <f t="shared" ca="1" si="86"/>
        <v/>
      </c>
      <c r="BR429" s="124" t="str">
        <f t="shared" ca="1" si="86"/>
        <v/>
      </c>
      <c r="BS429" s="124" t="str">
        <f t="shared" ca="1" si="87"/>
        <v/>
      </c>
      <c r="BT429" s="124" t="str">
        <f t="shared" ca="1" si="87"/>
        <v/>
      </c>
      <c r="BU429" s="124" t="str">
        <f t="shared" ca="1" si="87"/>
        <v/>
      </c>
    </row>
    <row r="430" spans="1:73" x14ac:dyDescent="0.15">
      <c r="A430">
        <v>10</v>
      </c>
      <c r="B430" s="124" t="str">
        <f t="shared" ca="1" si="49"/>
        <v/>
      </c>
      <c r="C430" s="123" t="str">
        <f ca="1">IF(A430&lt;=①簡易状況入力!$AC$5,INDIRECT("A"&amp;VLOOKUP($A430,①簡易状況入力!$Y$5:$AB$104,4,FALSE)),"")</f>
        <v/>
      </c>
      <c r="D430" s="125" t="str">
        <f t="shared" ca="1" si="50"/>
        <v/>
      </c>
      <c r="E430" s="125" t="str">
        <f t="shared" ca="1" si="51"/>
        <v/>
      </c>
      <c r="F430" s="125" t="str">
        <f t="shared" ca="1" si="52"/>
        <v/>
      </c>
      <c r="G430" s="125" t="str">
        <f t="shared" ca="1" si="53"/>
        <v/>
      </c>
      <c r="H430" s="125" t="str">
        <f t="shared" ca="1" si="54"/>
        <v/>
      </c>
      <c r="I430" s="125" t="str">
        <f t="shared" ca="1" si="55"/>
        <v/>
      </c>
      <c r="J430" s="125" t="str">
        <f t="shared" ca="1" si="56"/>
        <v/>
      </c>
      <c r="K430" s="125" t="str">
        <f t="shared" ca="1" si="57"/>
        <v/>
      </c>
      <c r="L430" s="125" t="str">
        <f t="shared" ca="1" si="58"/>
        <v/>
      </c>
      <c r="M430" s="125" t="str">
        <f t="shared" ca="1" si="59"/>
        <v/>
      </c>
      <c r="N430" s="125" t="str">
        <f t="shared" ca="1" si="60"/>
        <v/>
      </c>
      <c r="O430" s="125" t="str">
        <f t="shared" ca="1" si="61"/>
        <v/>
      </c>
      <c r="P430" s="125" t="str">
        <f t="shared" ca="1" si="62"/>
        <v/>
      </c>
      <c r="Q430" s="125" t="str">
        <f t="shared" ca="1" si="63"/>
        <v/>
      </c>
      <c r="R430" s="125" t="str">
        <f t="shared" ca="1" si="64"/>
        <v/>
      </c>
      <c r="S430" s="125" t="str">
        <f t="shared" ca="1" si="65"/>
        <v/>
      </c>
      <c r="T430" s="125" t="str">
        <f t="shared" ca="1" si="66"/>
        <v/>
      </c>
      <c r="U430" s="125" t="str">
        <f t="shared" ca="1" si="67"/>
        <v/>
      </c>
      <c r="V430" s="125" t="str">
        <f t="shared" ca="1" si="68"/>
        <v/>
      </c>
      <c r="W430" s="125" t="str">
        <f t="shared" ca="1" si="69"/>
        <v/>
      </c>
      <c r="X430" s="125" t="str">
        <f t="shared" ca="1" si="70"/>
        <v/>
      </c>
      <c r="Y430" s="125" t="str">
        <f t="shared" ca="1" si="71"/>
        <v/>
      </c>
      <c r="Z430" s="125" t="str">
        <f t="shared" ca="1" si="72"/>
        <v/>
      </c>
      <c r="AA430" s="125" t="str">
        <f t="shared" ca="1" si="73"/>
        <v/>
      </c>
      <c r="AB430" s="125" t="str">
        <f t="shared" ca="1" si="74"/>
        <v/>
      </c>
      <c r="AC430" s="125" t="str">
        <f t="shared" ca="1" si="75"/>
        <v/>
      </c>
      <c r="AD430" s="125" t="str">
        <f t="shared" ca="1" si="76"/>
        <v/>
      </c>
      <c r="AE430" s="125" t="str">
        <f t="shared" ca="1" si="77"/>
        <v/>
      </c>
      <c r="AF430" s="125" t="str">
        <f t="shared" ca="1" si="78"/>
        <v/>
      </c>
      <c r="AG430" s="125" t="str">
        <f t="shared" ca="1" si="79"/>
        <v/>
      </c>
      <c r="AH430" s="125" t="str">
        <f t="shared" ca="1" si="80"/>
        <v/>
      </c>
      <c r="AI430" s="125" t="str">
        <f t="shared" ca="1" si="81"/>
        <v/>
      </c>
      <c r="AJ430" s="125" t="str">
        <f t="shared" ca="1" si="82"/>
        <v/>
      </c>
      <c r="AK430" s="125" t="str">
        <f t="shared" ca="1" si="83"/>
        <v/>
      </c>
      <c r="AL430" s="125" t="str">
        <f t="shared" ca="1" si="84"/>
        <v/>
      </c>
      <c r="AM430" s="124" t="str">
        <f t="shared" ca="1" si="85"/>
        <v/>
      </c>
      <c r="AN430" s="124" t="str">
        <f t="shared" ca="1" si="85"/>
        <v/>
      </c>
      <c r="AO430" s="124" t="str">
        <f t="shared" ca="1" si="85"/>
        <v/>
      </c>
      <c r="AP430" s="124" t="str">
        <f t="shared" ca="1" si="85"/>
        <v/>
      </c>
      <c r="AQ430" s="124" t="str">
        <f t="shared" ca="1" si="85"/>
        <v/>
      </c>
      <c r="AR430" s="124" t="str">
        <f t="shared" ca="1" si="85"/>
        <v/>
      </c>
      <c r="AS430" s="124" t="str">
        <f t="shared" ca="1" si="85"/>
        <v/>
      </c>
      <c r="AT430" s="124" t="str">
        <f t="shared" ca="1" si="85"/>
        <v/>
      </c>
      <c r="AU430" s="124" t="str">
        <f t="shared" ca="1" si="85"/>
        <v/>
      </c>
      <c r="AV430" s="124" t="str">
        <f t="shared" ca="1" si="85"/>
        <v/>
      </c>
      <c r="AW430" s="124" t="str">
        <f t="shared" ca="1" si="85"/>
        <v/>
      </c>
      <c r="AX430" s="124" t="str">
        <f t="shared" ca="1" si="85"/>
        <v/>
      </c>
      <c r="AY430" s="124" t="str">
        <f t="shared" ca="1" si="85"/>
        <v/>
      </c>
      <c r="AZ430" s="124" t="str">
        <f t="shared" ca="1" si="85"/>
        <v/>
      </c>
      <c r="BA430" s="124" t="str">
        <f t="shared" ca="1" si="85"/>
        <v/>
      </c>
      <c r="BB430" s="124" t="str">
        <f t="shared" ca="1" si="85"/>
        <v/>
      </c>
      <c r="BC430" s="124" t="str">
        <f t="shared" ca="1" si="86"/>
        <v/>
      </c>
      <c r="BD430" s="124" t="str">
        <f t="shared" ca="1" si="86"/>
        <v/>
      </c>
      <c r="BE430" s="124" t="str">
        <f t="shared" ca="1" si="86"/>
        <v/>
      </c>
      <c r="BF430" s="124" t="str">
        <f t="shared" ca="1" si="86"/>
        <v/>
      </c>
      <c r="BG430" s="124" t="str">
        <f t="shared" ca="1" si="86"/>
        <v/>
      </c>
      <c r="BH430" s="124" t="str">
        <f t="shared" ca="1" si="86"/>
        <v/>
      </c>
      <c r="BI430" s="124" t="str">
        <f t="shared" ca="1" si="86"/>
        <v/>
      </c>
      <c r="BJ430" s="124" t="str">
        <f t="shared" ca="1" si="86"/>
        <v/>
      </c>
      <c r="BK430" s="124" t="str">
        <f t="shared" ca="1" si="86"/>
        <v/>
      </c>
      <c r="BL430" s="124" t="str">
        <f t="shared" ca="1" si="86"/>
        <v/>
      </c>
      <c r="BM430" s="124" t="str">
        <f t="shared" ca="1" si="86"/>
        <v/>
      </c>
      <c r="BN430" s="124" t="str">
        <f t="shared" ca="1" si="86"/>
        <v/>
      </c>
      <c r="BO430" s="124" t="str">
        <f t="shared" ca="1" si="86"/>
        <v/>
      </c>
      <c r="BP430" s="124" t="str">
        <f t="shared" ca="1" si="86"/>
        <v/>
      </c>
      <c r="BQ430" s="124" t="str">
        <f t="shared" ca="1" si="86"/>
        <v/>
      </c>
      <c r="BR430" s="124" t="str">
        <f t="shared" ca="1" si="86"/>
        <v/>
      </c>
      <c r="BS430" s="124" t="str">
        <f t="shared" ca="1" si="87"/>
        <v/>
      </c>
      <c r="BT430" s="124" t="str">
        <f t="shared" ca="1" si="87"/>
        <v/>
      </c>
      <c r="BU430" s="124" t="str">
        <f t="shared" ca="1" si="87"/>
        <v/>
      </c>
    </row>
    <row r="431" spans="1:73" x14ac:dyDescent="0.15">
      <c r="A431">
        <v>11</v>
      </c>
      <c r="B431" s="124" t="str">
        <f t="shared" ca="1" si="49"/>
        <v/>
      </c>
      <c r="C431" s="123" t="str">
        <f ca="1">IF(A431&lt;=①簡易状況入力!$AC$5,INDIRECT("A"&amp;VLOOKUP($A431,①簡易状況入力!$Y$5:$AB$104,4,FALSE)),"")</f>
        <v/>
      </c>
      <c r="D431" s="125" t="str">
        <f t="shared" ca="1" si="50"/>
        <v/>
      </c>
      <c r="E431" s="125" t="str">
        <f t="shared" ca="1" si="51"/>
        <v/>
      </c>
      <c r="F431" s="125" t="str">
        <f t="shared" ca="1" si="52"/>
        <v/>
      </c>
      <c r="G431" s="125" t="str">
        <f t="shared" ca="1" si="53"/>
        <v/>
      </c>
      <c r="H431" s="125" t="str">
        <f t="shared" ca="1" si="54"/>
        <v/>
      </c>
      <c r="I431" s="125" t="str">
        <f t="shared" ca="1" si="55"/>
        <v/>
      </c>
      <c r="J431" s="125" t="str">
        <f t="shared" ca="1" si="56"/>
        <v/>
      </c>
      <c r="K431" s="125" t="str">
        <f t="shared" ca="1" si="57"/>
        <v/>
      </c>
      <c r="L431" s="125" t="str">
        <f t="shared" ca="1" si="58"/>
        <v/>
      </c>
      <c r="M431" s="125" t="str">
        <f t="shared" ca="1" si="59"/>
        <v/>
      </c>
      <c r="N431" s="125" t="str">
        <f t="shared" ca="1" si="60"/>
        <v/>
      </c>
      <c r="O431" s="125" t="str">
        <f t="shared" ca="1" si="61"/>
        <v/>
      </c>
      <c r="P431" s="125" t="str">
        <f t="shared" ca="1" si="62"/>
        <v/>
      </c>
      <c r="Q431" s="125" t="str">
        <f t="shared" ca="1" si="63"/>
        <v/>
      </c>
      <c r="R431" s="125" t="str">
        <f t="shared" ca="1" si="64"/>
        <v/>
      </c>
      <c r="S431" s="125" t="str">
        <f t="shared" ca="1" si="65"/>
        <v/>
      </c>
      <c r="T431" s="125" t="str">
        <f t="shared" ca="1" si="66"/>
        <v/>
      </c>
      <c r="U431" s="125" t="str">
        <f t="shared" ca="1" si="67"/>
        <v/>
      </c>
      <c r="V431" s="125" t="str">
        <f t="shared" ca="1" si="68"/>
        <v/>
      </c>
      <c r="W431" s="125" t="str">
        <f t="shared" ca="1" si="69"/>
        <v/>
      </c>
      <c r="X431" s="125" t="str">
        <f t="shared" ca="1" si="70"/>
        <v/>
      </c>
      <c r="Y431" s="125" t="str">
        <f t="shared" ca="1" si="71"/>
        <v/>
      </c>
      <c r="Z431" s="125" t="str">
        <f t="shared" ca="1" si="72"/>
        <v/>
      </c>
      <c r="AA431" s="125" t="str">
        <f t="shared" ca="1" si="73"/>
        <v/>
      </c>
      <c r="AB431" s="125" t="str">
        <f t="shared" ca="1" si="74"/>
        <v/>
      </c>
      <c r="AC431" s="125" t="str">
        <f t="shared" ca="1" si="75"/>
        <v/>
      </c>
      <c r="AD431" s="125" t="str">
        <f t="shared" ca="1" si="76"/>
        <v/>
      </c>
      <c r="AE431" s="125" t="str">
        <f t="shared" ca="1" si="77"/>
        <v/>
      </c>
      <c r="AF431" s="125" t="str">
        <f t="shared" ca="1" si="78"/>
        <v/>
      </c>
      <c r="AG431" s="125" t="str">
        <f t="shared" ca="1" si="79"/>
        <v/>
      </c>
      <c r="AH431" s="125" t="str">
        <f t="shared" ca="1" si="80"/>
        <v/>
      </c>
      <c r="AI431" s="125" t="str">
        <f t="shared" ca="1" si="81"/>
        <v/>
      </c>
      <c r="AJ431" s="125" t="str">
        <f t="shared" ca="1" si="82"/>
        <v/>
      </c>
      <c r="AK431" s="125" t="str">
        <f t="shared" ca="1" si="83"/>
        <v/>
      </c>
      <c r="AL431" s="125" t="str">
        <f t="shared" ca="1" si="84"/>
        <v/>
      </c>
      <c r="AM431" s="124" t="str">
        <f t="shared" ca="1" si="85"/>
        <v/>
      </c>
      <c r="AN431" s="124" t="str">
        <f t="shared" ca="1" si="85"/>
        <v/>
      </c>
      <c r="AO431" s="124" t="str">
        <f t="shared" ca="1" si="85"/>
        <v/>
      </c>
      <c r="AP431" s="124" t="str">
        <f t="shared" ca="1" si="85"/>
        <v/>
      </c>
      <c r="AQ431" s="124" t="str">
        <f t="shared" ca="1" si="85"/>
        <v/>
      </c>
      <c r="AR431" s="124" t="str">
        <f t="shared" ca="1" si="85"/>
        <v/>
      </c>
      <c r="AS431" s="124" t="str">
        <f t="shared" ca="1" si="85"/>
        <v/>
      </c>
      <c r="AT431" s="124" t="str">
        <f t="shared" ca="1" si="85"/>
        <v/>
      </c>
      <c r="AU431" s="124" t="str">
        <f t="shared" ca="1" si="85"/>
        <v/>
      </c>
      <c r="AV431" s="124" t="str">
        <f t="shared" ca="1" si="85"/>
        <v/>
      </c>
      <c r="AW431" s="124" t="str">
        <f t="shared" ca="1" si="85"/>
        <v/>
      </c>
      <c r="AX431" s="124" t="str">
        <f t="shared" ca="1" si="85"/>
        <v/>
      </c>
      <c r="AY431" s="124" t="str">
        <f t="shared" ca="1" si="85"/>
        <v/>
      </c>
      <c r="AZ431" s="124" t="str">
        <f t="shared" ca="1" si="85"/>
        <v/>
      </c>
      <c r="BA431" s="124" t="str">
        <f t="shared" ca="1" si="85"/>
        <v/>
      </c>
      <c r="BB431" s="124" t="str">
        <f t="shared" ca="1" si="85"/>
        <v/>
      </c>
      <c r="BC431" s="124" t="str">
        <f t="shared" ca="1" si="86"/>
        <v/>
      </c>
      <c r="BD431" s="124" t="str">
        <f t="shared" ca="1" si="86"/>
        <v/>
      </c>
      <c r="BE431" s="124" t="str">
        <f t="shared" ca="1" si="86"/>
        <v/>
      </c>
      <c r="BF431" s="124" t="str">
        <f t="shared" ca="1" si="86"/>
        <v/>
      </c>
      <c r="BG431" s="124" t="str">
        <f t="shared" ca="1" si="86"/>
        <v/>
      </c>
      <c r="BH431" s="124" t="str">
        <f t="shared" ca="1" si="86"/>
        <v/>
      </c>
      <c r="BI431" s="124" t="str">
        <f t="shared" ca="1" si="86"/>
        <v/>
      </c>
      <c r="BJ431" s="124" t="str">
        <f t="shared" ca="1" si="86"/>
        <v/>
      </c>
      <c r="BK431" s="124" t="str">
        <f t="shared" ca="1" si="86"/>
        <v/>
      </c>
      <c r="BL431" s="124" t="str">
        <f t="shared" ca="1" si="86"/>
        <v/>
      </c>
      <c r="BM431" s="124" t="str">
        <f t="shared" ca="1" si="86"/>
        <v/>
      </c>
      <c r="BN431" s="124" t="str">
        <f t="shared" ca="1" si="86"/>
        <v/>
      </c>
      <c r="BO431" s="124" t="str">
        <f t="shared" ca="1" si="86"/>
        <v/>
      </c>
      <c r="BP431" s="124" t="str">
        <f t="shared" ca="1" si="86"/>
        <v/>
      </c>
      <c r="BQ431" s="124" t="str">
        <f t="shared" ca="1" si="86"/>
        <v/>
      </c>
      <c r="BR431" s="124" t="str">
        <f t="shared" ca="1" si="86"/>
        <v/>
      </c>
      <c r="BS431" s="124" t="str">
        <f t="shared" ca="1" si="87"/>
        <v/>
      </c>
      <c r="BT431" s="124" t="str">
        <f t="shared" ca="1" si="87"/>
        <v/>
      </c>
      <c r="BU431" s="124" t="str">
        <f t="shared" ca="1" si="87"/>
        <v/>
      </c>
    </row>
    <row r="432" spans="1:73" x14ac:dyDescent="0.15">
      <c r="A432">
        <v>12</v>
      </c>
      <c r="B432" s="124" t="str">
        <f t="shared" ca="1" si="49"/>
        <v/>
      </c>
      <c r="C432" s="123" t="str">
        <f ca="1">IF(A432&lt;=①簡易状況入力!$AC$5,INDIRECT("A"&amp;VLOOKUP($A432,①簡易状況入力!$Y$5:$AB$104,4,FALSE)),"")</f>
        <v/>
      </c>
      <c r="D432" s="125" t="str">
        <f t="shared" ca="1" si="50"/>
        <v/>
      </c>
      <c r="E432" s="125" t="str">
        <f t="shared" ca="1" si="51"/>
        <v/>
      </c>
      <c r="F432" s="125" t="str">
        <f t="shared" ca="1" si="52"/>
        <v/>
      </c>
      <c r="G432" s="125" t="str">
        <f t="shared" ca="1" si="53"/>
        <v/>
      </c>
      <c r="H432" s="125" t="str">
        <f t="shared" ca="1" si="54"/>
        <v/>
      </c>
      <c r="I432" s="125" t="str">
        <f t="shared" ca="1" si="55"/>
        <v/>
      </c>
      <c r="J432" s="125" t="str">
        <f t="shared" ca="1" si="56"/>
        <v/>
      </c>
      <c r="K432" s="125" t="str">
        <f t="shared" ca="1" si="57"/>
        <v/>
      </c>
      <c r="L432" s="125" t="str">
        <f t="shared" ca="1" si="58"/>
        <v/>
      </c>
      <c r="M432" s="125" t="str">
        <f t="shared" ca="1" si="59"/>
        <v/>
      </c>
      <c r="N432" s="125" t="str">
        <f t="shared" ca="1" si="60"/>
        <v/>
      </c>
      <c r="O432" s="125" t="str">
        <f t="shared" ca="1" si="61"/>
        <v/>
      </c>
      <c r="P432" s="125" t="str">
        <f t="shared" ca="1" si="62"/>
        <v/>
      </c>
      <c r="Q432" s="125" t="str">
        <f t="shared" ca="1" si="63"/>
        <v/>
      </c>
      <c r="R432" s="125" t="str">
        <f t="shared" ca="1" si="64"/>
        <v/>
      </c>
      <c r="S432" s="125" t="str">
        <f t="shared" ca="1" si="65"/>
        <v/>
      </c>
      <c r="T432" s="125" t="str">
        <f t="shared" ca="1" si="66"/>
        <v/>
      </c>
      <c r="U432" s="125" t="str">
        <f t="shared" ca="1" si="67"/>
        <v/>
      </c>
      <c r="V432" s="125" t="str">
        <f t="shared" ca="1" si="68"/>
        <v/>
      </c>
      <c r="W432" s="125" t="str">
        <f t="shared" ca="1" si="69"/>
        <v/>
      </c>
      <c r="X432" s="125" t="str">
        <f t="shared" ca="1" si="70"/>
        <v/>
      </c>
      <c r="Y432" s="125" t="str">
        <f t="shared" ca="1" si="71"/>
        <v/>
      </c>
      <c r="Z432" s="125" t="str">
        <f t="shared" ca="1" si="72"/>
        <v/>
      </c>
      <c r="AA432" s="125" t="str">
        <f t="shared" ca="1" si="73"/>
        <v/>
      </c>
      <c r="AB432" s="125" t="str">
        <f t="shared" ca="1" si="74"/>
        <v/>
      </c>
      <c r="AC432" s="125" t="str">
        <f t="shared" ca="1" si="75"/>
        <v/>
      </c>
      <c r="AD432" s="125" t="str">
        <f t="shared" ca="1" si="76"/>
        <v/>
      </c>
      <c r="AE432" s="125" t="str">
        <f t="shared" ca="1" si="77"/>
        <v/>
      </c>
      <c r="AF432" s="125" t="str">
        <f t="shared" ca="1" si="78"/>
        <v/>
      </c>
      <c r="AG432" s="125" t="str">
        <f t="shared" ca="1" si="79"/>
        <v/>
      </c>
      <c r="AH432" s="125" t="str">
        <f t="shared" ca="1" si="80"/>
        <v/>
      </c>
      <c r="AI432" s="125" t="str">
        <f t="shared" ca="1" si="81"/>
        <v/>
      </c>
      <c r="AJ432" s="125" t="str">
        <f t="shared" ca="1" si="82"/>
        <v/>
      </c>
      <c r="AK432" s="125" t="str">
        <f t="shared" ca="1" si="83"/>
        <v/>
      </c>
      <c r="AL432" s="125" t="str">
        <f t="shared" ca="1" si="84"/>
        <v/>
      </c>
      <c r="AM432" s="124" t="str">
        <f t="shared" ca="1" si="85"/>
        <v/>
      </c>
      <c r="AN432" s="124" t="str">
        <f t="shared" ca="1" si="85"/>
        <v/>
      </c>
      <c r="AO432" s="124" t="str">
        <f t="shared" ca="1" si="85"/>
        <v/>
      </c>
      <c r="AP432" s="124" t="str">
        <f t="shared" ca="1" si="85"/>
        <v/>
      </c>
      <c r="AQ432" s="124" t="str">
        <f t="shared" ca="1" si="85"/>
        <v/>
      </c>
      <c r="AR432" s="124" t="str">
        <f t="shared" ca="1" si="85"/>
        <v/>
      </c>
      <c r="AS432" s="124" t="str">
        <f t="shared" ca="1" si="85"/>
        <v/>
      </c>
      <c r="AT432" s="124" t="str">
        <f t="shared" ca="1" si="85"/>
        <v/>
      </c>
      <c r="AU432" s="124" t="str">
        <f t="shared" ca="1" si="85"/>
        <v/>
      </c>
      <c r="AV432" s="124" t="str">
        <f t="shared" ca="1" si="85"/>
        <v/>
      </c>
      <c r="AW432" s="124" t="str">
        <f t="shared" ca="1" si="85"/>
        <v/>
      </c>
      <c r="AX432" s="124" t="str">
        <f t="shared" ca="1" si="85"/>
        <v/>
      </c>
      <c r="AY432" s="124" t="str">
        <f t="shared" ca="1" si="85"/>
        <v/>
      </c>
      <c r="AZ432" s="124" t="str">
        <f t="shared" ca="1" si="85"/>
        <v/>
      </c>
      <c r="BA432" s="124" t="str">
        <f t="shared" ca="1" si="85"/>
        <v/>
      </c>
      <c r="BB432" s="124" t="str">
        <f t="shared" ca="1" si="85"/>
        <v/>
      </c>
      <c r="BC432" s="124" t="str">
        <f t="shared" ca="1" si="86"/>
        <v/>
      </c>
      <c r="BD432" s="124" t="str">
        <f t="shared" ca="1" si="86"/>
        <v/>
      </c>
      <c r="BE432" s="124" t="str">
        <f t="shared" ca="1" si="86"/>
        <v/>
      </c>
      <c r="BF432" s="124" t="str">
        <f t="shared" ca="1" si="86"/>
        <v/>
      </c>
      <c r="BG432" s="124" t="str">
        <f t="shared" ca="1" si="86"/>
        <v/>
      </c>
      <c r="BH432" s="124" t="str">
        <f t="shared" ca="1" si="86"/>
        <v/>
      </c>
      <c r="BI432" s="124" t="str">
        <f t="shared" ca="1" si="86"/>
        <v/>
      </c>
      <c r="BJ432" s="124" t="str">
        <f t="shared" ca="1" si="86"/>
        <v/>
      </c>
      <c r="BK432" s="124" t="str">
        <f t="shared" ca="1" si="86"/>
        <v/>
      </c>
      <c r="BL432" s="124" t="str">
        <f t="shared" ca="1" si="86"/>
        <v/>
      </c>
      <c r="BM432" s="124" t="str">
        <f t="shared" ca="1" si="86"/>
        <v/>
      </c>
      <c r="BN432" s="124" t="str">
        <f t="shared" ca="1" si="86"/>
        <v/>
      </c>
      <c r="BO432" s="124" t="str">
        <f t="shared" ca="1" si="86"/>
        <v/>
      </c>
      <c r="BP432" s="124" t="str">
        <f t="shared" ca="1" si="86"/>
        <v/>
      </c>
      <c r="BQ432" s="124" t="str">
        <f t="shared" ca="1" si="86"/>
        <v/>
      </c>
      <c r="BR432" s="124" t="str">
        <f t="shared" ca="1" si="86"/>
        <v/>
      </c>
      <c r="BS432" s="124" t="str">
        <f t="shared" ca="1" si="87"/>
        <v/>
      </c>
      <c r="BT432" s="124" t="str">
        <f t="shared" ca="1" si="87"/>
        <v/>
      </c>
      <c r="BU432" s="124" t="str">
        <f t="shared" ca="1" si="87"/>
        <v/>
      </c>
    </row>
    <row r="433" spans="1:73" x14ac:dyDescent="0.15">
      <c r="A433">
        <v>13</v>
      </c>
      <c r="B433" s="124" t="str">
        <f t="shared" ca="1" si="49"/>
        <v/>
      </c>
      <c r="C433" s="123" t="str">
        <f ca="1">IF(A433&lt;=①簡易状況入力!$AC$5,INDIRECT("A"&amp;VLOOKUP($A433,①簡易状況入力!$Y$5:$AB$104,4,FALSE)),"")</f>
        <v/>
      </c>
      <c r="D433" s="125" t="str">
        <f t="shared" ca="1" si="50"/>
        <v/>
      </c>
      <c r="E433" s="125" t="str">
        <f t="shared" ca="1" si="51"/>
        <v/>
      </c>
      <c r="F433" s="125" t="str">
        <f t="shared" ca="1" si="52"/>
        <v/>
      </c>
      <c r="G433" s="125" t="str">
        <f t="shared" ca="1" si="53"/>
        <v/>
      </c>
      <c r="H433" s="125" t="str">
        <f t="shared" ca="1" si="54"/>
        <v/>
      </c>
      <c r="I433" s="125" t="str">
        <f t="shared" ca="1" si="55"/>
        <v/>
      </c>
      <c r="J433" s="125" t="str">
        <f t="shared" ca="1" si="56"/>
        <v/>
      </c>
      <c r="K433" s="125" t="str">
        <f t="shared" ca="1" si="57"/>
        <v/>
      </c>
      <c r="L433" s="125" t="str">
        <f t="shared" ca="1" si="58"/>
        <v/>
      </c>
      <c r="M433" s="125" t="str">
        <f t="shared" ca="1" si="59"/>
        <v/>
      </c>
      <c r="N433" s="125" t="str">
        <f t="shared" ca="1" si="60"/>
        <v/>
      </c>
      <c r="O433" s="125" t="str">
        <f t="shared" ca="1" si="61"/>
        <v/>
      </c>
      <c r="P433" s="125" t="str">
        <f t="shared" ca="1" si="62"/>
        <v/>
      </c>
      <c r="Q433" s="125" t="str">
        <f t="shared" ca="1" si="63"/>
        <v/>
      </c>
      <c r="R433" s="125" t="str">
        <f t="shared" ca="1" si="64"/>
        <v/>
      </c>
      <c r="S433" s="125" t="str">
        <f t="shared" ca="1" si="65"/>
        <v/>
      </c>
      <c r="T433" s="125" t="str">
        <f t="shared" ca="1" si="66"/>
        <v/>
      </c>
      <c r="U433" s="125" t="str">
        <f t="shared" ca="1" si="67"/>
        <v/>
      </c>
      <c r="V433" s="125" t="str">
        <f t="shared" ca="1" si="68"/>
        <v/>
      </c>
      <c r="W433" s="125" t="str">
        <f t="shared" ca="1" si="69"/>
        <v/>
      </c>
      <c r="X433" s="125" t="str">
        <f t="shared" ca="1" si="70"/>
        <v/>
      </c>
      <c r="Y433" s="125" t="str">
        <f t="shared" ca="1" si="71"/>
        <v/>
      </c>
      <c r="Z433" s="125" t="str">
        <f t="shared" ca="1" si="72"/>
        <v/>
      </c>
      <c r="AA433" s="125" t="str">
        <f t="shared" ca="1" si="73"/>
        <v/>
      </c>
      <c r="AB433" s="125" t="str">
        <f t="shared" ca="1" si="74"/>
        <v/>
      </c>
      <c r="AC433" s="125" t="str">
        <f t="shared" ca="1" si="75"/>
        <v/>
      </c>
      <c r="AD433" s="125" t="str">
        <f t="shared" ca="1" si="76"/>
        <v/>
      </c>
      <c r="AE433" s="125" t="str">
        <f t="shared" ca="1" si="77"/>
        <v/>
      </c>
      <c r="AF433" s="125" t="str">
        <f t="shared" ca="1" si="78"/>
        <v/>
      </c>
      <c r="AG433" s="125" t="str">
        <f t="shared" ca="1" si="79"/>
        <v/>
      </c>
      <c r="AH433" s="125" t="str">
        <f t="shared" ca="1" si="80"/>
        <v/>
      </c>
      <c r="AI433" s="125" t="str">
        <f t="shared" ca="1" si="81"/>
        <v/>
      </c>
      <c r="AJ433" s="125" t="str">
        <f t="shared" ca="1" si="82"/>
        <v/>
      </c>
      <c r="AK433" s="125" t="str">
        <f t="shared" ca="1" si="83"/>
        <v/>
      </c>
      <c r="AL433" s="125" t="str">
        <f t="shared" ca="1" si="84"/>
        <v/>
      </c>
      <c r="AM433" s="124" t="str">
        <f t="shared" ca="1" si="85"/>
        <v/>
      </c>
      <c r="AN433" s="124" t="str">
        <f t="shared" ca="1" si="85"/>
        <v/>
      </c>
      <c r="AO433" s="124" t="str">
        <f t="shared" ca="1" si="85"/>
        <v/>
      </c>
      <c r="AP433" s="124" t="str">
        <f t="shared" ca="1" si="85"/>
        <v/>
      </c>
      <c r="AQ433" s="124" t="str">
        <f t="shared" ca="1" si="85"/>
        <v/>
      </c>
      <c r="AR433" s="124" t="str">
        <f t="shared" ca="1" si="85"/>
        <v/>
      </c>
      <c r="AS433" s="124" t="str">
        <f t="shared" ca="1" si="85"/>
        <v/>
      </c>
      <c r="AT433" s="124" t="str">
        <f t="shared" ca="1" si="85"/>
        <v/>
      </c>
      <c r="AU433" s="124" t="str">
        <f t="shared" ca="1" si="85"/>
        <v/>
      </c>
      <c r="AV433" s="124" t="str">
        <f t="shared" ca="1" si="85"/>
        <v/>
      </c>
      <c r="AW433" s="124" t="str">
        <f t="shared" ca="1" si="85"/>
        <v/>
      </c>
      <c r="AX433" s="124" t="str">
        <f t="shared" ca="1" si="85"/>
        <v/>
      </c>
      <c r="AY433" s="124" t="str">
        <f t="shared" ca="1" si="85"/>
        <v/>
      </c>
      <c r="AZ433" s="124" t="str">
        <f t="shared" ca="1" si="85"/>
        <v/>
      </c>
      <c r="BA433" s="124" t="str">
        <f t="shared" ca="1" si="85"/>
        <v/>
      </c>
      <c r="BB433" s="124" t="str">
        <f t="shared" ca="1" si="85"/>
        <v/>
      </c>
      <c r="BC433" s="124" t="str">
        <f t="shared" ca="1" si="86"/>
        <v/>
      </c>
      <c r="BD433" s="124" t="str">
        <f t="shared" ca="1" si="86"/>
        <v/>
      </c>
      <c r="BE433" s="124" t="str">
        <f t="shared" ca="1" si="86"/>
        <v/>
      </c>
      <c r="BF433" s="124" t="str">
        <f t="shared" ca="1" si="86"/>
        <v/>
      </c>
      <c r="BG433" s="124" t="str">
        <f t="shared" ca="1" si="86"/>
        <v/>
      </c>
      <c r="BH433" s="124" t="str">
        <f t="shared" ca="1" si="86"/>
        <v/>
      </c>
      <c r="BI433" s="124" t="str">
        <f t="shared" ca="1" si="86"/>
        <v/>
      </c>
      <c r="BJ433" s="124" t="str">
        <f t="shared" ca="1" si="86"/>
        <v/>
      </c>
      <c r="BK433" s="124" t="str">
        <f t="shared" ca="1" si="86"/>
        <v/>
      </c>
      <c r="BL433" s="124" t="str">
        <f t="shared" ca="1" si="86"/>
        <v/>
      </c>
      <c r="BM433" s="124" t="str">
        <f t="shared" ca="1" si="86"/>
        <v/>
      </c>
      <c r="BN433" s="124" t="str">
        <f t="shared" ca="1" si="86"/>
        <v/>
      </c>
      <c r="BO433" s="124" t="str">
        <f t="shared" ca="1" si="86"/>
        <v/>
      </c>
      <c r="BP433" s="124" t="str">
        <f t="shared" ca="1" si="86"/>
        <v/>
      </c>
      <c r="BQ433" s="124" t="str">
        <f t="shared" ca="1" si="86"/>
        <v/>
      </c>
      <c r="BR433" s="124" t="str">
        <f t="shared" ca="1" si="86"/>
        <v/>
      </c>
      <c r="BS433" s="124" t="str">
        <f t="shared" ca="1" si="87"/>
        <v/>
      </c>
      <c r="BT433" s="124" t="str">
        <f t="shared" ca="1" si="87"/>
        <v/>
      </c>
      <c r="BU433" s="124" t="str">
        <f t="shared" ca="1" si="87"/>
        <v/>
      </c>
    </row>
    <row r="434" spans="1:73" x14ac:dyDescent="0.15">
      <c r="A434">
        <v>14</v>
      </c>
      <c r="B434" s="124" t="str">
        <f t="shared" ca="1" si="49"/>
        <v/>
      </c>
      <c r="C434" s="123" t="str">
        <f ca="1">IF(A434&lt;=①簡易状況入力!$AC$5,INDIRECT("A"&amp;VLOOKUP($A434,①簡易状況入力!$Y$5:$AB$104,4,FALSE)),"")</f>
        <v/>
      </c>
      <c r="D434" s="125" t="str">
        <f t="shared" ca="1" si="50"/>
        <v/>
      </c>
      <c r="E434" s="125" t="str">
        <f t="shared" ca="1" si="51"/>
        <v/>
      </c>
      <c r="F434" s="125" t="str">
        <f t="shared" ca="1" si="52"/>
        <v/>
      </c>
      <c r="G434" s="125" t="str">
        <f t="shared" ca="1" si="53"/>
        <v/>
      </c>
      <c r="H434" s="125" t="str">
        <f t="shared" ca="1" si="54"/>
        <v/>
      </c>
      <c r="I434" s="125" t="str">
        <f t="shared" ca="1" si="55"/>
        <v/>
      </c>
      <c r="J434" s="125" t="str">
        <f t="shared" ca="1" si="56"/>
        <v/>
      </c>
      <c r="K434" s="125" t="str">
        <f t="shared" ca="1" si="57"/>
        <v/>
      </c>
      <c r="L434" s="125" t="str">
        <f t="shared" ca="1" si="58"/>
        <v/>
      </c>
      <c r="M434" s="125" t="str">
        <f t="shared" ca="1" si="59"/>
        <v/>
      </c>
      <c r="N434" s="125" t="str">
        <f t="shared" ca="1" si="60"/>
        <v/>
      </c>
      <c r="O434" s="125" t="str">
        <f t="shared" ca="1" si="61"/>
        <v/>
      </c>
      <c r="P434" s="125" t="str">
        <f t="shared" ca="1" si="62"/>
        <v/>
      </c>
      <c r="Q434" s="125" t="str">
        <f t="shared" ca="1" si="63"/>
        <v/>
      </c>
      <c r="R434" s="125" t="str">
        <f t="shared" ca="1" si="64"/>
        <v/>
      </c>
      <c r="S434" s="125" t="str">
        <f t="shared" ca="1" si="65"/>
        <v/>
      </c>
      <c r="T434" s="125" t="str">
        <f t="shared" ca="1" si="66"/>
        <v/>
      </c>
      <c r="U434" s="125" t="str">
        <f t="shared" ca="1" si="67"/>
        <v/>
      </c>
      <c r="V434" s="125" t="str">
        <f t="shared" ca="1" si="68"/>
        <v/>
      </c>
      <c r="W434" s="125" t="str">
        <f t="shared" ca="1" si="69"/>
        <v/>
      </c>
      <c r="X434" s="125" t="str">
        <f t="shared" ca="1" si="70"/>
        <v/>
      </c>
      <c r="Y434" s="125" t="str">
        <f t="shared" ca="1" si="71"/>
        <v/>
      </c>
      <c r="Z434" s="125" t="str">
        <f t="shared" ca="1" si="72"/>
        <v/>
      </c>
      <c r="AA434" s="125" t="str">
        <f t="shared" ca="1" si="73"/>
        <v/>
      </c>
      <c r="AB434" s="125" t="str">
        <f t="shared" ca="1" si="74"/>
        <v/>
      </c>
      <c r="AC434" s="125" t="str">
        <f t="shared" ca="1" si="75"/>
        <v/>
      </c>
      <c r="AD434" s="125" t="str">
        <f t="shared" ca="1" si="76"/>
        <v/>
      </c>
      <c r="AE434" s="125" t="str">
        <f t="shared" ca="1" si="77"/>
        <v/>
      </c>
      <c r="AF434" s="125" t="str">
        <f t="shared" ca="1" si="78"/>
        <v/>
      </c>
      <c r="AG434" s="125" t="str">
        <f t="shared" ca="1" si="79"/>
        <v/>
      </c>
      <c r="AH434" s="125" t="str">
        <f t="shared" ca="1" si="80"/>
        <v/>
      </c>
      <c r="AI434" s="125" t="str">
        <f t="shared" ca="1" si="81"/>
        <v/>
      </c>
      <c r="AJ434" s="125" t="str">
        <f t="shared" ca="1" si="82"/>
        <v/>
      </c>
      <c r="AK434" s="125" t="str">
        <f t="shared" ca="1" si="83"/>
        <v/>
      </c>
      <c r="AL434" s="125" t="str">
        <f t="shared" ca="1" si="84"/>
        <v/>
      </c>
      <c r="AM434" s="124" t="str">
        <f t="shared" ca="1" si="85"/>
        <v/>
      </c>
      <c r="AN434" s="124" t="str">
        <f t="shared" ca="1" si="85"/>
        <v/>
      </c>
      <c r="AO434" s="124" t="str">
        <f t="shared" ca="1" si="85"/>
        <v/>
      </c>
      <c r="AP434" s="124" t="str">
        <f t="shared" ca="1" si="85"/>
        <v/>
      </c>
      <c r="AQ434" s="124" t="str">
        <f t="shared" ca="1" si="85"/>
        <v/>
      </c>
      <c r="AR434" s="124" t="str">
        <f t="shared" ca="1" si="85"/>
        <v/>
      </c>
      <c r="AS434" s="124" t="str">
        <f t="shared" ca="1" si="85"/>
        <v/>
      </c>
      <c r="AT434" s="124" t="str">
        <f t="shared" ca="1" si="85"/>
        <v/>
      </c>
      <c r="AU434" s="124" t="str">
        <f t="shared" ca="1" si="85"/>
        <v/>
      </c>
      <c r="AV434" s="124" t="str">
        <f t="shared" ca="1" si="85"/>
        <v/>
      </c>
      <c r="AW434" s="124" t="str">
        <f t="shared" ca="1" si="85"/>
        <v/>
      </c>
      <c r="AX434" s="124" t="str">
        <f t="shared" ca="1" si="85"/>
        <v/>
      </c>
      <c r="AY434" s="124" t="str">
        <f t="shared" ca="1" si="85"/>
        <v/>
      </c>
      <c r="AZ434" s="124" t="str">
        <f t="shared" ca="1" si="85"/>
        <v/>
      </c>
      <c r="BA434" s="124" t="str">
        <f t="shared" ca="1" si="85"/>
        <v/>
      </c>
      <c r="BB434" s="124" t="str">
        <f t="shared" ca="1" si="85"/>
        <v/>
      </c>
      <c r="BC434" s="124" t="str">
        <f t="shared" ca="1" si="86"/>
        <v/>
      </c>
      <c r="BD434" s="124" t="str">
        <f t="shared" ca="1" si="86"/>
        <v/>
      </c>
      <c r="BE434" s="124" t="str">
        <f t="shared" ca="1" si="86"/>
        <v/>
      </c>
      <c r="BF434" s="124" t="str">
        <f t="shared" ca="1" si="86"/>
        <v/>
      </c>
      <c r="BG434" s="124" t="str">
        <f t="shared" ca="1" si="86"/>
        <v/>
      </c>
      <c r="BH434" s="124" t="str">
        <f t="shared" ca="1" si="86"/>
        <v/>
      </c>
      <c r="BI434" s="124" t="str">
        <f t="shared" ca="1" si="86"/>
        <v/>
      </c>
      <c r="BJ434" s="124" t="str">
        <f t="shared" ca="1" si="86"/>
        <v/>
      </c>
      <c r="BK434" s="124" t="str">
        <f t="shared" ca="1" si="86"/>
        <v/>
      </c>
      <c r="BL434" s="124" t="str">
        <f t="shared" ca="1" si="86"/>
        <v/>
      </c>
      <c r="BM434" s="124" t="str">
        <f t="shared" ca="1" si="86"/>
        <v/>
      </c>
      <c r="BN434" s="124" t="str">
        <f t="shared" ca="1" si="86"/>
        <v/>
      </c>
      <c r="BO434" s="124" t="str">
        <f t="shared" ca="1" si="86"/>
        <v/>
      </c>
      <c r="BP434" s="124" t="str">
        <f t="shared" ca="1" si="86"/>
        <v/>
      </c>
      <c r="BQ434" s="124" t="str">
        <f t="shared" ca="1" si="86"/>
        <v/>
      </c>
      <c r="BR434" s="124" t="str">
        <f t="shared" ca="1" si="86"/>
        <v/>
      </c>
      <c r="BS434" s="124" t="str">
        <f t="shared" ca="1" si="87"/>
        <v/>
      </c>
      <c r="BT434" s="124" t="str">
        <f t="shared" ca="1" si="87"/>
        <v/>
      </c>
      <c r="BU434" s="124" t="str">
        <f t="shared" ca="1" si="87"/>
        <v/>
      </c>
    </row>
    <row r="435" spans="1:73" x14ac:dyDescent="0.15">
      <c r="A435">
        <v>15</v>
      </c>
      <c r="B435" s="124" t="str">
        <f t="shared" ca="1" si="49"/>
        <v/>
      </c>
      <c r="C435" s="123" t="str">
        <f ca="1">IF(A435&lt;=①簡易状況入力!$AC$5,INDIRECT("A"&amp;VLOOKUP($A435,①簡易状況入力!$Y$5:$AB$104,4,FALSE)),"")</f>
        <v/>
      </c>
      <c r="D435" s="125" t="str">
        <f t="shared" ca="1" si="50"/>
        <v/>
      </c>
      <c r="E435" s="125" t="str">
        <f t="shared" ca="1" si="51"/>
        <v/>
      </c>
      <c r="F435" s="125" t="str">
        <f t="shared" ca="1" si="52"/>
        <v/>
      </c>
      <c r="G435" s="125" t="str">
        <f t="shared" ca="1" si="53"/>
        <v/>
      </c>
      <c r="H435" s="125" t="str">
        <f t="shared" ca="1" si="54"/>
        <v/>
      </c>
      <c r="I435" s="125" t="str">
        <f t="shared" ca="1" si="55"/>
        <v/>
      </c>
      <c r="J435" s="125" t="str">
        <f t="shared" ca="1" si="56"/>
        <v/>
      </c>
      <c r="K435" s="125" t="str">
        <f t="shared" ca="1" si="57"/>
        <v/>
      </c>
      <c r="L435" s="125" t="str">
        <f t="shared" ca="1" si="58"/>
        <v/>
      </c>
      <c r="M435" s="125" t="str">
        <f t="shared" ca="1" si="59"/>
        <v/>
      </c>
      <c r="N435" s="125" t="str">
        <f t="shared" ca="1" si="60"/>
        <v/>
      </c>
      <c r="O435" s="125" t="str">
        <f t="shared" ca="1" si="61"/>
        <v/>
      </c>
      <c r="P435" s="125" t="str">
        <f t="shared" ca="1" si="62"/>
        <v/>
      </c>
      <c r="Q435" s="125" t="str">
        <f t="shared" ca="1" si="63"/>
        <v/>
      </c>
      <c r="R435" s="125" t="str">
        <f t="shared" ca="1" si="64"/>
        <v/>
      </c>
      <c r="S435" s="125" t="str">
        <f t="shared" ca="1" si="65"/>
        <v/>
      </c>
      <c r="T435" s="125" t="str">
        <f t="shared" ca="1" si="66"/>
        <v/>
      </c>
      <c r="U435" s="125" t="str">
        <f t="shared" ca="1" si="67"/>
        <v/>
      </c>
      <c r="V435" s="125" t="str">
        <f t="shared" ca="1" si="68"/>
        <v/>
      </c>
      <c r="W435" s="125" t="str">
        <f t="shared" ca="1" si="69"/>
        <v/>
      </c>
      <c r="X435" s="125" t="str">
        <f t="shared" ca="1" si="70"/>
        <v/>
      </c>
      <c r="Y435" s="125" t="str">
        <f t="shared" ca="1" si="71"/>
        <v/>
      </c>
      <c r="Z435" s="125" t="str">
        <f t="shared" ca="1" si="72"/>
        <v/>
      </c>
      <c r="AA435" s="125" t="str">
        <f t="shared" ca="1" si="73"/>
        <v/>
      </c>
      <c r="AB435" s="125" t="str">
        <f t="shared" ca="1" si="74"/>
        <v/>
      </c>
      <c r="AC435" s="125" t="str">
        <f t="shared" ca="1" si="75"/>
        <v/>
      </c>
      <c r="AD435" s="125" t="str">
        <f t="shared" ca="1" si="76"/>
        <v/>
      </c>
      <c r="AE435" s="125" t="str">
        <f t="shared" ca="1" si="77"/>
        <v/>
      </c>
      <c r="AF435" s="125" t="str">
        <f t="shared" ca="1" si="78"/>
        <v/>
      </c>
      <c r="AG435" s="125" t="str">
        <f t="shared" ca="1" si="79"/>
        <v/>
      </c>
      <c r="AH435" s="125" t="str">
        <f t="shared" ca="1" si="80"/>
        <v/>
      </c>
      <c r="AI435" s="125" t="str">
        <f t="shared" ca="1" si="81"/>
        <v/>
      </c>
      <c r="AJ435" s="125" t="str">
        <f t="shared" ca="1" si="82"/>
        <v/>
      </c>
      <c r="AK435" s="125" t="str">
        <f t="shared" ca="1" si="83"/>
        <v/>
      </c>
      <c r="AL435" s="125" t="str">
        <f t="shared" ca="1" si="84"/>
        <v/>
      </c>
      <c r="AM435" s="124" t="str">
        <f t="shared" ca="1" si="85"/>
        <v/>
      </c>
      <c r="AN435" s="124" t="str">
        <f t="shared" ca="1" si="85"/>
        <v/>
      </c>
      <c r="AO435" s="124" t="str">
        <f t="shared" ca="1" si="85"/>
        <v/>
      </c>
      <c r="AP435" s="124" t="str">
        <f t="shared" ca="1" si="85"/>
        <v/>
      </c>
      <c r="AQ435" s="124" t="str">
        <f t="shared" ca="1" si="85"/>
        <v/>
      </c>
      <c r="AR435" s="124" t="str">
        <f t="shared" ca="1" si="85"/>
        <v/>
      </c>
      <c r="AS435" s="124" t="str">
        <f t="shared" ca="1" si="85"/>
        <v/>
      </c>
      <c r="AT435" s="124" t="str">
        <f t="shared" ca="1" si="85"/>
        <v/>
      </c>
      <c r="AU435" s="124" t="str">
        <f t="shared" ca="1" si="85"/>
        <v/>
      </c>
      <c r="AV435" s="124" t="str">
        <f t="shared" ca="1" si="85"/>
        <v/>
      </c>
      <c r="AW435" s="124" t="str">
        <f t="shared" ca="1" si="85"/>
        <v/>
      </c>
      <c r="AX435" s="124" t="str">
        <f t="shared" ca="1" si="85"/>
        <v/>
      </c>
      <c r="AY435" s="124" t="str">
        <f t="shared" ca="1" si="85"/>
        <v/>
      </c>
      <c r="AZ435" s="124" t="str">
        <f t="shared" ca="1" si="85"/>
        <v/>
      </c>
      <c r="BA435" s="124" t="str">
        <f t="shared" ca="1" si="85"/>
        <v/>
      </c>
      <c r="BB435" s="124" t="str">
        <f t="shared" ca="1" si="85"/>
        <v/>
      </c>
      <c r="BC435" s="124" t="str">
        <f t="shared" ca="1" si="86"/>
        <v/>
      </c>
      <c r="BD435" s="124" t="str">
        <f t="shared" ca="1" si="86"/>
        <v/>
      </c>
      <c r="BE435" s="124" t="str">
        <f t="shared" ca="1" si="86"/>
        <v/>
      </c>
      <c r="BF435" s="124" t="str">
        <f t="shared" ca="1" si="86"/>
        <v/>
      </c>
      <c r="BG435" s="124" t="str">
        <f t="shared" ca="1" si="86"/>
        <v/>
      </c>
      <c r="BH435" s="124" t="str">
        <f t="shared" ca="1" si="86"/>
        <v/>
      </c>
      <c r="BI435" s="124" t="str">
        <f t="shared" ca="1" si="86"/>
        <v/>
      </c>
      <c r="BJ435" s="124" t="str">
        <f t="shared" ca="1" si="86"/>
        <v/>
      </c>
      <c r="BK435" s="124" t="str">
        <f t="shared" ca="1" si="86"/>
        <v/>
      </c>
      <c r="BL435" s="124" t="str">
        <f t="shared" ca="1" si="86"/>
        <v/>
      </c>
      <c r="BM435" s="124" t="str">
        <f t="shared" ca="1" si="86"/>
        <v/>
      </c>
      <c r="BN435" s="124" t="str">
        <f t="shared" ca="1" si="86"/>
        <v/>
      </c>
      <c r="BO435" s="124" t="str">
        <f t="shared" ca="1" si="86"/>
        <v/>
      </c>
      <c r="BP435" s="124" t="str">
        <f t="shared" ca="1" si="86"/>
        <v/>
      </c>
      <c r="BQ435" s="124" t="str">
        <f t="shared" ca="1" si="86"/>
        <v/>
      </c>
      <c r="BR435" s="124" t="str">
        <f t="shared" ca="1" si="86"/>
        <v/>
      </c>
      <c r="BS435" s="124" t="str">
        <f t="shared" ca="1" si="87"/>
        <v/>
      </c>
      <c r="BT435" s="124" t="str">
        <f t="shared" ca="1" si="87"/>
        <v/>
      </c>
      <c r="BU435" s="124" t="str">
        <f t="shared" ca="1" si="87"/>
        <v/>
      </c>
    </row>
    <row r="436" spans="1:73" x14ac:dyDescent="0.15">
      <c r="A436">
        <v>16</v>
      </c>
      <c r="B436" s="124" t="str">
        <f t="shared" ca="1" si="49"/>
        <v/>
      </c>
      <c r="C436" s="123" t="str">
        <f ca="1">IF(A436&lt;=①簡易状況入力!$AC$5,INDIRECT("A"&amp;VLOOKUP($A436,①簡易状況入力!$Y$5:$AB$104,4,FALSE)),"")</f>
        <v/>
      </c>
      <c r="D436" s="125" t="str">
        <f t="shared" ca="1" si="50"/>
        <v/>
      </c>
      <c r="E436" s="125" t="str">
        <f t="shared" ca="1" si="51"/>
        <v/>
      </c>
      <c r="F436" s="125" t="str">
        <f t="shared" ca="1" si="52"/>
        <v/>
      </c>
      <c r="G436" s="125" t="str">
        <f t="shared" ca="1" si="53"/>
        <v/>
      </c>
      <c r="H436" s="125" t="str">
        <f t="shared" ca="1" si="54"/>
        <v/>
      </c>
      <c r="I436" s="125" t="str">
        <f t="shared" ca="1" si="55"/>
        <v/>
      </c>
      <c r="J436" s="125" t="str">
        <f t="shared" ca="1" si="56"/>
        <v/>
      </c>
      <c r="K436" s="125" t="str">
        <f t="shared" ca="1" si="57"/>
        <v/>
      </c>
      <c r="L436" s="125" t="str">
        <f t="shared" ca="1" si="58"/>
        <v/>
      </c>
      <c r="M436" s="125" t="str">
        <f t="shared" ca="1" si="59"/>
        <v/>
      </c>
      <c r="N436" s="125" t="str">
        <f t="shared" ca="1" si="60"/>
        <v/>
      </c>
      <c r="O436" s="125" t="str">
        <f t="shared" ca="1" si="61"/>
        <v/>
      </c>
      <c r="P436" s="125" t="str">
        <f t="shared" ca="1" si="62"/>
        <v/>
      </c>
      <c r="Q436" s="125" t="str">
        <f t="shared" ca="1" si="63"/>
        <v/>
      </c>
      <c r="R436" s="125" t="str">
        <f t="shared" ca="1" si="64"/>
        <v/>
      </c>
      <c r="S436" s="125" t="str">
        <f t="shared" ca="1" si="65"/>
        <v/>
      </c>
      <c r="T436" s="125" t="str">
        <f t="shared" ca="1" si="66"/>
        <v/>
      </c>
      <c r="U436" s="125" t="str">
        <f t="shared" ca="1" si="67"/>
        <v/>
      </c>
      <c r="V436" s="125" t="str">
        <f t="shared" ca="1" si="68"/>
        <v/>
      </c>
      <c r="W436" s="125" t="str">
        <f t="shared" ca="1" si="69"/>
        <v/>
      </c>
      <c r="X436" s="125" t="str">
        <f t="shared" ca="1" si="70"/>
        <v/>
      </c>
      <c r="Y436" s="125" t="str">
        <f t="shared" ca="1" si="71"/>
        <v/>
      </c>
      <c r="Z436" s="125" t="str">
        <f t="shared" ca="1" si="72"/>
        <v/>
      </c>
      <c r="AA436" s="125" t="str">
        <f t="shared" ca="1" si="73"/>
        <v/>
      </c>
      <c r="AB436" s="125" t="str">
        <f t="shared" ca="1" si="74"/>
        <v/>
      </c>
      <c r="AC436" s="125" t="str">
        <f t="shared" ca="1" si="75"/>
        <v/>
      </c>
      <c r="AD436" s="125" t="str">
        <f t="shared" ca="1" si="76"/>
        <v/>
      </c>
      <c r="AE436" s="125" t="str">
        <f t="shared" ca="1" si="77"/>
        <v/>
      </c>
      <c r="AF436" s="125" t="str">
        <f t="shared" ca="1" si="78"/>
        <v/>
      </c>
      <c r="AG436" s="125" t="str">
        <f t="shared" ca="1" si="79"/>
        <v/>
      </c>
      <c r="AH436" s="125" t="str">
        <f t="shared" ca="1" si="80"/>
        <v/>
      </c>
      <c r="AI436" s="125" t="str">
        <f t="shared" ca="1" si="81"/>
        <v/>
      </c>
      <c r="AJ436" s="125" t="str">
        <f t="shared" ca="1" si="82"/>
        <v/>
      </c>
      <c r="AK436" s="125" t="str">
        <f t="shared" ca="1" si="83"/>
        <v/>
      </c>
      <c r="AL436" s="125" t="str">
        <f t="shared" ca="1" si="84"/>
        <v/>
      </c>
      <c r="AM436" s="124" t="str">
        <f t="shared" ca="1" si="85"/>
        <v/>
      </c>
      <c r="AN436" s="124" t="str">
        <f t="shared" ca="1" si="85"/>
        <v/>
      </c>
      <c r="AO436" s="124" t="str">
        <f t="shared" ca="1" si="85"/>
        <v/>
      </c>
      <c r="AP436" s="124" t="str">
        <f t="shared" ca="1" si="85"/>
        <v/>
      </c>
      <c r="AQ436" s="124" t="str">
        <f t="shared" ca="1" si="85"/>
        <v/>
      </c>
      <c r="AR436" s="124" t="str">
        <f t="shared" ca="1" si="85"/>
        <v/>
      </c>
      <c r="AS436" s="124" t="str">
        <f t="shared" ca="1" si="85"/>
        <v/>
      </c>
      <c r="AT436" s="124" t="str">
        <f t="shared" ca="1" si="85"/>
        <v/>
      </c>
      <c r="AU436" s="124" t="str">
        <f t="shared" ca="1" si="85"/>
        <v/>
      </c>
      <c r="AV436" s="124" t="str">
        <f t="shared" ca="1" si="85"/>
        <v/>
      </c>
      <c r="AW436" s="124" t="str">
        <f t="shared" ca="1" si="85"/>
        <v/>
      </c>
      <c r="AX436" s="124" t="str">
        <f t="shared" ca="1" si="85"/>
        <v/>
      </c>
      <c r="AY436" s="124" t="str">
        <f t="shared" ca="1" si="85"/>
        <v/>
      </c>
      <c r="AZ436" s="124" t="str">
        <f t="shared" ca="1" si="85"/>
        <v/>
      </c>
      <c r="BA436" s="124" t="str">
        <f t="shared" ca="1" si="85"/>
        <v/>
      </c>
      <c r="BB436" s="124" t="str">
        <f t="shared" ca="1" si="85"/>
        <v/>
      </c>
      <c r="BC436" s="124" t="str">
        <f t="shared" ca="1" si="86"/>
        <v/>
      </c>
      <c r="BD436" s="124" t="str">
        <f t="shared" ca="1" si="86"/>
        <v/>
      </c>
      <c r="BE436" s="124" t="str">
        <f t="shared" ca="1" si="86"/>
        <v/>
      </c>
      <c r="BF436" s="124" t="str">
        <f t="shared" ca="1" si="86"/>
        <v/>
      </c>
      <c r="BG436" s="124" t="str">
        <f t="shared" ca="1" si="86"/>
        <v/>
      </c>
      <c r="BH436" s="124" t="str">
        <f t="shared" ca="1" si="86"/>
        <v/>
      </c>
      <c r="BI436" s="124" t="str">
        <f t="shared" ca="1" si="86"/>
        <v/>
      </c>
      <c r="BJ436" s="124" t="str">
        <f t="shared" ca="1" si="86"/>
        <v/>
      </c>
      <c r="BK436" s="124" t="str">
        <f t="shared" ca="1" si="86"/>
        <v/>
      </c>
      <c r="BL436" s="124" t="str">
        <f t="shared" ca="1" si="86"/>
        <v/>
      </c>
      <c r="BM436" s="124" t="str">
        <f t="shared" ca="1" si="86"/>
        <v/>
      </c>
      <c r="BN436" s="124" t="str">
        <f t="shared" ca="1" si="86"/>
        <v/>
      </c>
      <c r="BO436" s="124" t="str">
        <f t="shared" ca="1" si="86"/>
        <v/>
      </c>
      <c r="BP436" s="124" t="str">
        <f t="shared" ca="1" si="86"/>
        <v/>
      </c>
      <c r="BQ436" s="124" t="str">
        <f t="shared" ca="1" si="86"/>
        <v/>
      </c>
      <c r="BR436" s="124" t="str">
        <f t="shared" ca="1" si="86"/>
        <v/>
      </c>
      <c r="BS436" s="124" t="str">
        <f t="shared" ca="1" si="87"/>
        <v/>
      </c>
      <c r="BT436" s="124" t="str">
        <f t="shared" ca="1" si="87"/>
        <v/>
      </c>
      <c r="BU436" s="124" t="str">
        <f t="shared" ca="1" si="87"/>
        <v/>
      </c>
    </row>
    <row r="437" spans="1:73" x14ac:dyDescent="0.15">
      <c r="A437">
        <v>17</v>
      </c>
      <c r="B437" s="124" t="str">
        <f t="shared" ca="1" si="49"/>
        <v/>
      </c>
      <c r="C437" s="123" t="str">
        <f ca="1">IF(A437&lt;=①簡易状況入力!$AC$5,INDIRECT("A"&amp;VLOOKUP($A437,①簡易状況入力!$Y$5:$AB$104,4,FALSE)),"")</f>
        <v/>
      </c>
      <c r="D437" s="125" t="str">
        <f t="shared" ca="1" si="50"/>
        <v/>
      </c>
      <c r="E437" s="125" t="str">
        <f t="shared" ca="1" si="51"/>
        <v/>
      </c>
      <c r="F437" s="125" t="str">
        <f t="shared" ca="1" si="52"/>
        <v/>
      </c>
      <c r="G437" s="125" t="str">
        <f t="shared" ca="1" si="53"/>
        <v/>
      </c>
      <c r="H437" s="125" t="str">
        <f t="shared" ca="1" si="54"/>
        <v/>
      </c>
      <c r="I437" s="125" t="str">
        <f t="shared" ca="1" si="55"/>
        <v/>
      </c>
      <c r="J437" s="125" t="str">
        <f t="shared" ca="1" si="56"/>
        <v/>
      </c>
      <c r="K437" s="125" t="str">
        <f t="shared" ca="1" si="57"/>
        <v/>
      </c>
      <c r="L437" s="125" t="str">
        <f t="shared" ca="1" si="58"/>
        <v/>
      </c>
      <c r="M437" s="125" t="str">
        <f t="shared" ca="1" si="59"/>
        <v/>
      </c>
      <c r="N437" s="125" t="str">
        <f t="shared" ca="1" si="60"/>
        <v/>
      </c>
      <c r="O437" s="125" t="str">
        <f t="shared" ca="1" si="61"/>
        <v/>
      </c>
      <c r="P437" s="125" t="str">
        <f t="shared" ca="1" si="62"/>
        <v/>
      </c>
      <c r="Q437" s="125" t="str">
        <f t="shared" ca="1" si="63"/>
        <v/>
      </c>
      <c r="R437" s="125" t="str">
        <f t="shared" ca="1" si="64"/>
        <v/>
      </c>
      <c r="S437" s="125" t="str">
        <f t="shared" ca="1" si="65"/>
        <v/>
      </c>
      <c r="T437" s="125" t="str">
        <f t="shared" ca="1" si="66"/>
        <v/>
      </c>
      <c r="U437" s="125" t="str">
        <f t="shared" ca="1" si="67"/>
        <v/>
      </c>
      <c r="V437" s="125" t="str">
        <f t="shared" ca="1" si="68"/>
        <v/>
      </c>
      <c r="W437" s="125" t="str">
        <f t="shared" ca="1" si="69"/>
        <v/>
      </c>
      <c r="X437" s="125" t="str">
        <f t="shared" ca="1" si="70"/>
        <v/>
      </c>
      <c r="Y437" s="125" t="str">
        <f t="shared" ca="1" si="71"/>
        <v/>
      </c>
      <c r="Z437" s="125" t="str">
        <f t="shared" ca="1" si="72"/>
        <v/>
      </c>
      <c r="AA437" s="125" t="str">
        <f t="shared" ca="1" si="73"/>
        <v/>
      </c>
      <c r="AB437" s="125" t="str">
        <f t="shared" ca="1" si="74"/>
        <v/>
      </c>
      <c r="AC437" s="125" t="str">
        <f t="shared" ca="1" si="75"/>
        <v/>
      </c>
      <c r="AD437" s="125" t="str">
        <f t="shared" ca="1" si="76"/>
        <v/>
      </c>
      <c r="AE437" s="125" t="str">
        <f t="shared" ca="1" si="77"/>
        <v/>
      </c>
      <c r="AF437" s="125" t="str">
        <f t="shared" ca="1" si="78"/>
        <v/>
      </c>
      <c r="AG437" s="125" t="str">
        <f t="shared" ca="1" si="79"/>
        <v/>
      </c>
      <c r="AH437" s="125" t="str">
        <f t="shared" ca="1" si="80"/>
        <v/>
      </c>
      <c r="AI437" s="125" t="str">
        <f t="shared" ca="1" si="81"/>
        <v/>
      </c>
      <c r="AJ437" s="125" t="str">
        <f t="shared" ca="1" si="82"/>
        <v/>
      </c>
      <c r="AK437" s="125" t="str">
        <f t="shared" ca="1" si="83"/>
        <v/>
      </c>
      <c r="AL437" s="125" t="str">
        <f t="shared" ca="1" si="84"/>
        <v/>
      </c>
      <c r="AM437" s="124" t="str">
        <f t="shared" ca="1" si="85"/>
        <v/>
      </c>
      <c r="AN437" s="124" t="str">
        <f t="shared" ca="1" si="85"/>
        <v/>
      </c>
      <c r="AO437" s="124" t="str">
        <f t="shared" ca="1" si="85"/>
        <v/>
      </c>
      <c r="AP437" s="124" t="str">
        <f t="shared" ca="1" si="85"/>
        <v/>
      </c>
      <c r="AQ437" s="124" t="str">
        <f t="shared" ca="1" si="85"/>
        <v/>
      </c>
      <c r="AR437" s="124" t="str">
        <f t="shared" ca="1" si="85"/>
        <v/>
      </c>
      <c r="AS437" s="124" t="str">
        <f t="shared" ca="1" si="85"/>
        <v/>
      </c>
      <c r="AT437" s="124" t="str">
        <f t="shared" ca="1" si="85"/>
        <v/>
      </c>
      <c r="AU437" s="124" t="str">
        <f t="shared" ca="1" si="85"/>
        <v/>
      </c>
      <c r="AV437" s="124" t="str">
        <f t="shared" ca="1" si="85"/>
        <v/>
      </c>
      <c r="AW437" s="124" t="str">
        <f t="shared" ca="1" si="85"/>
        <v/>
      </c>
      <c r="AX437" s="124" t="str">
        <f t="shared" ca="1" si="85"/>
        <v/>
      </c>
      <c r="AY437" s="124" t="str">
        <f t="shared" ca="1" si="85"/>
        <v/>
      </c>
      <c r="AZ437" s="124" t="str">
        <f t="shared" ca="1" si="85"/>
        <v/>
      </c>
      <c r="BA437" s="124" t="str">
        <f t="shared" ca="1" si="85"/>
        <v/>
      </c>
      <c r="BB437" s="124" t="str">
        <f t="shared" ref="BB437:BQ453" ca="1" si="88">IF($C437&lt;&gt;"",SUMIFS(BB$4:BB$413,$A$4:$A$413,$C437,$B$4:$B$413,"合計"),"")</f>
        <v/>
      </c>
      <c r="BC437" s="124" t="str">
        <f t="shared" ca="1" si="86"/>
        <v/>
      </c>
      <c r="BD437" s="124" t="str">
        <f t="shared" ca="1" si="86"/>
        <v/>
      </c>
      <c r="BE437" s="124" t="str">
        <f t="shared" ca="1" si="86"/>
        <v/>
      </c>
      <c r="BF437" s="124" t="str">
        <f t="shared" ca="1" si="86"/>
        <v/>
      </c>
      <c r="BG437" s="124" t="str">
        <f t="shared" ca="1" si="86"/>
        <v/>
      </c>
      <c r="BH437" s="124" t="str">
        <f t="shared" ca="1" si="86"/>
        <v/>
      </c>
      <c r="BI437" s="124" t="str">
        <f t="shared" ca="1" si="86"/>
        <v/>
      </c>
      <c r="BJ437" s="124" t="str">
        <f t="shared" ca="1" si="86"/>
        <v/>
      </c>
      <c r="BK437" s="124" t="str">
        <f t="shared" ca="1" si="86"/>
        <v/>
      </c>
      <c r="BL437" s="124" t="str">
        <f t="shared" ca="1" si="86"/>
        <v/>
      </c>
      <c r="BM437" s="124" t="str">
        <f t="shared" ca="1" si="86"/>
        <v/>
      </c>
      <c r="BN437" s="124" t="str">
        <f t="shared" ca="1" si="86"/>
        <v/>
      </c>
      <c r="BO437" s="124" t="str">
        <f t="shared" ca="1" si="86"/>
        <v/>
      </c>
      <c r="BP437" s="124" t="str">
        <f t="shared" ca="1" si="86"/>
        <v/>
      </c>
      <c r="BQ437" s="124" t="str">
        <f t="shared" ca="1" si="86"/>
        <v/>
      </c>
      <c r="BR437" s="124" t="str">
        <f t="shared" ref="BR437:BU468" ca="1" si="89">IF($C437&lt;&gt;"",SUMIFS(BR$4:BR$413,$A$4:$A$413,$C437,$B$4:$B$413,"合計"),"")</f>
        <v/>
      </c>
      <c r="BS437" s="124" t="str">
        <f t="shared" ca="1" si="87"/>
        <v/>
      </c>
      <c r="BT437" s="124" t="str">
        <f t="shared" ca="1" si="87"/>
        <v/>
      </c>
      <c r="BU437" s="124" t="str">
        <f t="shared" ca="1" si="87"/>
        <v/>
      </c>
    </row>
    <row r="438" spans="1:73" x14ac:dyDescent="0.15">
      <c r="A438">
        <v>18</v>
      </c>
      <c r="B438" s="124" t="str">
        <f t="shared" ca="1" si="49"/>
        <v/>
      </c>
      <c r="C438" s="123" t="str">
        <f ca="1">IF(A438&lt;=①簡易状況入力!$AC$5,INDIRECT("A"&amp;VLOOKUP($A438,①簡易状況入力!$Y$5:$AB$104,4,FALSE)),"")</f>
        <v/>
      </c>
      <c r="D438" s="125" t="str">
        <f t="shared" ca="1" si="50"/>
        <v/>
      </c>
      <c r="E438" s="125" t="str">
        <f t="shared" ca="1" si="51"/>
        <v/>
      </c>
      <c r="F438" s="125" t="str">
        <f t="shared" ca="1" si="52"/>
        <v/>
      </c>
      <c r="G438" s="125" t="str">
        <f t="shared" ca="1" si="53"/>
        <v/>
      </c>
      <c r="H438" s="125" t="str">
        <f t="shared" ca="1" si="54"/>
        <v/>
      </c>
      <c r="I438" s="125" t="str">
        <f t="shared" ca="1" si="55"/>
        <v/>
      </c>
      <c r="J438" s="125" t="str">
        <f t="shared" ca="1" si="56"/>
        <v/>
      </c>
      <c r="K438" s="125" t="str">
        <f t="shared" ca="1" si="57"/>
        <v/>
      </c>
      <c r="L438" s="125" t="str">
        <f t="shared" ca="1" si="58"/>
        <v/>
      </c>
      <c r="M438" s="125" t="str">
        <f t="shared" ca="1" si="59"/>
        <v/>
      </c>
      <c r="N438" s="125" t="str">
        <f t="shared" ca="1" si="60"/>
        <v/>
      </c>
      <c r="O438" s="125" t="str">
        <f t="shared" ca="1" si="61"/>
        <v/>
      </c>
      <c r="P438" s="125" t="str">
        <f t="shared" ca="1" si="62"/>
        <v/>
      </c>
      <c r="Q438" s="125" t="str">
        <f t="shared" ca="1" si="63"/>
        <v/>
      </c>
      <c r="R438" s="125" t="str">
        <f t="shared" ca="1" si="64"/>
        <v/>
      </c>
      <c r="S438" s="125" t="str">
        <f t="shared" ca="1" si="65"/>
        <v/>
      </c>
      <c r="T438" s="125" t="str">
        <f t="shared" ca="1" si="66"/>
        <v/>
      </c>
      <c r="U438" s="125" t="str">
        <f t="shared" ca="1" si="67"/>
        <v/>
      </c>
      <c r="V438" s="125" t="str">
        <f t="shared" ca="1" si="68"/>
        <v/>
      </c>
      <c r="W438" s="125" t="str">
        <f t="shared" ca="1" si="69"/>
        <v/>
      </c>
      <c r="X438" s="125" t="str">
        <f t="shared" ca="1" si="70"/>
        <v/>
      </c>
      <c r="Y438" s="125" t="str">
        <f t="shared" ca="1" si="71"/>
        <v/>
      </c>
      <c r="Z438" s="125" t="str">
        <f t="shared" ca="1" si="72"/>
        <v/>
      </c>
      <c r="AA438" s="125" t="str">
        <f t="shared" ca="1" si="73"/>
        <v/>
      </c>
      <c r="AB438" s="125" t="str">
        <f t="shared" ca="1" si="74"/>
        <v/>
      </c>
      <c r="AC438" s="125" t="str">
        <f t="shared" ca="1" si="75"/>
        <v/>
      </c>
      <c r="AD438" s="125" t="str">
        <f t="shared" ca="1" si="76"/>
        <v/>
      </c>
      <c r="AE438" s="125" t="str">
        <f t="shared" ca="1" si="77"/>
        <v/>
      </c>
      <c r="AF438" s="125" t="str">
        <f t="shared" ca="1" si="78"/>
        <v/>
      </c>
      <c r="AG438" s="125" t="str">
        <f t="shared" ca="1" si="79"/>
        <v/>
      </c>
      <c r="AH438" s="125" t="str">
        <f t="shared" ca="1" si="80"/>
        <v/>
      </c>
      <c r="AI438" s="125" t="str">
        <f t="shared" ca="1" si="81"/>
        <v/>
      </c>
      <c r="AJ438" s="125" t="str">
        <f t="shared" ca="1" si="82"/>
        <v/>
      </c>
      <c r="AK438" s="125" t="str">
        <f t="shared" ca="1" si="83"/>
        <v/>
      </c>
      <c r="AL438" s="125" t="str">
        <f t="shared" ca="1" si="84"/>
        <v/>
      </c>
      <c r="AM438" s="124" t="str">
        <f t="shared" ref="AM438:BA454" ca="1" si="90">IF($C438&lt;&gt;"",SUMIFS(AM$4:AM$413,$A$4:$A$413,$C438,$B$4:$B$413,"合計"),"")</f>
        <v/>
      </c>
      <c r="AN438" s="124" t="str">
        <f t="shared" ca="1" si="90"/>
        <v/>
      </c>
      <c r="AO438" s="124" t="str">
        <f t="shared" ca="1" si="90"/>
        <v/>
      </c>
      <c r="AP438" s="124" t="str">
        <f t="shared" ca="1" si="90"/>
        <v/>
      </c>
      <c r="AQ438" s="124" t="str">
        <f t="shared" ca="1" si="90"/>
        <v/>
      </c>
      <c r="AR438" s="124" t="str">
        <f t="shared" ca="1" si="90"/>
        <v/>
      </c>
      <c r="AS438" s="124" t="str">
        <f t="shared" ca="1" si="90"/>
        <v/>
      </c>
      <c r="AT438" s="124" t="str">
        <f t="shared" ca="1" si="90"/>
        <v/>
      </c>
      <c r="AU438" s="124" t="str">
        <f t="shared" ca="1" si="90"/>
        <v/>
      </c>
      <c r="AV438" s="124" t="str">
        <f t="shared" ca="1" si="90"/>
        <v/>
      </c>
      <c r="AW438" s="124" t="str">
        <f t="shared" ca="1" si="90"/>
        <v/>
      </c>
      <c r="AX438" s="124" t="str">
        <f t="shared" ca="1" si="90"/>
        <v/>
      </c>
      <c r="AY438" s="124" t="str">
        <f t="shared" ca="1" si="90"/>
        <v/>
      </c>
      <c r="AZ438" s="124" t="str">
        <f t="shared" ca="1" si="90"/>
        <v/>
      </c>
      <c r="BA438" s="124" t="str">
        <f t="shared" ca="1" si="90"/>
        <v/>
      </c>
      <c r="BB438" s="124" t="str">
        <f t="shared" ca="1" si="88"/>
        <v/>
      </c>
      <c r="BC438" s="124" t="str">
        <f t="shared" ca="1" si="88"/>
        <v/>
      </c>
      <c r="BD438" s="124" t="str">
        <f t="shared" ca="1" si="88"/>
        <v/>
      </c>
      <c r="BE438" s="124" t="str">
        <f t="shared" ca="1" si="88"/>
        <v/>
      </c>
      <c r="BF438" s="124" t="str">
        <f t="shared" ca="1" si="88"/>
        <v/>
      </c>
      <c r="BG438" s="124" t="str">
        <f t="shared" ca="1" si="88"/>
        <v/>
      </c>
      <c r="BH438" s="124" t="str">
        <f t="shared" ca="1" si="88"/>
        <v/>
      </c>
      <c r="BI438" s="124" t="str">
        <f t="shared" ca="1" si="88"/>
        <v/>
      </c>
      <c r="BJ438" s="124" t="str">
        <f t="shared" ca="1" si="88"/>
        <v/>
      </c>
      <c r="BK438" s="124" t="str">
        <f t="shared" ca="1" si="88"/>
        <v/>
      </c>
      <c r="BL438" s="124" t="str">
        <f t="shared" ca="1" si="88"/>
        <v/>
      </c>
      <c r="BM438" s="124" t="str">
        <f t="shared" ca="1" si="88"/>
        <v/>
      </c>
      <c r="BN438" s="124" t="str">
        <f t="shared" ca="1" si="88"/>
        <v/>
      </c>
      <c r="BO438" s="124" t="str">
        <f t="shared" ca="1" si="88"/>
        <v/>
      </c>
      <c r="BP438" s="124" t="str">
        <f t="shared" ca="1" si="88"/>
        <v/>
      </c>
      <c r="BQ438" s="124" t="str">
        <f t="shared" ca="1" si="88"/>
        <v/>
      </c>
      <c r="BR438" s="124" t="str">
        <f t="shared" ca="1" si="89"/>
        <v/>
      </c>
      <c r="BS438" s="124" t="str">
        <f t="shared" ca="1" si="87"/>
        <v/>
      </c>
      <c r="BT438" s="124" t="str">
        <f t="shared" ca="1" si="87"/>
        <v/>
      </c>
      <c r="BU438" s="124" t="str">
        <f t="shared" ca="1" si="87"/>
        <v/>
      </c>
    </row>
    <row r="439" spans="1:73" x14ac:dyDescent="0.15">
      <c r="A439">
        <v>19</v>
      </c>
      <c r="B439" s="124" t="str">
        <f t="shared" ca="1" si="49"/>
        <v/>
      </c>
      <c r="C439" s="123" t="str">
        <f ca="1">IF(A439&lt;=①簡易状況入力!$AC$5,INDIRECT("A"&amp;VLOOKUP($A439,①簡易状況入力!$Y$5:$AB$104,4,FALSE)),"")</f>
        <v/>
      </c>
      <c r="D439" s="125" t="str">
        <f t="shared" ca="1" si="50"/>
        <v/>
      </c>
      <c r="E439" s="125" t="str">
        <f t="shared" ca="1" si="51"/>
        <v/>
      </c>
      <c r="F439" s="125" t="str">
        <f t="shared" ca="1" si="52"/>
        <v/>
      </c>
      <c r="G439" s="125" t="str">
        <f t="shared" ca="1" si="53"/>
        <v/>
      </c>
      <c r="H439" s="125" t="str">
        <f t="shared" ca="1" si="54"/>
        <v/>
      </c>
      <c r="I439" s="125" t="str">
        <f t="shared" ca="1" si="55"/>
        <v/>
      </c>
      <c r="J439" s="125" t="str">
        <f t="shared" ca="1" si="56"/>
        <v/>
      </c>
      <c r="K439" s="125" t="str">
        <f t="shared" ca="1" si="57"/>
        <v/>
      </c>
      <c r="L439" s="125" t="str">
        <f t="shared" ca="1" si="58"/>
        <v/>
      </c>
      <c r="M439" s="125" t="str">
        <f t="shared" ca="1" si="59"/>
        <v/>
      </c>
      <c r="N439" s="125" t="str">
        <f t="shared" ca="1" si="60"/>
        <v/>
      </c>
      <c r="O439" s="125" t="str">
        <f t="shared" ca="1" si="61"/>
        <v/>
      </c>
      <c r="P439" s="125" t="str">
        <f t="shared" ca="1" si="62"/>
        <v/>
      </c>
      <c r="Q439" s="125" t="str">
        <f t="shared" ca="1" si="63"/>
        <v/>
      </c>
      <c r="R439" s="125" t="str">
        <f t="shared" ca="1" si="64"/>
        <v/>
      </c>
      <c r="S439" s="125" t="str">
        <f t="shared" ca="1" si="65"/>
        <v/>
      </c>
      <c r="T439" s="125" t="str">
        <f t="shared" ca="1" si="66"/>
        <v/>
      </c>
      <c r="U439" s="125" t="str">
        <f t="shared" ca="1" si="67"/>
        <v/>
      </c>
      <c r="V439" s="125" t="str">
        <f t="shared" ca="1" si="68"/>
        <v/>
      </c>
      <c r="W439" s="125" t="str">
        <f t="shared" ca="1" si="69"/>
        <v/>
      </c>
      <c r="X439" s="125" t="str">
        <f t="shared" ca="1" si="70"/>
        <v/>
      </c>
      <c r="Y439" s="125" t="str">
        <f t="shared" ca="1" si="71"/>
        <v/>
      </c>
      <c r="Z439" s="125" t="str">
        <f t="shared" ca="1" si="72"/>
        <v/>
      </c>
      <c r="AA439" s="125" t="str">
        <f t="shared" ca="1" si="73"/>
        <v/>
      </c>
      <c r="AB439" s="125" t="str">
        <f t="shared" ca="1" si="74"/>
        <v/>
      </c>
      <c r="AC439" s="125" t="str">
        <f t="shared" ca="1" si="75"/>
        <v/>
      </c>
      <c r="AD439" s="125" t="str">
        <f t="shared" ca="1" si="76"/>
        <v/>
      </c>
      <c r="AE439" s="125" t="str">
        <f t="shared" ca="1" si="77"/>
        <v/>
      </c>
      <c r="AF439" s="125" t="str">
        <f t="shared" ca="1" si="78"/>
        <v/>
      </c>
      <c r="AG439" s="125" t="str">
        <f t="shared" ca="1" si="79"/>
        <v/>
      </c>
      <c r="AH439" s="125" t="str">
        <f t="shared" ca="1" si="80"/>
        <v/>
      </c>
      <c r="AI439" s="125" t="str">
        <f t="shared" ca="1" si="81"/>
        <v/>
      </c>
      <c r="AJ439" s="125" t="str">
        <f t="shared" ca="1" si="82"/>
        <v/>
      </c>
      <c r="AK439" s="125" t="str">
        <f t="shared" ca="1" si="83"/>
        <v/>
      </c>
      <c r="AL439" s="125" t="str">
        <f t="shared" ca="1" si="84"/>
        <v/>
      </c>
      <c r="AM439" s="124" t="str">
        <f t="shared" ca="1" si="90"/>
        <v/>
      </c>
      <c r="AN439" s="124" t="str">
        <f t="shared" ca="1" si="90"/>
        <v/>
      </c>
      <c r="AO439" s="124" t="str">
        <f t="shared" ca="1" si="90"/>
        <v/>
      </c>
      <c r="AP439" s="124" t="str">
        <f t="shared" ca="1" si="90"/>
        <v/>
      </c>
      <c r="AQ439" s="124" t="str">
        <f t="shared" ca="1" si="90"/>
        <v/>
      </c>
      <c r="AR439" s="124" t="str">
        <f t="shared" ca="1" si="90"/>
        <v/>
      </c>
      <c r="AS439" s="124" t="str">
        <f t="shared" ca="1" si="90"/>
        <v/>
      </c>
      <c r="AT439" s="124" t="str">
        <f t="shared" ca="1" si="90"/>
        <v/>
      </c>
      <c r="AU439" s="124" t="str">
        <f t="shared" ca="1" si="90"/>
        <v/>
      </c>
      <c r="AV439" s="124" t="str">
        <f t="shared" ca="1" si="90"/>
        <v/>
      </c>
      <c r="AW439" s="124" t="str">
        <f t="shared" ca="1" si="90"/>
        <v/>
      </c>
      <c r="AX439" s="124" t="str">
        <f t="shared" ca="1" si="90"/>
        <v/>
      </c>
      <c r="AY439" s="124" t="str">
        <f t="shared" ca="1" si="90"/>
        <v/>
      </c>
      <c r="AZ439" s="124" t="str">
        <f t="shared" ca="1" si="90"/>
        <v/>
      </c>
      <c r="BA439" s="124" t="str">
        <f t="shared" ca="1" si="90"/>
        <v/>
      </c>
      <c r="BB439" s="124" t="str">
        <f t="shared" ca="1" si="88"/>
        <v/>
      </c>
      <c r="BC439" s="124" t="str">
        <f t="shared" ca="1" si="88"/>
        <v/>
      </c>
      <c r="BD439" s="124" t="str">
        <f t="shared" ca="1" si="88"/>
        <v/>
      </c>
      <c r="BE439" s="124" t="str">
        <f t="shared" ca="1" si="88"/>
        <v/>
      </c>
      <c r="BF439" s="124" t="str">
        <f t="shared" ca="1" si="88"/>
        <v/>
      </c>
      <c r="BG439" s="124" t="str">
        <f t="shared" ca="1" si="88"/>
        <v/>
      </c>
      <c r="BH439" s="124" t="str">
        <f t="shared" ca="1" si="88"/>
        <v/>
      </c>
      <c r="BI439" s="124" t="str">
        <f t="shared" ca="1" si="88"/>
        <v/>
      </c>
      <c r="BJ439" s="124" t="str">
        <f t="shared" ca="1" si="88"/>
        <v/>
      </c>
      <c r="BK439" s="124" t="str">
        <f t="shared" ca="1" si="88"/>
        <v/>
      </c>
      <c r="BL439" s="124" t="str">
        <f t="shared" ca="1" si="88"/>
        <v/>
      </c>
      <c r="BM439" s="124" t="str">
        <f t="shared" ca="1" si="88"/>
        <v/>
      </c>
      <c r="BN439" s="124" t="str">
        <f t="shared" ca="1" si="88"/>
        <v/>
      </c>
      <c r="BO439" s="124" t="str">
        <f t="shared" ca="1" si="88"/>
        <v/>
      </c>
      <c r="BP439" s="124" t="str">
        <f t="shared" ca="1" si="88"/>
        <v/>
      </c>
      <c r="BQ439" s="124" t="str">
        <f t="shared" ca="1" si="88"/>
        <v/>
      </c>
      <c r="BR439" s="124" t="str">
        <f t="shared" ca="1" si="89"/>
        <v/>
      </c>
      <c r="BS439" s="124" t="str">
        <f t="shared" ca="1" si="87"/>
        <v/>
      </c>
      <c r="BT439" s="124" t="str">
        <f t="shared" ca="1" si="87"/>
        <v/>
      </c>
      <c r="BU439" s="124" t="str">
        <f t="shared" ca="1" si="87"/>
        <v/>
      </c>
    </row>
    <row r="440" spans="1:73" x14ac:dyDescent="0.15">
      <c r="A440">
        <v>20</v>
      </c>
      <c r="B440" s="124" t="str">
        <f t="shared" ca="1" si="49"/>
        <v/>
      </c>
      <c r="C440" s="123" t="str">
        <f ca="1">IF(A440&lt;=①簡易状況入力!$AC$5,INDIRECT("A"&amp;VLOOKUP($A440,①簡易状況入力!$Y$5:$AB$104,4,FALSE)),"")</f>
        <v/>
      </c>
      <c r="D440" s="125" t="str">
        <f t="shared" ca="1" si="50"/>
        <v/>
      </c>
      <c r="E440" s="125" t="str">
        <f t="shared" ca="1" si="51"/>
        <v/>
      </c>
      <c r="F440" s="125" t="str">
        <f t="shared" ca="1" si="52"/>
        <v/>
      </c>
      <c r="G440" s="125" t="str">
        <f t="shared" ca="1" si="53"/>
        <v/>
      </c>
      <c r="H440" s="125" t="str">
        <f t="shared" ca="1" si="54"/>
        <v/>
      </c>
      <c r="I440" s="125" t="str">
        <f t="shared" ca="1" si="55"/>
        <v/>
      </c>
      <c r="J440" s="125" t="str">
        <f t="shared" ca="1" si="56"/>
        <v/>
      </c>
      <c r="K440" s="125" t="str">
        <f t="shared" ca="1" si="57"/>
        <v/>
      </c>
      <c r="L440" s="125" t="str">
        <f t="shared" ca="1" si="58"/>
        <v/>
      </c>
      <c r="M440" s="125" t="str">
        <f t="shared" ca="1" si="59"/>
        <v/>
      </c>
      <c r="N440" s="125" t="str">
        <f t="shared" ca="1" si="60"/>
        <v/>
      </c>
      <c r="O440" s="125" t="str">
        <f t="shared" ca="1" si="61"/>
        <v/>
      </c>
      <c r="P440" s="125" t="str">
        <f t="shared" ca="1" si="62"/>
        <v/>
      </c>
      <c r="Q440" s="125" t="str">
        <f t="shared" ca="1" si="63"/>
        <v/>
      </c>
      <c r="R440" s="125" t="str">
        <f t="shared" ca="1" si="64"/>
        <v/>
      </c>
      <c r="S440" s="125" t="str">
        <f t="shared" ca="1" si="65"/>
        <v/>
      </c>
      <c r="T440" s="125" t="str">
        <f t="shared" ca="1" si="66"/>
        <v/>
      </c>
      <c r="U440" s="125" t="str">
        <f t="shared" ca="1" si="67"/>
        <v/>
      </c>
      <c r="V440" s="125" t="str">
        <f t="shared" ca="1" si="68"/>
        <v/>
      </c>
      <c r="W440" s="125" t="str">
        <f t="shared" ca="1" si="69"/>
        <v/>
      </c>
      <c r="X440" s="125" t="str">
        <f t="shared" ca="1" si="70"/>
        <v/>
      </c>
      <c r="Y440" s="125" t="str">
        <f t="shared" ca="1" si="71"/>
        <v/>
      </c>
      <c r="Z440" s="125" t="str">
        <f t="shared" ca="1" si="72"/>
        <v/>
      </c>
      <c r="AA440" s="125" t="str">
        <f t="shared" ca="1" si="73"/>
        <v/>
      </c>
      <c r="AB440" s="125" t="str">
        <f t="shared" ca="1" si="74"/>
        <v/>
      </c>
      <c r="AC440" s="125" t="str">
        <f t="shared" ca="1" si="75"/>
        <v/>
      </c>
      <c r="AD440" s="125" t="str">
        <f t="shared" ca="1" si="76"/>
        <v/>
      </c>
      <c r="AE440" s="125" t="str">
        <f t="shared" ca="1" si="77"/>
        <v/>
      </c>
      <c r="AF440" s="125" t="str">
        <f t="shared" ca="1" si="78"/>
        <v/>
      </c>
      <c r="AG440" s="125" t="str">
        <f t="shared" ca="1" si="79"/>
        <v/>
      </c>
      <c r="AH440" s="125" t="str">
        <f t="shared" ca="1" si="80"/>
        <v/>
      </c>
      <c r="AI440" s="125" t="str">
        <f t="shared" ca="1" si="81"/>
        <v/>
      </c>
      <c r="AJ440" s="125" t="str">
        <f t="shared" ca="1" si="82"/>
        <v/>
      </c>
      <c r="AK440" s="125" t="str">
        <f t="shared" ca="1" si="83"/>
        <v/>
      </c>
      <c r="AL440" s="125" t="str">
        <f t="shared" ca="1" si="84"/>
        <v/>
      </c>
      <c r="AM440" s="124" t="str">
        <f t="shared" ca="1" si="90"/>
        <v/>
      </c>
      <c r="AN440" s="124" t="str">
        <f t="shared" ca="1" si="90"/>
        <v/>
      </c>
      <c r="AO440" s="124" t="str">
        <f t="shared" ca="1" si="90"/>
        <v/>
      </c>
      <c r="AP440" s="124" t="str">
        <f t="shared" ca="1" si="90"/>
        <v/>
      </c>
      <c r="AQ440" s="124" t="str">
        <f t="shared" ca="1" si="90"/>
        <v/>
      </c>
      <c r="AR440" s="124" t="str">
        <f t="shared" ca="1" si="90"/>
        <v/>
      </c>
      <c r="AS440" s="124" t="str">
        <f t="shared" ca="1" si="90"/>
        <v/>
      </c>
      <c r="AT440" s="124" t="str">
        <f t="shared" ca="1" si="90"/>
        <v/>
      </c>
      <c r="AU440" s="124" t="str">
        <f t="shared" ca="1" si="90"/>
        <v/>
      </c>
      <c r="AV440" s="124" t="str">
        <f t="shared" ca="1" si="90"/>
        <v/>
      </c>
      <c r="AW440" s="124" t="str">
        <f t="shared" ca="1" si="90"/>
        <v/>
      </c>
      <c r="AX440" s="124" t="str">
        <f t="shared" ca="1" si="90"/>
        <v/>
      </c>
      <c r="AY440" s="124" t="str">
        <f t="shared" ca="1" si="90"/>
        <v/>
      </c>
      <c r="AZ440" s="124" t="str">
        <f t="shared" ca="1" si="90"/>
        <v/>
      </c>
      <c r="BA440" s="124" t="str">
        <f t="shared" ca="1" si="90"/>
        <v/>
      </c>
      <c r="BB440" s="124" t="str">
        <f t="shared" ca="1" si="88"/>
        <v/>
      </c>
      <c r="BC440" s="124" t="str">
        <f t="shared" ca="1" si="88"/>
        <v/>
      </c>
      <c r="BD440" s="124" t="str">
        <f t="shared" ca="1" si="88"/>
        <v/>
      </c>
      <c r="BE440" s="124" t="str">
        <f t="shared" ca="1" si="88"/>
        <v/>
      </c>
      <c r="BF440" s="124" t="str">
        <f t="shared" ca="1" si="88"/>
        <v/>
      </c>
      <c r="BG440" s="124" t="str">
        <f t="shared" ca="1" si="88"/>
        <v/>
      </c>
      <c r="BH440" s="124" t="str">
        <f t="shared" ca="1" si="88"/>
        <v/>
      </c>
      <c r="BI440" s="124" t="str">
        <f t="shared" ca="1" si="88"/>
        <v/>
      </c>
      <c r="BJ440" s="124" t="str">
        <f t="shared" ca="1" si="88"/>
        <v/>
      </c>
      <c r="BK440" s="124" t="str">
        <f t="shared" ca="1" si="88"/>
        <v/>
      </c>
      <c r="BL440" s="124" t="str">
        <f t="shared" ca="1" si="88"/>
        <v/>
      </c>
      <c r="BM440" s="124" t="str">
        <f t="shared" ca="1" si="88"/>
        <v/>
      </c>
      <c r="BN440" s="124" t="str">
        <f t="shared" ca="1" si="88"/>
        <v/>
      </c>
      <c r="BO440" s="124" t="str">
        <f t="shared" ca="1" si="88"/>
        <v/>
      </c>
      <c r="BP440" s="124" t="str">
        <f t="shared" ca="1" si="88"/>
        <v/>
      </c>
      <c r="BQ440" s="124" t="str">
        <f t="shared" ca="1" si="88"/>
        <v/>
      </c>
      <c r="BR440" s="124" t="str">
        <f t="shared" ca="1" si="89"/>
        <v/>
      </c>
      <c r="BS440" s="124" t="str">
        <f t="shared" ca="1" si="87"/>
        <v/>
      </c>
      <c r="BT440" s="124" t="str">
        <f t="shared" ca="1" si="87"/>
        <v/>
      </c>
      <c r="BU440" s="124" t="str">
        <f t="shared" ca="1" si="87"/>
        <v/>
      </c>
    </row>
    <row r="441" spans="1:73" x14ac:dyDescent="0.15">
      <c r="A441">
        <v>21</v>
      </c>
      <c r="B441" s="124" t="str">
        <f t="shared" ca="1" si="49"/>
        <v/>
      </c>
      <c r="C441" s="123" t="str">
        <f ca="1">IF(A441&lt;=①簡易状況入力!$AC$5,INDIRECT("A"&amp;VLOOKUP($A441,①簡易状況入力!$Y$5:$AB$104,4,FALSE)),"")</f>
        <v/>
      </c>
      <c r="D441" s="125" t="str">
        <f t="shared" ca="1" si="50"/>
        <v/>
      </c>
      <c r="E441" s="125" t="str">
        <f t="shared" ca="1" si="51"/>
        <v/>
      </c>
      <c r="F441" s="125" t="str">
        <f t="shared" ca="1" si="52"/>
        <v/>
      </c>
      <c r="G441" s="125" t="str">
        <f t="shared" ca="1" si="53"/>
        <v/>
      </c>
      <c r="H441" s="125" t="str">
        <f t="shared" ca="1" si="54"/>
        <v/>
      </c>
      <c r="I441" s="125" t="str">
        <f t="shared" ca="1" si="55"/>
        <v/>
      </c>
      <c r="J441" s="125" t="str">
        <f t="shared" ca="1" si="56"/>
        <v/>
      </c>
      <c r="K441" s="125" t="str">
        <f t="shared" ca="1" si="57"/>
        <v/>
      </c>
      <c r="L441" s="125" t="str">
        <f t="shared" ca="1" si="58"/>
        <v/>
      </c>
      <c r="M441" s="125" t="str">
        <f t="shared" ca="1" si="59"/>
        <v/>
      </c>
      <c r="N441" s="125" t="str">
        <f t="shared" ca="1" si="60"/>
        <v/>
      </c>
      <c r="O441" s="125" t="str">
        <f t="shared" ca="1" si="61"/>
        <v/>
      </c>
      <c r="P441" s="125" t="str">
        <f t="shared" ca="1" si="62"/>
        <v/>
      </c>
      <c r="Q441" s="125" t="str">
        <f t="shared" ca="1" si="63"/>
        <v/>
      </c>
      <c r="R441" s="125" t="str">
        <f t="shared" ca="1" si="64"/>
        <v/>
      </c>
      <c r="S441" s="125" t="str">
        <f t="shared" ca="1" si="65"/>
        <v/>
      </c>
      <c r="T441" s="125" t="str">
        <f t="shared" ca="1" si="66"/>
        <v/>
      </c>
      <c r="U441" s="125" t="str">
        <f t="shared" ca="1" si="67"/>
        <v/>
      </c>
      <c r="V441" s="125" t="str">
        <f t="shared" ca="1" si="68"/>
        <v/>
      </c>
      <c r="W441" s="125" t="str">
        <f t="shared" ca="1" si="69"/>
        <v/>
      </c>
      <c r="X441" s="125" t="str">
        <f t="shared" ca="1" si="70"/>
        <v/>
      </c>
      <c r="Y441" s="125" t="str">
        <f t="shared" ca="1" si="71"/>
        <v/>
      </c>
      <c r="Z441" s="125" t="str">
        <f t="shared" ca="1" si="72"/>
        <v/>
      </c>
      <c r="AA441" s="125" t="str">
        <f t="shared" ca="1" si="73"/>
        <v/>
      </c>
      <c r="AB441" s="125" t="str">
        <f t="shared" ca="1" si="74"/>
        <v/>
      </c>
      <c r="AC441" s="125" t="str">
        <f t="shared" ca="1" si="75"/>
        <v/>
      </c>
      <c r="AD441" s="125" t="str">
        <f t="shared" ca="1" si="76"/>
        <v/>
      </c>
      <c r="AE441" s="125" t="str">
        <f t="shared" ca="1" si="77"/>
        <v/>
      </c>
      <c r="AF441" s="125" t="str">
        <f t="shared" ca="1" si="78"/>
        <v/>
      </c>
      <c r="AG441" s="125" t="str">
        <f t="shared" ca="1" si="79"/>
        <v/>
      </c>
      <c r="AH441" s="125" t="str">
        <f t="shared" ca="1" si="80"/>
        <v/>
      </c>
      <c r="AI441" s="125" t="str">
        <f t="shared" ca="1" si="81"/>
        <v/>
      </c>
      <c r="AJ441" s="125" t="str">
        <f t="shared" ca="1" si="82"/>
        <v/>
      </c>
      <c r="AK441" s="125" t="str">
        <f t="shared" ca="1" si="83"/>
        <v/>
      </c>
      <c r="AL441" s="125" t="str">
        <f t="shared" ca="1" si="84"/>
        <v/>
      </c>
      <c r="AM441" s="124" t="str">
        <f t="shared" ca="1" si="90"/>
        <v/>
      </c>
      <c r="AN441" s="124" t="str">
        <f t="shared" ca="1" si="90"/>
        <v/>
      </c>
      <c r="AO441" s="124" t="str">
        <f t="shared" ca="1" si="90"/>
        <v/>
      </c>
      <c r="AP441" s="124" t="str">
        <f t="shared" ca="1" si="90"/>
        <v/>
      </c>
      <c r="AQ441" s="124" t="str">
        <f t="shared" ca="1" si="90"/>
        <v/>
      </c>
      <c r="AR441" s="124" t="str">
        <f t="shared" ca="1" si="90"/>
        <v/>
      </c>
      <c r="AS441" s="124" t="str">
        <f t="shared" ca="1" si="90"/>
        <v/>
      </c>
      <c r="AT441" s="124" t="str">
        <f t="shared" ca="1" si="90"/>
        <v/>
      </c>
      <c r="AU441" s="124" t="str">
        <f t="shared" ca="1" si="90"/>
        <v/>
      </c>
      <c r="AV441" s="124" t="str">
        <f t="shared" ca="1" si="90"/>
        <v/>
      </c>
      <c r="AW441" s="124" t="str">
        <f t="shared" ca="1" si="90"/>
        <v/>
      </c>
      <c r="AX441" s="124" t="str">
        <f t="shared" ca="1" si="90"/>
        <v/>
      </c>
      <c r="AY441" s="124" t="str">
        <f t="shared" ca="1" si="90"/>
        <v/>
      </c>
      <c r="AZ441" s="124" t="str">
        <f t="shared" ca="1" si="90"/>
        <v/>
      </c>
      <c r="BA441" s="124" t="str">
        <f t="shared" ca="1" si="90"/>
        <v/>
      </c>
      <c r="BB441" s="124" t="str">
        <f t="shared" ca="1" si="88"/>
        <v/>
      </c>
      <c r="BC441" s="124" t="str">
        <f t="shared" ca="1" si="88"/>
        <v/>
      </c>
      <c r="BD441" s="124" t="str">
        <f t="shared" ca="1" si="88"/>
        <v/>
      </c>
      <c r="BE441" s="124" t="str">
        <f t="shared" ca="1" si="88"/>
        <v/>
      </c>
      <c r="BF441" s="124" t="str">
        <f t="shared" ca="1" si="88"/>
        <v/>
      </c>
      <c r="BG441" s="124" t="str">
        <f t="shared" ca="1" si="88"/>
        <v/>
      </c>
      <c r="BH441" s="124" t="str">
        <f t="shared" ca="1" si="88"/>
        <v/>
      </c>
      <c r="BI441" s="124" t="str">
        <f t="shared" ca="1" si="88"/>
        <v/>
      </c>
      <c r="BJ441" s="124" t="str">
        <f t="shared" ca="1" si="88"/>
        <v/>
      </c>
      <c r="BK441" s="124" t="str">
        <f t="shared" ca="1" si="88"/>
        <v/>
      </c>
      <c r="BL441" s="124" t="str">
        <f t="shared" ca="1" si="88"/>
        <v/>
      </c>
      <c r="BM441" s="124" t="str">
        <f t="shared" ca="1" si="88"/>
        <v/>
      </c>
      <c r="BN441" s="124" t="str">
        <f t="shared" ca="1" si="88"/>
        <v/>
      </c>
      <c r="BO441" s="124" t="str">
        <f t="shared" ca="1" si="88"/>
        <v/>
      </c>
      <c r="BP441" s="124" t="str">
        <f t="shared" ca="1" si="88"/>
        <v/>
      </c>
      <c r="BQ441" s="124" t="str">
        <f t="shared" ca="1" si="88"/>
        <v/>
      </c>
      <c r="BR441" s="124" t="str">
        <f t="shared" ca="1" si="89"/>
        <v/>
      </c>
      <c r="BS441" s="124" t="str">
        <f t="shared" ca="1" si="87"/>
        <v/>
      </c>
      <c r="BT441" s="124" t="str">
        <f t="shared" ca="1" si="87"/>
        <v/>
      </c>
      <c r="BU441" s="124" t="str">
        <f t="shared" ca="1" si="87"/>
        <v/>
      </c>
    </row>
    <row r="442" spans="1:73" x14ac:dyDescent="0.15">
      <c r="A442">
        <v>22</v>
      </c>
      <c r="B442" s="124" t="str">
        <f t="shared" ca="1" si="49"/>
        <v/>
      </c>
      <c r="C442" s="123" t="str">
        <f ca="1">IF(A442&lt;=①簡易状況入力!$AC$5,INDIRECT("A"&amp;VLOOKUP($A442,①簡易状況入力!$Y$5:$AB$104,4,FALSE)),"")</f>
        <v/>
      </c>
      <c r="D442" s="125" t="str">
        <f t="shared" ca="1" si="50"/>
        <v/>
      </c>
      <c r="E442" s="125" t="str">
        <f t="shared" ca="1" si="51"/>
        <v/>
      </c>
      <c r="F442" s="125" t="str">
        <f t="shared" ca="1" si="52"/>
        <v/>
      </c>
      <c r="G442" s="125" t="str">
        <f t="shared" ca="1" si="53"/>
        <v/>
      </c>
      <c r="H442" s="125" t="str">
        <f t="shared" ca="1" si="54"/>
        <v/>
      </c>
      <c r="I442" s="125" t="str">
        <f t="shared" ca="1" si="55"/>
        <v/>
      </c>
      <c r="J442" s="125" t="str">
        <f t="shared" ca="1" si="56"/>
        <v/>
      </c>
      <c r="K442" s="125" t="str">
        <f t="shared" ca="1" si="57"/>
        <v/>
      </c>
      <c r="L442" s="125" t="str">
        <f t="shared" ca="1" si="58"/>
        <v/>
      </c>
      <c r="M442" s="125" t="str">
        <f t="shared" ca="1" si="59"/>
        <v/>
      </c>
      <c r="N442" s="125" t="str">
        <f t="shared" ca="1" si="60"/>
        <v/>
      </c>
      <c r="O442" s="125" t="str">
        <f t="shared" ca="1" si="61"/>
        <v/>
      </c>
      <c r="P442" s="125" t="str">
        <f t="shared" ca="1" si="62"/>
        <v/>
      </c>
      <c r="Q442" s="125" t="str">
        <f t="shared" ca="1" si="63"/>
        <v/>
      </c>
      <c r="R442" s="125" t="str">
        <f t="shared" ca="1" si="64"/>
        <v/>
      </c>
      <c r="S442" s="125" t="str">
        <f t="shared" ca="1" si="65"/>
        <v/>
      </c>
      <c r="T442" s="125" t="str">
        <f t="shared" ca="1" si="66"/>
        <v/>
      </c>
      <c r="U442" s="125" t="str">
        <f t="shared" ca="1" si="67"/>
        <v/>
      </c>
      <c r="V442" s="125" t="str">
        <f t="shared" ca="1" si="68"/>
        <v/>
      </c>
      <c r="W442" s="125" t="str">
        <f t="shared" ca="1" si="69"/>
        <v/>
      </c>
      <c r="X442" s="125" t="str">
        <f t="shared" ca="1" si="70"/>
        <v/>
      </c>
      <c r="Y442" s="125" t="str">
        <f t="shared" ca="1" si="71"/>
        <v/>
      </c>
      <c r="Z442" s="125" t="str">
        <f t="shared" ca="1" si="72"/>
        <v/>
      </c>
      <c r="AA442" s="125" t="str">
        <f t="shared" ca="1" si="73"/>
        <v/>
      </c>
      <c r="AB442" s="125" t="str">
        <f t="shared" ca="1" si="74"/>
        <v/>
      </c>
      <c r="AC442" s="125" t="str">
        <f t="shared" ca="1" si="75"/>
        <v/>
      </c>
      <c r="AD442" s="125" t="str">
        <f t="shared" ca="1" si="76"/>
        <v/>
      </c>
      <c r="AE442" s="125" t="str">
        <f t="shared" ca="1" si="77"/>
        <v/>
      </c>
      <c r="AF442" s="125" t="str">
        <f t="shared" ca="1" si="78"/>
        <v/>
      </c>
      <c r="AG442" s="125" t="str">
        <f t="shared" ca="1" si="79"/>
        <v/>
      </c>
      <c r="AH442" s="125" t="str">
        <f t="shared" ca="1" si="80"/>
        <v/>
      </c>
      <c r="AI442" s="125" t="str">
        <f t="shared" ca="1" si="81"/>
        <v/>
      </c>
      <c r="AJ442" s="125" t="str">
        <f t="shared" ca="1" si="82"/>
        <v/>
      </c>
      <c r="AK442" s="125" t="str">
        <f t="shared" ca="1" si="83"/>
        <v/>
      </c>
      <c r="AL442" s="125" t="str">
        <f t="shared" ca="1" si="84"/>
        <v/>
      </c>
      <c r="AM442" s="124" t="str">
        <f t="shared" ca="1" si="90"/>
        <v/>
      </c>
      <c r="AN442" s="124" t="str">
        <f t="shared" ca="1" si="90"/>
        <v/>
      </c>
      <c r="AO442" s="124" t="str">
        <f t="shared" ca="1" si="90"/>
        <v/>
      </c>
      <c r="AP442" s="124" t="str">
        <f t="shared" ca="1" si="90"/>
        <v/>
      </c>
      <c r="AQ442" s="124" t="str">
        <f t="shared" ca="1" si="90"/>
        <v/>
      </c>
      <c r="AR442" s="124" t="str">
        <f t="shared" ca="1" si="90"/>
        <v/>
      </c>
      <c r="AS442" s="124" t="str">
        <f t="shared" ca="1" si="90"/>
        <v/>
      </c>
      <c r="AT442" s="124" t="str">
        <f t="shared" ca="1" si="90"/>
        <v/>
      </c>
      <c r="AU442" s="124" t="str">
        <f t="shared" ca="1" si="90"/>
        <v/>
      </c>
      <c r="AV442" s="124" t="str">
        <f t="shared" ca="1" si="90"/>
        <v/>
      </c>
      <c r="AW442" s="124" t="str">
        <f t="shared" ca="1" si="90"/>
        <v/>
      </c>
      <c r="AX442" s="124" t="str">
        <f t="shared" ca="1" si="90"/>
        <v/>
      </c>
      <c r="AY442" s="124" t="str">
        <f t="shared" ca="1" si="90"/>
        <v/>
      </c>
      <c r="AZ442" s="124" t="str">
        <f t="shared" ca="1" si="90"/>
        <v/>
      </c>
      <c r="BA442" s="124" t="str">
        <f t="shared" ca="1" si="90"/>
        <v/>
      </c>
      <c r="BB442" s="124" t="str">
        <f t="shared" ca="1" si="88"/>
        <v/>
      </c>
      <c r="BC442" s="124" t="str">
        <f t="shared" ca="1" si="88"/>
        <v/>
      </c>
      <c r="BD442" s="124" t="str">
        <f t="shared" ca="1" si="88"/>
        <v/>
      </c>
      <c r="BE442" s="124" t="str">
        <f t="shared" ca="1" si="88"/>
        <v/>
      </c>
      <c r="BF442" s="124" t="str">
        <f t="shared" ca="1" si="88"/>
        <v/>
      </c>
      <c r="BG442" s="124" t="str">
        <f t="shared" ca="1" si="88"/>
        <v/>
      </c>
      <c r="BH442" s="124" t="str">
        <f t="shared" ca="1" si="88"/>
        <v/>
      </c>
      <c r="BI442" s="124" t="str">
        <f t="shared" ca="1" si="88"/>
        <v/>
      </c>
      <c r="BJ442" s="124" t="str">
        <f t="shared" ca="1" si="88"/>
        <v/>
      </c>
      <c r="BK442" s="124" t="str">
        <f t="shared" ca="1" si="88"/>
        <v/>
      </c>
      <c r="BL442" s="124" t="str">
        <f t="shared" ca="1" si="88"/>
        <v/>
      </c>
      <c r="BM442" s="124" t="str">
        <f t="shared" ca="1" si="88"/>
        <v/>
      </c>
      <c r="BN442" s="124" t="str">
        <f t="shared" ca="1" si="88"/>
        <v/>
      </c>
      <c r="BO442" s="124" t="str">
        <f t="shared" ca="1" si="88"/>
        <v/>
      </c>
      <c r="BP442" s="124" t="str">
        <f t="shared" ca="1" si="88"/>
        <v/>
      </c>
      <c r="BQ442" s="124" t="str">
        <f t="shared" ca="1" si="88"/>
        <v/>
      </c>
      <c r="BR442" s="124" t="str">
        <f t="shared" ca="1" si="89"/>
        <v/>
      </c>
      <c r="BS442" s="124" t="str">
        <f t="shared" ca="1" si="87"/>
        <v/>
      </c>
      <c r="BT442" s="124" t="str">
        <f t="shared" ca="1" si="87"/>
        <v/>
      </c>
      <c r="BU442" s="124" t="str">
        <f t="shared" ca="1" si="87"/>
        <v/>
      </c>
    </row>
    <row r="443" spans="1:73" x14ac:dyDescent="0.15">
      <c r="A443">
        <v>23</v>
      </c>
      <c r="B443" s="124" t="str">
        <f t="shared" ca="1" si="49"/>
        <v/>
      </c>
      <c r="C443" s="123" t="str">
        <f ca="1">IF(A443&lt;=①簡易状況入力!$AC$5,INDIRECT("A"&amp;VLOOKUP($A443,①簡易状況入力!$Y$5:$AB$104,4,FALSE)),"")</f>
        <v/>
      </c>
      <c r="D443" s="125" t="str">
        <f t="shared" ca="1" si="50"/>
        <v/>
      </c>
      <c r="E443" s="125" t="str">
        <f t="shared" ca="1" si="51"/>
        <v/>
      </c>
      <c r="F443" s="125" t="str">
        <f t="shared" ca="1" si="52"/>
        <v/>
      </c>
      <c r="G443" s="125" t="str">
        <f t="shared" ca="1" si="53"/>
        <v/>
      </c>
      <c r="H443" s="125" t="str">
        <f t="shared" ca="1" si="54"/>
        <v/>
      </c>
      <c r="I443" s="125" t="str">
        <f t="shared" ca="1" si="55"/>
        <v/>
      </c>
      <c r="J443" s="125" t="str">
        <f t="shared" ca="1" si="56"/>
        <v/>
      </c>
      <c r="K443" s="125" t="str">
        <f t="shared" ca="1" si="57"/>
        <v/>
      </c>
      <c r="L443" s="125" t="str">
        <f t="shared" ca="1" si="58"/>
        <v/>
      </c>
      <c r="M443" s="125" t="str">
        <f t="shared" ca="1" si="59"/>
        <v/>
      </c>
      <c r="N443" s="125" t="str">
        <f t="shared" ca="1" si="60"/>
        <v/>
      </c>
      <c r="O443" s="125" t="str">
        <f t="shared" ca="1" si="61"/>
        <v/>
      </c>
      <c r="P443" s="125" t="str">
        <f t="shared" ca="1" si="62"/>
        <v/>
      </c>
      <c r="Q443" s="125" t="str">
        <f t="shared" ca="1" si="63"/>
        <v/>
      </c>
      <c r="R443" s="125" t="str">
        <f t="shared" ca="1" si="64"/>
        <v/>
      </c>
      <c r="S443" s="125" t="str">
        <f t="shared" ca="1" si="65"/>
        <v/>
      </c>
      <c r="T443" s="125" t="str">
        <f t="shared" ca="1" si="66"/>
        <v/>
      </c>
      <c r="U443" s="125" t="str">
        <f t="shared" ca="1" si="67"/>
        <v/>
      </c>
      <c r="V443" s="125" t="str">
        <f t="shared" ca="1" si="68"/>
        <v/>
      </c>
      <c r="W443" s="125" t="str">
        <f t="shared" ca="1" si="69"/>
        <v/>
      </c>
      <c r="X443" s="125" t="str">
        <f t="shared" ca="1" si="70"/>
        <v/>
      </c>
      <c r="Y443" s="125" t="str">
        <f t="shared" ca="1" si="71"/>
        <v/>
      </c>
      <c r="Z443" s="125" t="str">
        <f t="shared" ca="1" si="72"/>
        <v/>
      </c>
      <c r="AA443" s="125" t="str">
        <f t="shared" ca="1" si="73"/>
        <v/>
      </c>
      <c r="AB443" s="125" t="str">
        <f t="shared" ca="1" si="74"/>
        <v/>
      </c>
      <c r="AC443" s="125" t="str">
        <f t="shared" ca="1" si="75"/>
        <v/>
      </c>
      <c r="AD443" s="125" t="str">
        <f t="shared" ca="1" si="76"/>
        <v/>
      </c>
      <c r="AE443" s="125" t="str">
        <f t="shared" ca="1" si="77"/>
        <v/>
      </c>
      <c r="AF443" s="125" t="str">
        <f t="shared" ca="1" si="78"/>
        <v/>
      </c>
      <c r="AG443" s="125" t="str">
        <f t="shared" ca="1" si="79"/>
        <v/>
      </c>
      <c r="AH443" s="125" t="str">
        <f t="shared" ca="1" si="80"/>
        <v/>
      </c>
      <c r="AI443" s="125" t="str">
        <f t="shared" ca="1" si="81"/>
        <v/>
      </c>
      <c r="AJ443" s="125" t="str">
        <f t="shared" ca="1" si="82"/>
        <v/>
      </c>
      <c r="AK443" s="125" t="str">
        <f t="shared" ca="1" si="83"/>
        <v/>
      </c>
      <c r="AL443" s="125" t="str">
        <f t="shared" ca="1" si="84"/>
        <v/>
      </c>
      <c r="AM443" s="124" t="str">
        <f t="shared" ca="1" si="90"/>
        <v/>
      </c>
      <c r="AN443" s="124" t="str">
        <f t="shared" ca="1" si="90"/>
        <v/>
      </c>
      <c r="AO443" s="124" t="str">
        <f t="shared" ca="1" si="90"/>
        <v/>
      </c>
      <c r="AP443" s="124" t="str">
        <f t="shared" ca="1" si="90"/>
        <v/>
      </c>
      <c r="AQ443" s="124" t="str">
        <f t="shared" ca="1" si="90"/>
        <v/>
      </c>
      <c r="AR443" s="124" t="str">
        <f t="shared" ca="1" si="90"/>
        <v/>
      </c>
      <c r="AS443" s="124" t="str">
        <f t="shared" ca="1" si="90"/>
        <v/>
      </c>
      <c r="AT443" s="124" t="str">
        <f t="shared" ca="1" si="90"/>
        <v/>
      </c>
      <c r="AU443" s="124" t="str">
        <f t="shared" ca="1" si="90"/>
        <v/>
      </c>
      <c r="AV443" s="124" t="str">
        <f t="shared" ca="1" si="90"/>
        <v/>
      </c>
      <c r="AW443" s="124" t="str">
        <f t="shared" ca="1" si="90"/>
        <v/>
      </c>
      <c r="AX443" s="124" t="str">
        <f t="shared" ca="1" si="90"/>
        <v/>
      </c>
      <c r="AY443" s="124" t="str">
        <f t="shared" ca="1" si="90"/>
        <v/>
      </c>
      <c r="AZ443" s="124" t="str">
        <f t="shared" ca="1" si="90"/>
        <v/>
      </c>
      <c r="BA443" s="124" t="str">
        <f t="shared" ca="1" si="90"/>
        <v/>
      </c>
      <c r="BB443" s="124" t="str">
        <f t="shared" ca="1" si="88"/>
        <v/>
      </c>
      <c r="BC443" s="124" t="str">
        <f t="shared" ca="1" si="88"/>
        <v/>
      </c>
      <c r="BD443" s="124" t="str">
        <f t="shared" ca="1" si="88"/>
        <v/>
      </c>
      <c r="BE443" s="124" t="str">
        <f t="shared" ca="1" si="88"/>
        <v/>
      </c>
      <c r="BF443" s="124" t="str">
        <f t="shared" ca="1" si="88"/>
        <v/>
      </c>
      <c r="BG443" s="124" t="str">
        <f t="shared" ca="1" si="88"/>
        <v/>
      </c>
      <c r="BH443" s="124" t="str">
        <f t="shared" ca="1" si="88"/>
        <v/>
      </c>
      <c r="BI443" s="124" t="str">
        <f t="shared" ca="1" si="88"/>
        <v/>
      </c>
      <c r="BJ443" s="124" t="str">
        <f t="shared" ca="1" si="88"/>
        <v/>
      </c>
      <c r="BK443" s="124" t="str">
        <f t="shared" ca="1" si="88"/>
        <v/>
      </c>
      <c r="BL443" s="124" t="str">
        <f t="shared" ca="1" si="88"/>
        <v/>
      </c>
      <c r="BM443" s="124" t="str">
        <f t="shared" ca="1" si="88"/>
        <v/>
      </c>
      <c r="BN443" s="124" t="str">
        <f t="shared" ca="1" si="88"/>
        <v/>
      </c>
      <c r="BO443" s="124" t="str">
        <f t="shared" ca="1" si="88"/>
        <v/>
      </c>
      <c r="BP443" s="124" t="str">
        <f t="shared" ca="1" si="88"/>
        <v/>
      </c>
      <c r="BQ443" s="124" t="str">
        <f t="shared" ca="1" si="88"/>
        <v/>
      </c>
      <c r="BR443" s="124" t="str">
        <f t="shared" ca="1" si="89"/>
        <v/>
      </c>
      <c r="BS443" s="124" t="str">
        <f t="shared" ca="1" si="87"/>
        <v/>
      </c>
      <c r="BT443" s="124" t="str">
        <f t="shared" ca="1" si="87"/>
        <v/>
      </c>
      <c r="BU443" s="124" t="str">
        <f t="shared" ca="1" si="87"/>
        <v/>
      </c>
    </row>
    <row r="444" spans="1:73" x14ac:dyDescent="0.15">
      <c r="A444">
        <v>24</v>
      </c>
      <c r="B444" s="124" t="str">
        <f t="shared" ca="1" si="49"/>
        <v/>
      </c>
      <c r="C444" s="123" t="str">
        <f ca="1">IF(A444&lt;=①簡易状況入力!$AC$5,INDIRECT("A"&amp;VLOOKUP($A444,①簡易状況入力!$Y$5:$AB$104,4,FALSE)),"")</f>
        <v/>
      </c>
      <c r="D444" s="125" t="str">
        <f t="shared" ca="1" si="50"/>
        <v/>
      </c>
      <c r="E444" s="125" t="str">
        <f t="shared" ca="1" si="51"/>
        <v/>
      </c>
      <c r="F444" s="125" t="str">
        <f t="shared" ca="1" si="52"/>
        <v/>
      </c>
      <c r="G444" s="125" t="str">
        <f t="shared" ca="1" si="53"/>
        <v/>
      </c>
      <c r="H444" s="125" t="str">
        <f t="shared" ca="1" si="54"/>
        <v/>
      </c>
      <c r="I444" s="125" t="str">
        <f t="shared" ca="1" si="55"/>
        <v/>
      </c>
      <c r="J444" s="125" t="str">
        <f t="shared" ca="1" si="56"/>
        <v/>
      </c>
      <c r="K444" s="125" t="str">
        <f t="shared" ca="1" si="57"/>
        <v/>
      </c>
      <c r="L444" s="125" t="str">
        <f t="shared" ca="1" si="58"/>
        <v/>
      </c>
      <c r="M444" s="125" t="str">
        <f t="shared" ca="1" si="59"/>
        <v/>
      </c>
      <c r="N444" s="125" t="str">
        <f t="shared" ca="1" si="60"/>
        <v/>
      </c>
      <c r="O444" s="125" t="str">
        <f t="shared" ca="1" si="61"/>
        <v/>
      </c>
      <c r="P444" s="125" t="str">
        <f t="shared" ca="1" si="62"/>
        <v/>
      </c>
      <c r="Q444" s="125" t="str">
        <f t="shared" ca="1" si="63"/>
        <v/>
      </c>
      <c r="R444" s="125" t="str">
        <f t="shared" ca="1" si="64"/>
        <v/>
      </c>
      <c r="S444" s="125" t="str">
        <f t="shared" ca="1" si="65"/>
        <v/>
      </c>
      <c r="T444" s="125" t="str">
        <f t="shared" ca="1" si="66"/>
        <v/>
      </c>
      <c r="U444" s="125" t="str">
        <f t="shared" ca="1" si="67"/>
        <v/>
      </c>
      <c r="V444" s="125" t="str">
        <f t="shared" ca="1" si="68"/>
        <v/>
      </c>
      <c r="W444" s="125" t="str">
        <f t="shared" ca="1" si="69"/>
        <v/>
      </c>
      <c r="X444" s="125" t="str">
        <f t="shared" ca="1" si="70"/>
        <v/>
      </c>
      <c r="Y444" s="125" t="str">
        <f t="shared" ca="1" si="71"/>
        <v/>
      </c>
      <c r="Z444" s="125" t="str">
        <f t="shared" ca="1" si="72"/>
        <v/>
      </c>
      <c r="AA444" s="125" t="str">
        <f t="shared" ca="1" si="73"/>
        <v/>
      </c>
      <c r="AB444" s="125" t="str">
        <f t="shared" ca="1" si="74"/>
        <v/>
      </c>
      <c r="AC444" s="125" t="str">
        <f t="shared" ca="1" si="75"/>
        <v/>
      </c>
      <c r="AD444" s="125" t="str">
        <f t="shared" ca="1" si="76"/>
        <v/>
      </c>
      <c r="AE444" s="125" t="str">
        <f t="shared" ca="1" si="77"/>
        <v/>
      </c>
      <c r="AF444" s="125" t="str">
        <f t="shared" ca="1" si="78"/>
        <v/>
      </c>
      <c r="AG444" s="125" t="str">
        <f t="shared" ca="1" si="79"/>
        <v/>
      </c>
      <c r="AH444" s="125" t="str">
        <f t="shared" ca="1" si="80"/>
        <v/>
      </c>
      <c r="AI444" s="125" t="str">
        <f t="shared" ca="1" si="81"/>
        <v/>
      </c>
      <c r="AJ444" s="125" t="str">
        <f t="shared" ca="1" si="82"/>
        <v/>
      </c>
      <c r="AK444" s="125" t="str">
        <f t="shared" ca="1" si="83"/>
        <v/>
      </c>
      <c r="AL444" s="125" t="str">
        <f t="shared" ca="1" si="84"/>
        <v/>
      </c>
      <c r="AM444" s="124" t="str">
        <f t="shared" ca="1" si="90"/>
        <v/>
      </c>
      <c r="AN444" s="124" t="str">
        <f t="shared" ca="1" si="90"/>
        <v/>
      </c>
      <c r="AO444" s="124" t="str">
        <f t="shared" ca="1" si="90"/>
        <v/>
      </c>
      <c r="AP444" s="124" t="str">
        <f t="shared" ca="1" si="90"/>
        <v/>
      </c>
      <c r="AQ444" s="124" t="str">
        <f t="shared" ca="1" si="90"/>
        <v/>
      </c>
      <c r="AR444" s="124" t="str">
        <f t="shared" ca="1" si="90"/>
        <v/>
      </c>
      <c r="AS444" s="124" t="str">
        <f t="shared" ca="1" si="90"/>
        <v/>
      </c>
      <c r="AT444" s="124" t="str">
        <f t="shared" ca="1" si="90"/>
        <v/>
      </c>
      <c r="AU444" s="124" t="str">
        <f t="shared" ca="1" si="90"/>
        <v/>
      </c>
      <c r="AV444" s="124" t="str">
        <f t="shared" ca="1" si="90"/>
        <v/>
      </c>
      <c r="AW444" s="124" t="str">
        <f t="shared" ca="1" si="90"/>
        <v/>
      </c>
      <c r="AX444" s="124" t="str">
        <f t="shared" ca="1" si="90"/>
        <v/>
      </c>
      <c r="AY444" s="124" t="str">
        <f t="shared" ca="1" si="90"/>
        <v/>
      </c>
      <c r="AZ444" s="124" t="str">
        <f t="shared" ca="1" si="90"/>
        <v/>
      </c>
      <c r="BA444" s="124" t="str">
        <f t="shared" ca="1" si="90"/>
        <v/>
      </c>
      <c r="BB444" s="124" t="str">
        <f t="shared" ca="1" si="88"/>
        <v/>
      </c>
      <c r="BC444" s="124" t="str">
        <f t="shared" ca="1" si="88"/>
        <v/>
      </c>
      <c r="BD444" s="124" t="str">
        <f t="shared" ca="1" si="88"/>
        <v/>
      </c>
      <c r="BE444" s="124" t="str">
        <f t="shared" ca="1" si="88"/>
        <v/>
      </c>
      <c r="BF444" s="124" t="str">
        <f t="shared" ca="1" si="88"/>
        <v/>
      </c>
      <c r="BG444" s="124" t="str">
        <f t="shared" ca="1" si="88"/>
        <v/>
      </c>
      <c r="BH444" s="124" t="str">
        <f t="shared" ca="1" si="88"/>
        <v/>
      </c>
      <c r="BI444" s="124" t="str">
        <f t="shared" ca="1" si="88"/>
        <v/>
      </c>
      <c r="BJ444" s="124" t="str">
        <f t="shared" ca="1" si="88"/>
        <v/>
      </c>
      <c r="BK444" s="124" t="str">
        <f t="shared" ca="1" si="88"/>
        <v/>
      </c>
      <c r="BL444" s="124" t="str">
        <f t="shared" ca="1" si="88"/>
        <v/>
      </c>
      <c r="BM444" s="124" t="str">
        <f t="shared" ca="1" si="88"/>
        <v/>
      </c>
      <c r="BN444" s="124" t="str">
        <f t="shared" ca="1" si="88"/>
        <v/>
      </c>
      <c r="BO444" s="124" t="str">
        <f t="shared" ca="1" si="88"/>
        <v/>
      </c>
      <c r="BP444" s="124" t="str">
        <f t="shared" ca="1" si="88"/>
        <v/>
      </c>
      <c r="BQ444" s="124" t="str">
        <f t="shared" ca="1" si="88"/>
        <v/>
      </c>
      <c r="BR444" s="124" t="str">
        <f t="shared" ca="1" si="89"/>
        <v/>
      </c>
      <c r="BS444" s="124" t="str">
        <f t="shared" ca="1" si="87"/>
        <v/>
      </c>
      <c r="BT444" s="124" t="str">
        <f t="shared" ca="1" si="87"/>
        <v/>
      </c>
      <c r="BU444" s="124" t="str">
        <f t="shared" ca="1" si="87"/>
        <v/>
      </c>
    </row>
    <row r="445" spans="1:73" x14ac:dyDescent="0.15">
      <c r="A445">
        <v>25</v>
      </c>
      <c r="B445" s="124" t="str">
        <f t="shared" ca="1" si="49"/>
        <v/>
      </c>
      <c r="C445" s="123" t="str">
        <f ca="1">IF(A445&lt;=①簡易状況入力!$AC$5,INDIRECT("A"&amp;VLOOKUP($A445,①簡易状況入力!$Y$5:$AB$104,4,FALSE)),"")</f>
        <v/>
      </c>
      <c r="D445" s="125" t="str">
        <f t="shared" ca="1" si="50"/>
        <v/>
      </c>
      <c r="E445" s="125" t="str">
        <f t="shared" ca="1" si="51"/>
        <v/>
      </c>
      <c r="F445" s="125" t="str">
        <f t="shared" ca="1" si="52"/>
        <v/>
      </c>
      <c r="G445" s="125" t="str">
        <f t="shared" ca="1" si="53"/>
        <v/>
      </c>
      <c r="H445" s="125" t="str">
        <f t="shared" ca="1" si="54"/>
        <v/>
      </c>
      <c r="I445" s="125" t="str">
        <f t="shared" ca="1" si="55"/>
        <v/>
      </c>
      <c r="J445" s="125" t="str">
        <f t="shared" ca="1" si="56"/>
        <v/>
      </c>
      <c r="K445" s="125" t="str">
        <f t="shared" ca="1" si="57"/>
        <v/>
      </c>
      <c r="L445" s="125" t="str">
        <f t="shared" ca="1" si="58"/>
        <v/>
      </c>
      <c r="M445" s="125" t="str">
        <f t="shared" ca="1" si="59"/>
        <v/>
      </c>
      <c r="N445" s="125" t="str">
        <f t="shared" ca="1" si="60"/>
        <v/>
      </c>
      <c r="O445" s="125" t="str">
        <f t="shared" ca="1" si="61"/>
        <v/>
      </c>
      <c r="P445" s="125" t="str">
        <f t="shared" ca="1" si="62"/>
        <v/>
      </c>
      <c r="Q445" s="125" t="str">
        <f t="shared" ca="1" si="63"/>
        <v/>
      </c>
      <c r="R445" s="125" t="str">
        <f t="shared" ca="1" si="64"/>
        <v/>
      </c>
      <c r="S445" s="125" t="str">
        <f t="shared" ca="1" si="65"/>
        <v/>
      </c>
      <c r="T445" s="125" t="str">
        <f t="shared" ca="1" si="66"/>
        <v/>
      </c>
      <c r="U445" s="125" t="str">
        <f t="shared" ca="1" si="67"/>
        <v/>
      </c>
      <c r="V445" s="125" t="str">
        <f t="shared" ca="1" si="68"/>
        <v/>
      </c>
      <c r="W445" s="125" t="str">
        <f t="shared" ca="1" si="69"/>
        <v/>
      </c>
      <c r="X445" s="125" t="str">
        <f t="shared" ca="1" si="70"/>
        <v/>
      </c>
      <c r="Y445" s="125" t="str">
        <f t="shared" ca="1" si="71"/>
        <v/>
      </c>
      <c r="Z445" s="125" t="str">
        <f t="shared" ca="1" si="72"/>
        <v/>
      </c>
      <c r="AA445" s="125" t="str">
        <f t="shared" ca="1" si="73"/>
        <v/>
      </c>
      <c r="AB445" s="125" t="str">
        <f t="shared" ca="1" si="74"/>
        <v/>
      </c>
      <c r="AC445" s="125" t="str">
        <f t="shared" ca="1" si="75"/>
        <v/>
      </c>
      <c r="AD445" s="125" t="str">
        <f t="shared" ca="1" si="76"/>
        <v/>
      </c>
      <c r="AE445" s="125" t="str">
        <f t="shared" ca="1" si="77"/>
        <v/>
      </c>
      <c r="AF445" s="125" t="str">
        <f t="shared" ca="1" si="78"/>
        <v/>
      </c>
      <c r="AG445" s="125" t="str">
        <f t="shared" ca="1" si="79"/>
        <v/>
      </c>
      <c r="AH445" s="125" t="str">
        <f t="shared" ca="1" si="80"/>
        <v/>
      </c>
      <c r="AI445" s="125" t="str">
        <f t="shared" ca="1" si="81"/>
        <v/>
      </c>
      <c r="AJ445" s="125" t="str">
        <f t="shared" ca="1" si="82"/>
        <v/>
      </c>
      <c r="AK445" s="125" t="str">
        <f t="shared" ca="1" si="83"/>
        <v/>
      </c>
      <c r="AL445" s="125" t="str">
        <f t="shared" ca="1" si="84"/>
        <v/>
      </c>
      <c r="AM445" s="124" t="str">
        <f t="shared" ca="1" si="90"/>
        <v/>
      </c>
      <c r="AN445" s="124" t="str">
        <f t="shared" ca="1" si="90"/>
        <v/>
      </c>
      <c r="AO445" s="124" t="str">
        <f t="shared" ca="1" si="90"/>
        <v/>
      </c>
      <c r="AP445" s="124" t="str">
        <f t="shared" ca="1" si="90"/>
        <v/>
      </c>
      <c r="AQ445" s="124" t="str">
        <f t="shared" ca="1" si="90"/>
        <v/>
      </c>
      <c r="AR445" s="124" t="str">
        <f t="shared" ca="1" si="90"/>
        <v/>
      </c>
      <c r="AS445" s="124" t="str">
        <f t="shared" ca="1" si="90"/>
        <v/>
      </c>
      <c r="AT445" s="124" t="str">
        <f t="shared" ca="1" si="90"/>
        <v/>
      </c>
      <c r="AU445" s="124" t="str">
        <f t="shared" ca="1" si="90"/>
        <v/>
      </c>
      <c r="AV445" s="124" t="str">
        <f t="shared" ca="1" si="90"/>
        <v/>
      </c>
      <c r="AW445" s="124" t="str">
        <f t="shared" ca="1" si="90"/>
        <v/>
      </c>
      <c r="AX445" s="124" t="str">
        <f t="shared" ca="1" si="90"/>
        <v/>
      </c>
      <c r="AY445" s="124" t="str">
        <f t="shared" ca="1" si="90"/>
        <v/>
      </c>
      <c r="AZ445" s="124" t="str">
        <f t="shared" ca="1" si="90"/>
        <v/>
      </c>
      <c r="BA445" s="124" t="str">
        <f t="shared" ca="1" si="90"/>
        <v/>
      </c>
      <c r="BB445" s="124" t="str">
        <f t="shared" ca="1" si="88"/>
        <v/>
      </c>
      <c r="BC445" s="124" t="str">
        <f t="shared" ca="1" si="88"/>
        <v/>
      </c>
      <c r="BD445" s="124" t="str">
        <f t="shared" ca="1" si="88"/>
        <v/>
      </c>
      <c r="BE445" s="124" t="str">
        <f t="shared" ca="1" si="88"/>
        <v/>
      </c>
      <c r="BF445" s="124" t="str">
        <f t="shared" ca="1" si="88"/>
        <v/>
      </c>
      <c r="BG445" s="124" t="str">
        <f t="shared" ca="1" si="88"/>
        <v/>
      </c>
      <c r="BH445" s="124" t="str">
        <f t="shared" ca="1" si="88"/>
        <v/>
      </c>
      <c r="BI445" s="124" t="str">
        <f t="shared" ca="1" si="88"/>
        <v/>
      </c>
      <c r="BJ445" s="124" t="str">
        <f t="shared" ca="1" si="88"/>
        <v/>
      </c>
      <c r="BK445" s="124" t="str">
        <f t="shared" ca="1" si="88"/>
        <v/>
      </c>
      <c r="BL445" s="124" t="str">
        <f t="shared" ca="1" si="88"/>
        <v/>
      </c>
      <c r="BM445" s="124" t="str">
        <f t="shared" ca="1" si="88"/>
        <v/>
      </c>
      <c r="BN445" s="124" t="str">
        <f t="shared" ca="1" si="88"/>
        <v/>
      </c>
      <c r="BO445" s="124" t="str">
        <f t="shared" ca="1" si="88"/>
        <v/>
      </c>
      <c r="BP445" s="124" t="str">
        <f t="shared" ca="1" si="88"/>
        <v/>
      </c>
      <c r="BQ445" s="124" t="str">
        <f t="shared" ca="1" si="88"/>
        <v/>
      </c>
      <c r="BR445" s="124" t="str">
        <f t="shared" ca="1" si="89"/>
        <v/>
      </c>
      <c r="BS445" s="124" t="str">
        <f t="shared" ca="1" si="87"/>
        <v/>
      </c>
      <c r="BT445" s="124" t="str">
        <f t="shared" ca="1" si="87"/>
        <v/>
      </c>
      <c r="BU445" s="124" t="str">
        <f t="shared" ca="1" si="87"/>
        <v/>
      </c>
    </row>
    <row r="446" spans="1:73" x14ac:dyDescent="0.15">
      <c r="A446">
        <v>26</v>
      </c>
      <c r="B446" s="124" t="str">
        <f t="shared" ca="1" si="49"/>
        <v/>
      </c>
      <c r="C446" s="123" t="str">
        <f ca="1">IF(A446&lt;=①簡易状況入力!$AC$5,INDIRECT("A"&amp;VLOOKUP($A446,①簡易状況入力!$Y$5:$AB$104,4,FALSE)),"")</f>
        <v/>
      </c>
      <c r="D446" s="125" t="str">
        <f t="shared" ca="1" si="50"/>
        <v/>
      </c>
      <c r="E446" s="125" t="str">
        <f t="shared" ca="1" si="51"/>
        <v/>
      </c>
      <c r="F446" s="125" t="str">
        <f t="shared" ca="1" si="52"/>
        <v/>
      </c>
      <c r="G446" s="125" t="str">
        <f t="shared" ca="1" si="53"/>
        <v/>
      </c>
      <c r="H446" s="125" t="str">
        <f t="shared" ca="1" si="54"/>
        <v/>
      </c>
      <c r="I446" s="125" t="str">
        <f t="shared" ca="1" si="55"/>
        <v/>
      </c>
      <c r="J446" s="125" t="str">
        <f t="shared" ca="1" si="56"/>
        <v/>
      </c>
      <c r="K446" s="125" t="str">
        <f t="shared" ca="1" si="57"/>
        <v/>
      </c>
      <c r="L446" s="125" t="str">
        <f t="shared" ca="1" si="58"/>
        <v/>
      </c>
      <c r="M446" s="125" t="str">
        <f t="shared" ca="1" si="59"/>
        <v/>
      </c>
      <c r="N446" s="125" t="str">
        <f t="shared" ca="1" si="60"/>
        <v/>
      </c>
      <c r="O446" s="125" t="str">
        <f t="shared" ca="1" si="61"/>
        <v/>
      </c>
      <c r="P446" s="125" t="str">
        <f t="shared" ca="1" si="62"/>
        <v/>
      </c>
      <c r="Q446" s="125" t="str">
        <f t="shared" ca="1" si="63"/>
        <v/>
      </c>
      <c r="R446" s="125" t="str">
        <f t="shared" ca="1" si="64"/>
        <v/>
      </c>
      <c r="S446" s="125" t="str">
        <f t="shared" ca="1" si="65"/>
        <v/>
      </c>
      <c r="T446" s="125" t="str">
        <f t="shared" ca="1" si="66"/>
        <v/>
      </c>
      <c r="U446" s="125" t="str">
        <f t="shared" ca="1" si="67"/>
        <v/>
      </c>
      <c r="V446" s="125" t="str">
        <f t="shared" ca="1" si="68"/>
        <v/>
      </c>
      <c r="W446" s="125" t="str">
        <f t="shared" ca="1" si="69"/>
        <v/>
      </c>
      <c r="X446" s="125" t="str">
        <f t="shared" ca="1" si="70"/>
        <v/>
      </c>
      <c r="Y446" s="125" t="str">
        <f t="shared" ca="1" si="71"/>
        <v/>
      </c>
      <c r="Z446" s="125" t="str">
        <f t="shared" ca="1" si="72"/>
        <v/>
      </c>
      <c r="AA446" s="125" t="str">
        <f t="shared" ca="1" si="73"/>
        <v/>
      </c>
      <c r="AB446" s="125" t="str">
        <f t="shared" ca="1" si="74"/>
        <v/>
      </c>
      <c r="AC446" s="125" t="str">
        <f t="shared" ca="1" si="75"/>
        <v/>
      </c>
      <c r="AD446" s="125" t="str">
        <f t="shared" ca="1" si="76"/>
        <v/>
      </c>
      <c r="AE446" s="125" t="str">
        <f t="shared" ca="1" si="77"/>
        <v/>
      </c>
      <c r="AF446" s="125" t="str">
        <f t="shared" ca="1" si="78"/>
        <v/>
      </c>
      <c r="AG446" s="125" t="str">
        <f t="shared" ca="1" si="79"/>
        <v/>
      </c>
      <c r="AH446" s="125" t="str">
        <f t="shared" ca="1" si="80"/>
        <v/>
      </c>
      <c r="AI446" s="125" t="str">
        <f t="shared" ca="1" si="81"/>
        <v/>
      </c>
      <c r="AJ446" s="125" t="str">
        <f t="shared" ca="1" si="82"/>
        <v/>
      </c>
      <c r="AK446" s="125" t="str">
        <f t="shared" ca="1" si="83"/>
        <v/>
      </c>
      <c r="AL446" s="125" t="str">
        <f t="shared" ca="1" si="84"/>
        <v/>
      </c>
      <c r="AM446" s="124" t="str">
        <f t="shared" ca="1" si="90"/>
        <v/>
      </c>
      <c r="AN446" s="124" t="str">
        <f t="shared" ca="1" si="90"/>
        <v/>
      </c>
      <c r="AO446" s="124" t="str">
        <f t="shared" ca="1" si="90"/>
        <v/>
      </c>
      <c r="AP446" s="124" t="str">
        <f t="shared" ca="1" si="90"/>
        <v/>
      </c>
      <c r="AQ446" s="124" t="str">
        <f t="shared" ca="1" si="90"/>
        <v/>
      </c>
      <c r="AR446" s="124" t="str">
        <f t="shared" ca="1" si="90"/>
        <v/>
      </c>
      <c r="AS446" s="124" t="str">
        <f t="shared" ca="1" si="90"/>
        <v/>
      </c>
      <c r="AT446" s="124" t="str">
        <f t="shared" ca="1" si="90"/>
        <v/>
      </c>
      <c r="AU446" s="124" t="str">
        <f t="shared" ca="1" si="90"/>
        <v/>
      </c>
      <c r="AV446" s="124" t="str">
        <f t="shared" ca="1" si="90"/>
        <v/>
      </c>
      <c r="AW446" s="124" t="str">
        <f t="shared" ca="1" si="90"/>
        <v/>
      </c>
      <c r="AX446" s="124" t="str">
        <f t="shared" ca="1" si="90"/>
        <v/>
      </c>
      <c r="AY446" s="124" t="str">
        <f t="shared" ca="1" si="90"/>
        <v/>
      </c>
      <c r="AZ446" s="124" t="str">
        <f t="shared" ca="1" si="90"/>
        <v/>
      </c>
      <c r="BA446" s="124" t="str">
        <f t="shared" ca="1" si="90"/>
        <v/>
      </c>
      <c r="BB446" s="124" t="str">
        <f t="shared" ca="1" si="88"/>
        <v/>
      </c>
      <c r="BC446" s="124" t="str">
        <f t="shared" ca="1" si="88"/>
        <v/>
      </c>
      <c r="BD446" s="124" t="str">
        <f t="shared" ca="1" si="88"/>
        <v/>
      </c>
      <c r="BE446" s="124" t="str">
        <f t="shared" ca="1" si="88"/>
        <v/>
      </c>
      <c r="BF446" s="124" t="str">
        <f t="shared" ca="1" si="88"/>
        <v/>
      </c>
      <c r="BG446" s="124" t="str">
        <f t="shared" ca="1" si="88"/>
        <v/>
      </c>
      <c r="BH446" s="124" t="str">
        <f t="shared" ca="1" si="88"/>
        <v/>
      </c>
      <c r="BI446" s="124" t="str">
        <f t="shared" ca="1" si="88"/>
        <v/>
      </c>
      <c r="BJ446" s="124" t="str">
        <f t="shared" ca="1" si="88"/>
        <v/>
      </c>
      <c r="BK446" s="124" t="str">
        <f t="shared" ca="1" si="88"/>
        <v/>
      </c>
      <c r="BL446" s="124" t="str">
        <f t="shared" ca="1" si="88"/>
        <v/>
      </c>
      <c r="BM446" s="124" t="str">
        <f t="shared" ca="1" si="88"/>
        <v/>
      </c>
      <c r="BN446" s="124" t="str">
        <f t="shared" ca="1" si="88"/>
        <v/>
      </c>
      <c r="BO446" s="124" t="str">
        <f t="shared" ca="1" si="88"/>
        <v/>
      </c>
      <c r="BP446" s="124" t="str">
        <f t="shared" ca="1" si="88"/>
        <v/>
      </c>
      <c r="BQ446" s="124" t="str">
        <f t="shared" ca="1" si="88"/>
        <v/>
      </c>
      <c r="BR446" s="124" t="str">
        <f t="shared" ca="1" si="89"/>
        <v/>
      </c>
      <c r="BS446" s="124" t="str">
        <f t="shared" ca="1" si="87"/>
        <v/>
      </c>
      <c r="BT446" s="124" t="str">
        <f t="shared" ca="1" si="87"/>
        <v/>
      </c>
      <c r="BU446" s="124" t="str">
        <f t="shared" ca="1" si="87"/>
        <v/>
      </c>
    </row>
    <row r="447" spans="1:73" x14ac:dyDescent="0.15">
      <c r="A447">
        <v>27</v>
      </c>
      <c r="B447" s="124" t="str">
        <f t="shared" ca="1" si="49"/>
        <v/>
      </c>
      <c r="C447" s="123" t="str">
        <f ca="1">IF(A447&lt;=①簡易状況入力!$AC$5,INDIRECT("A"&amp;VLOOKUP($A447,①簡易状況入力!$Y$5:$AB$104,4,FALSE)),"")</f>
        <v/>
      </c>
      <c r="D447" s="125" t="str">
        <f t="shared" ca="1" si="50"/>
        <v/>
      </c>
      <c r="E447" s="125" t="str">
        <f t="shared" ca="1" si="51"/>
        <v/>
      </c>
      <c r="F447" s="125" t="str">
        <f t="shared" ca="1" si="52"/>
        <v/>
      </c>
      <c r="G447" s="125" t="str">
        <f t="shared" ca="1" si="53"/>
        <v/>
      </c>
      <c r="H447" s="125" t="str">
        <f t="shared" ca="1" si="54"/>
        <v/>
      </c>
      <c r="I447" s="125" t="str">
        <f t="shared" ca="1" si="55"/>
        <v/>
      </c>
      <c r="J447" s="125" t="str">
        <f t="shared" ca="1" si="56"/>
        <v/>
      </c>
      <c r="K447" s="125" t="str">
        <f t="shared" ca="1" si="57"/>
        <v/>
      </c>
      <c r="L447" s="125" t="str">
        <f t="shared" ca="1" si="58"/>
        <v/>
      </c>
      <c r="M447" s="125" t="str">
        <f t="shared" ca="1" si="59"/>
        <v/>
      </c>
      <c r="N447" s="125" t="str">
        <f t="shared" ca="1" si="60"/>
        <v/>
      </c>
      <c r="O447" s="125" t="str">
        <f t="shared" ca="1" si="61"/>
        <v/>
      </c>
      <c r="P447" s="125" t="str">
        <f t="shared" ca="1" si="62"/>
        <v/>
      </c>
      <c r="Q447" s="125" t="str">
        <f t="shared" ca="1" si="63"/>
        <v/>
      </c>
      <c r="R447" s="125" t="str">
        <f t="shared" ca="1" si="64"/>
        <v/>
      </c>
      <c r="S447" s="125" t="str">
        <f t="shared" ca="1" si="65"/>
        <v/>
      </c>
      <c r="T447" s="125" t="str">
        <f t="shared" ca="1" si="66"/>
        <v/>
      </c>
      <c r="U447" s="125" t="str">
        <f t="shared" ca="1" si="67"/>
        <v/>
      </c>
      <c r="V447" s="125" t="str">
        <f t="shared" ca="1" si="68"/>
        <v/>
      </c>
      <c r="W447" s="125" t="str">
        <f t="shared" ca="1" si="69"/>
        <v/>
      </c>
      <c r="X447" s="125" t="str">
        <f t="shared" ca="1" si="70"/>
        <v/>
      </c>
      <c r="Y447" s="125" t="str">
        <f t="shared" ca="1" si="71"/>
        <v/>
      </c>
      <c r="Z447" s="125" t="str">
        <f t="shared" ca="1" si="72"/>
        <v/>
      </c>
      <c r="AA447" s="125" t="str">
        <f t="shared" ca="1" si="73"/>
        <v/>
      </c>
      <c r="AB447" s="125" t="str">
        <f t="shared" ca="1" si="74"/>
        <v/>
      </c>
      <c r="AC447" s="125" t="str">
        <f t="shared" ca="1" si="75"/>
        <v/>
      </c>
      <c r="AD447" s="125" t="str">
        <f t="shared" ca="1" si="76"/>
        <v/>
      </c>
      <c r="AE447" s="125" t="str">
        <f t="shared" ca="1" si="77"/>
        <v/>
      </c>
      <c r="AF447" s="125" t="str">
        <f t="shared" ca="1" si="78"/>
        <v/>
      </c>
      <c r="AG447" s="125" t="str">
        <f t="shared" ca="1" si="79"/>
        <v/>
      </c>
      <c r="AH447" s="125" t="str">
        <f t="shared" ca="1" si="80"/>
        <v/>
      </c>
      <c r="AI447" s="125" t="str">
        <f t="shared" ca="1" si="81"/>
        <v/>
      </c>
      <c r="AJ447" s="125" t="str">
        <f t="shared" ca="1" si="82"/>
        <v/>
      </c>
      <c r="AK447" s="125" t="str">
        <f t="shared" ca="1" si="83"/>
        <v/>
      </c>
      <c r="AL447" s="125" t="str">
        <f t="shared" ca="1" si="84"/>
        <v/>
      </c>
      <c r="AM447" s="124" t="str">
        <f t="shared" ca="1" si="90"/>
        <v/>
      </c>
      <c r="AN447" s="124" t="str">
        <f t="shared" ca="1" si="90"/>
        <v/>
      </c>
      <c r="AO447" s="124" t="str">
        <f t="shared" ca="1" si="90"/>
        <v/>
      </c>
      <c r="AP447" s="124" t="str">
        <f t="shared" ca="1" si="90"/>
        <v/>
      </c>
      <c r="AQ447" s="124" t="str">
        <f t="shared" ca="1" si="90"/>
        <v/>
      </c>
      <c r="AR447" s="124" t="str">
        <f t="shared" ca="1" si="90"/>
        <v/>
      </c>
      <c r="AS447" s="124" t="str">
        <f t="shared" ca="1" si="90"/>
        <v/>
      </c>
      <c r="AT447" s="124" t="str">
        <f t="shared" ca="1" si="90"/>
        <v/>
      </c>
      <c r="AU447" s="124" t="str">
        <f t="shared" ca="1" si="90"/>
        <v/>
      </c>
      <c r="AV447" s="124" t="str">
        <f t="shared" ca="1" si="90"/>
        <v/>
      </c>
      <c r="AW447" s="124" t="str">
        <f t="shared" ca="1" si="90"/>
        <v/>
      </c>
      <c r="AX447" s="124" t="str">
        <f t="shared" ca="1" si="90"/>
        <v/>
      </c>
      <c r="AY447" s="124" t="str">
        <f t="shared" ca="1" si="90"/>
        <v/>
      </c>
      <c r="AZ447" s="124" t="str">
        <f t="shared" ca="1" si="90"/>
        <v/>
      </c>
      <c r="BA447" s="124" t="str">
        <f t="shared" ca="1" si="90"/>
        <v/>
      </c>
      <c r="BB447" s="124" t="str">
        <f t="shared" ca="1" si="88"/>
        <v/>
      </c>
      <c r="BC447" s="124" t="str">
        <f t="shared" ca="1" si="88"/>
        <v/>
      </c>
      <c r="BD447" s="124" t="str">
        <f t="shared" ca="1" si="88"/>
        <v/>
      </c>
      <c r="BE447" s="124" t="str">
        <f t="shared" ca="1" si="88"/>
        <v/>
      </c>
      <c r="BF447" s="124" t="str">
        <f t="shared" ca="1" si="88"/>
        <v/>
      </c>
      <c r="BG447" s="124" t="str">
        <f t="shared" ca="1" si="88"/>
        <v/>
      </c>
      <c r="BH447" s="124" t="str">
        <f t="shared" ca="1" si="88"/>
        <v/>
      </c>
      <c r="BI447" s="124" t="str">
        <f t="shared" ca="1" si="88"/>
        <v/>
      </c>
      <c r="BJ447" s="124" t="str">
        <f t="shared" ca="1" si="88"/>
        <v/>
      </c>
      <c r="BK447" s="124" t="str">
        <f t="shared" ca="1" si="88"/>
        <v/>
      </c>
      <c r="BL447" s="124" t="str">
        <f t="shared" ca="1" si="88"/>
        <v/>
      </c>
      <c r="BM447" s="124" t="str">
        <f t="shared" ca="1" si="88"/>
        <v/>
      </c>
      <c r="BN447" s="124" t="str">
        <f t="shared" ca="1" si="88"/>
        <v/>
      </c>
      <c r="BO447" s="124" t="str">
        <f t="shared" ca="1" si="88"/>
        <v/>
      </c>
      <c r="BP447" s="124" t="str">
        <f t="shared" ca="1" si="88"/>
        <v/>
      </c>
      <c r="BQ447" s="124" t="str">
        <f t="shared" ca="1" si="88"/>
        <v/>
      </c>
      <c r="BR447" s="124" t="str">
        <f t="shared" ca="1" si="89"/>
        <v/>
      </c>
      <c r="BS447" s="124" t="str">
        <f t="shared" ca="1" si="87"/>
        <v/>
      </c>
      <c r="BT447" s="124" t="str">
        <f t="shared" ca="1" si="87"/>
        <v/>
      </c>
      <c r="BU447" s="124" t="str">
        <f t="shared" ca="1" si="87"/>
        <v/>
      </c>
    </row>
    <row r="448" spans="1:73" x14ac:dyDescent="0.15">
      <c r="A448">
        <v>28</v>
      </c>
      <c r="B448" s="124" t="str">
        <f t="shared" ca="1" si="49"/>
        <v/>
      </c>
      <c r="C448" s="123" t="str">
        <f ca="1">IF(A448&lt;=①簡易状況入力!$AC$5,INDIRECT("A"&amp;VLOOKUP($A448,①簡易状況入力!$Y$5:$AB$104,4,FALSE)),"")</f>
        <v/>
      </c>
      <c r="D448" s="125" t="str">
        <f t="shared" ca="1" si="50"/>
        <v/>
      </c>
      <c r="E448" s="125" t="str">
        <f t="shared" ca="1" si="51"/>
        <v/>
      </c>
      <c r="F448" s="125" t="str">
        <f t="shared" ca="1" si="52"/>
        <v/>
      </c>
      <c r="G448" s="125" t="str">
        <f t="shared" ca="1" si="53"/>
        <v/>
      </c>
      <c r="H448" s="125" t="str">
        <f t="shared" ca="1" si="54"/>
        <v/>
      </c>
      <c r="I448" s="125" t="str">
        <f t="shared" ca="1" si="55"/>
        <v/>
      </c>
      <c r="J448" s="125" t="str">
        <f t="shared" ca="1" si="56"/>
        <v/>
      </c>
      <c r="K448" s="125" t="str">
        <f t="shared" ca="1" si="57"/>
        <v/>
      </c>
      <c r="L448" s="125" t="str">
        <f t="shared" ca="1" si="58"/>
        <v/>
      </c>
      <c r="M448" s="125" t="str">
        <f t="shared" ca="1" si="59"/>
        <v/>
      </c>
      <c r="N448" s="125" t="str">
        <f t="shared" ca="1" si="60"/>
        <v/>
      </c>
      <c r="O448" s="125" t="str">
        <f t="shared" ca="1" si="61"/>
        <v/>
      </c>
      <c r="P448" s="125" t="str">
        <f t="shared" ca="1" si="62"/>
        <v/>
      </c>
      <c r="Q448" s="125" t="str">
        <f t="shared" ca="1" si="63"/>
        <v/>
      </c>
      <c r="R448" s="125" t="str">
        <f t="shared" ca="1" si="64"/>
        <v/>
      </c>
      <c r="S448" s="125" t="str">
        <f t="shared" ca="1" si="65"/>
        <v/>
      </c>
      <c r="T448" s="125" t="str">
        <f t="shared" ca="1" si="66"/>
        <v/>
      </c>
      <c r="U448" s="125" t="str">
        <f t="shared" ca="1" si="67"/>
        <v/>
      </c>
      <c r="V448" s="125" t="str">
        <f t="shared" ca="1" si="68"/>
        <v/>
      </c>
      <c r="W448" s="125" t="str">
        <f t="shared" ca="1" si="69"/>
        <v/>
      </c>
      <c r="X448" s="125" t="str">
        <f t="shared" ca="1" si="70"/>
        <v/>
      </c>
      <c r="Y448" s="125" t="str">
        <f t="shared" ca="1" si="71"/>
        <v/>
      </c>
      <c r="Z448" s="125" t="str">
        <f t="shared" ca="1" si="72"/>
        <v/>
      </c>
      <c r="AA448" s="125" t="str">
        <f t="shared" ca="1" si="73"/>
        <v/>
      </c>
      <c r="AB448" s="125" t="str">
        <f t="shared" ca="1" si="74"/>
        <v/>
      </c>
      <c r="AC448" s="125" t="str">
        <f t="shared" ca="1" si="75"/>
        <v/>
      </c>
      <c r="AD448" s="125" t="str">
        <f t="shared" ca="1" si="76"/>
        <v/>
      </c>
      <c r="AE448" s="125" t="str">
        <f t="shared" ca="1" si="77"/>
        <v/>
      </c>
      <c r="AF448" s="125" t="str">
        <f t="shared" ca="1" si="78"/>
        <v/>
      </c>
      <c r="AG448" s="125" t="str">
        <f t="shared" ca="1" si="79"/>
        <v/>
      </c>
      <c r="AH448" s="125" t="str">
        <f t="shared" ca="1" si="80"/>
        <v/>
      </c>
      <c r="AI448" s="125" t="str">
        <f t="shared" ca="1" si="81"/>
        <v/>
      </c>
      <c r="AJ448" s="125" t="str">
        <f t="shared" ca="1" si="82"/>
        <v/>
      </c>
      <c r="AK448" s="125" t="str">
        <f t="shared" ca="1" si="83"/>
        <v/>
      </c>
      <c r="AL448" s="125" t="str">
        <f t="shared" ca="1" si="84"/>
        <v/>
      </c>
      <c r="AM448" s="124" t="str">
        <f t="shared" ca="1" si="90"/>
        <v/>
      </c>
      <c r="AN448" s="124" t="str">
        <f t="shared" ca="1" si="90"/>
        <v/>
      </c>
      <c r="AO448" s="124" t="str">
        <f t="shared" ca="1" si="90"/>
        <v/>
      </c>
      <c r="AP448" s="124" t="str">
        <f t="shared" ca="1" si="90"/>
        <v/>
      </c>
      <c r="AQ448" s="124" t="str">
        <f t="shared" ca="1" si="90"/>
        <v/>
      </c>
      <c r="AR448" s="124" t="str">
        <f t="shared" ca="1" si="90"/>
        <v/>
      </c>
      <c r="AS448" s="124" t="str">
        <f t="shared" ca="1" si="90"/>
        <v/>
      </c>
      <c r="AT448" s="124" t="str">
        <f t="shared" ca="1" si="90"/>
        <v/>
      </c>
      <c r="AU448" s="124" t="str">
        <f t="shared" ca="1" si="90"/>
        <v/>
      </c>
      <c r="AV448" s="124" t="str">
        <f t="shared" ca="1" si="90"/>
        <v/>
      </c>
      <c r="AW448" s="124" t="str">
        <f t="shared" ca="1" si="90"/>
        <v/>
      </c>
      <c r="AX448" s="124" t="str">
        <f t="shared" ca="1" si="90"/>
        <v/>
      </c>
      <c r="AY448" s="124" t="str">
        <f t="shared" ca="1" si="90"/>
        <v/>
      </c>
      <c r="AZ448" s="124" t="str">
        <f t="shared" ca="1" si="90"/>
        <v/>
      </c>
      <c r="BA448" s="124" t="str">
        <f t="shared" ca="1" si="90"/>
        <v/>
      </c>
      <c r="BB448" s="124" t="str">
        <f t="shared" ca="1" si="88"/>
        <v/>
      </c>
      <c r="BC448" s="124" t="str">
        <f t="shared" ca="1" si="88"/>
        <v/>
      </c>
      <c r="BD448" s="124" t="str">
        <f t="shared" ca="1" si="88"/>
        <v/>
      </c>
      <c r="BE448" s="124" t="str">
        <f t="shared" ca="1" si="88"/>
        <v/>
      </c>
      <c r="BF448" s="124" t="str">
        <f t="shared" ca="1" si="88"/>
        <v/>
      </c>
      <c r="BG448" s="124" t="str">
        <f t="shared" ca="1" si="88"/>
        <v/>
      </c>
      <c r="BH448" s="124" t="str">
        <f t="shared" ca="1" si="88"/>
        <v/>
      </c>
      <c r="BI448" s="124" t="str">
        <f t="shared" ca="1" si="88"/>
        <v/>
      </c>
      <c r="BJ448" s="124" t="str">
        <f t="shared" ca="1" si="88"/>
        <v/>
      </c>
      <c r="BK448" s="124" t="str">
        <f t="shared" ca="1" si="88"/>
        <v/>
      </c>
      <c r="BL448" s="124" t="str">
        <f t="shared" ca="1" si="88"/>
        <v/>
      </c>
      <c r="BM448" s="124" t="str">
        <f t="shared" ca="1" si="88"/>
        <v/>
      </c>
      <c r="BN448" s="124" t="str">
        <f t="shared" ca="1" si="88"/>
        <v/>
      </c>
      <c r="BO448" s="124" t="str">
        <f t="shared" ca="1" si="88"/>
        <v/>
      </c>
      <c r="BP448" s="124" t="str">
        <f t="shared" ca="1" si="88"/>
        <v/>
      </c>
      <c r="BQ448" s="124" t="str">
        <f t="shared" ca="1" si="88"/>
        <v/>
      </c>
      <c r="BR448" s="124" t="str">
        <f t="shared" ca="1" si="89"/>
        <v/>
      </c>
      <c r="BS448" s="124" t="str">
        <f t="shared" ca="1" si="87"/>
        <v/>
      </c>
      <c r="BT448" s="124" t="str">
        <f t="shared" ca="1" si="87"/>
        <v/>
      </c>
      <c r="BU448" s="124" t="str">
        <f t="shared" ca="1" si="87"/>
        <v/>
      </c>
    </row>
    <row r="449" spans="1:73" x14ac:dyDescent="0.15">
      <c r="A449">
        <v>29</v>
      </c>
      <c r="B449" s="124" t="str">
        <f t="shared" ca="1" si="49"/>
        <v/>
      </c>
      <c r="C449" s="123" t="str">
        <f ca="1">IF(A449&lt;=①簡易状況入力!$AC$5,INDIRECT("A"&amp;VLOOKUP($A449,①簡易状況入力!$Y$5:$AB$104,4,FALSE)),"")</f>
        <v/>
      </c>
      <c r="D449" s="125" t="str">
        <f t="shared" ca="1" si="50"/>
        <v/>
      </c>
      <c r="E449" s="125" t="str">
        <f t="shared" ca="1" si="51"/>
        <v/>
      </c>
      <c r="F449" s="125" t="str">
        <f t="shared" ca="1" si="52"/>
        <v/>
      </c>
      <c r="G449" s="125" t="str">
        <f t="shared" ca="1" si="53"/>
        <v/>
      </c>
      <c r="H449" s="125" t="str">
        <f t="shared" ca="1" si="54"/>
        <v/>
      </c>
      <c r="I449" s="125" t="str">
        <f t="shared" ca="1" si="55"/>
        <v/>
      </c>
      <c r="J449" s="125" t="str">
        <f t="shared" ca="1" si="56"/>
        <v/>
      </c>
      <c r="K449" s="125" t="str">
        <f t="shared" ca="1" si="57"/>
        <v/>
      </c>
      <c r="L449" s="125" t="str">
        <f t="shared" ca="1" si="58"/>
        <v/>
      </c>
      <c r="M449" s="125" t="str">
        <f t="shared" ca="1" si="59"/>
        <v/>
      </c>
      <c r="N449" s="125" t="str">
        <f t="shared" ca="1" si="60"/>
        <v/>
      </c>
      <c r="O449" s="125" t="str">
        <f t="shared" ca="1" si="61"/>
        <v/>
      </c>
      <c r="P449" s="125" t="str">
        <f t="shared" ca="1" si="62"/>
        <v/>
      </c>
      <c r="Q449" s="125" t="str">
        <f t="shared" ca="1" si="63"/>
        <v/>
      </c>
      <c r="R449" s="125" t="str">
        <f t="shared" ca="1" si="64"/>
        <v/>
      </c>
      <c r="S449" s="125" t="str">
        <f t="shared" ca="1" si="65"/>
        <v/>
      </c>
      <c r="T449" s="125" t="str">
        <f t="shared" ca="1" si="66"/>
        <v/>
      </c>
      <c r="U449" s="125" t="str">
        <f t="shared" ca="1" si="67"/>
        <v/>
      </c>
      <c r="V449" s="125" t="str">
        <f t="shared" ca="1" si="68"/>
        <v/>
      </c>
      <c r="W449" s="125" t="str">
        <f t="shared" ca="1" si="69"/>
        <v/>
      </c>
      <c r="X449" s="125" t="str">
        <f t="shared" ca="1" si="70"/>
        <v/>
      </c>
      <c r="Y449" s="125" t="str">
        <f t="shared" ca="1" si="71"/>
        <v/>
      </c>
      <c r="Z449" s="125" t="str">
        <f t="shared" ca="1" si="72"/>
        <v/>
      </c>
      <c r="AA449" s="125" t="str">
        <f t="shared" ca="1" si="73"/>
        <v/>
      </c>
      <c r="AB449" s="125" t="str">
        <f t="shared" ca="1" si="74"/>
        <v/>
      </c>
      <c r="AC449" s="125" t="str">
        <f t="shared" ca="1" si="75"/>
        <v/>
      </c>
      <c r="AD449" s="125" t="str">
        <f t="shared" ca="1" si="76"/>
        <v/>
      </c>
      <c r="AE449" s="125" t="str">
        <f t="shared" ca="1" si="77"/>
        <v/>
      </c>
      <c r="AF449" s="125" t="str">
        <f t="shared" ca="1" si="78"/>
        <v/>
      </c>
      <c r="AG449" s="125" t="str">
        <f t="shared" ca="1" si="79"/>
        <v/>
      </c>
      <c r="AH449" s="125" t="str">
        <f t="shared" ca="1" si="80"/>
        <v/>
      </c>
      <c r="AI449" s="125" t="str">
        <f t="shared" ca="1" si="81"/>
        <v/>
      </c>
      <c r="AJ449" s="125" t="str">
        <f t="shared" ca="1" si="82"/>
        <v/>
      </c>
      <c r="AK449" s="125" t="str">
        <f t="shared" ca="1" si="83"/>
        <v/>
      </c>
      <c r="AL449" s="125" t="str">
        <f t="shared" ca="1" si="84"/>
        <v/>
      </c>
      <c r="AM449" s="124" t="str">
        <f t="shared" ca="1" si="90"/>
        <v/>
      </c>
      <c r="AN449" s="124" t="str">
        <f t="shared" ca="1" si="90"/>
        <v/>
      </c>
      <c r="AO449" s="124" t="str">
        <f t="shared" ca="1" si="90"/>
        <v/>
      </c>
      <c r="AP449" s="124" t="str">
        <f t="shared" ca="1" si="90"/>
        <v/>
      </c>
      <c r="AQ449" s="124" t="str">
        <f t="shared" ca="1" si="90"/>
        <v/>
      </c>
      <c r="AR449" s="124" t="str">
        <f t="shared" ca="1" si="90"/>
        <v/>
      </c>
      <c r="AS449" s="124" t="str">
        <f t="shared" ca="1" si="90"/>
        <v/>
      </c>
      <c r="AT449" s="124" t="str">
        <f t="shared" ca="1" si="90"/>
        <v/>
      </c>
      <c r="AU449" s="124" t="str">
        <f t="shared" ca="1" si="90"/>
        <v/>
      </c>
      <c r="AV449" s="124" t="str">
        <f t="shared" ca="1" si="90"/>
        <v/>
      </c>
      <c r="AW449" s="124" t="str">
        <f t="shared" ca="1" si="90"/>
        <v/>
      </c>
      <c r="AX449" s="124" t="str">
        <f t="shared" ca="1" si="90"/>
        <v/>
      </c>
      <c r="AY449" s="124" t="str">
        <f t="shared" ca="1" si="90"/>
        <v/>
      </c>
      <c r="AZ449" s="124" t="str">
        <f t="shared" ca="1" si="90"/>
        <v/>
      </c>
      <c r="BA449" s="124" t="str">
        <f t="shared" ca="1" si="90"/>
        <v/>
      </c>
      <c r="BB449" s="124" t="str">
        <f t="shared" ca="1" si="88"/>
        <v/>
      </c>
      <c r="BC449" s="124" t="str">
        <f t="shared" ca="1" si="88"/>
        <v/>
      </c>
      <c r="BD449" s="124" t="str">
        <f t="shared" ca="1" si="88"/>
        <v/>
      </c>
      <c r="BE449" s="124" t="str">
        <f t="shared" ca="1" si="88"/>
        <v/>
      </c>
      <c r="BF449" s="124" t="str">
        <f t="shared" ca="1" si="88"/>
        <v/>
      </c>
      <c r="BG449" s="124" t="str">
        <f t="shared" ca="1" si="88"/>
        <v/>
      </c>
      <c r="BH449" s="124" t="str">
        <f t="shared" ca="1" si="88"/>
        <v/>
      </c>
      <c r="BI449" s="124" t="str">
        <f t="shared" ca="1" si="88"/>
        <v/>
      </c>
      <c r="BJ449" s="124" t="str">
        <f t="shared" ca="1" si="88"/>
        <v/>
      </c>
      <c r="BK449" s="124" t="str">
        <f t="shared" ca="1" si="88"/>
        <v/>
      </c>
      <c r="BL449" s="124" t="str">
        <f t="shared" ca="1" si="88"/>
        <v/>
      </c>
      <c r="BM449" s="124" t="str">
        <f t="shared" ca="1" si="88"/>
        <v/>
      </c>
      <c r="BN449" s="124" t="str">
        <f t="shared" ca="1" si="88"/>
        <v/>
      </c>
      <c r="BO449" s="124" t="str">
        <f t="shared" ca="1" si="88"/>
        <v/>
      </c>
      <c r="BP449" s="124" t="str">
        <f t="shared" ca="1" si="88"/>
        <v/>
      </c>
      <c r="BQ449" s="124" t="str">
        <f t="shared" ca="1" si="88"/>
        <v/>
      </c>
      <c r="BR449" s="124" t="str">
        <f t="shared" ca="1" si="89"/>
        <v/>
      </c>
      <c r="BS449" s="124" t="str">
        <f t="shared" ca="1" si="87"/>
        <v/>
      </c>
      <c r="BT449" s="124" t="str">
        <f t="shared" ca="1" si="87"/>
        <v/>
      </c>
      <c r="BU449" s="124" t="str">
        <f t="shared" ca="1" si="87"/>
        <v/>
      </c>
    </row>
    <row r="450" spans="1:73" x14ac:dyDescent="0.15">
      <c r="A450">
        <v>30</v>
      </c>
      <c r="B450" s="124" t="str">
        <f t="shared" ca="1" si="49"/>
        <v/>
      </c>
      <c r="C450" s="123" t="str">
        <f ca="1">IF(A450&lt;=①簡易状況入力!$AC$5,INDIRECT("A"&amp;VLOOKUP($A450,①簡易状況入力!$Y$5:$AB$104,4,FALSE)),"")</f>
        <v/>
      </c>
      <c r="D450" s="125" t="str">
        <f t="shared" ca="1" si="50"/>
        <v/>
      </c>
      <c r="E450" s="125" t="str">
        <f t="shared" ca="1" si="51"/>
        <v/>
      </c>
      <c r="F450" s="125" t="str">
        <f t="shared" ca="1" si="52"/>
        <v/>
      </c>
      <c r="G450" s="125" t="str">
        <f t="shared" ca="1" si="53"/>
        <v/>
      </c>
      <c r="H450" s="125" t="str">
        <f t="shared" ca="1" si="54"/>
        <v/>
      </c>
      <c r="I450" s="125" t="str">
        <f t="shared" ca="1" si="55"/>
        <v/>
      </c>
      <c r="J450" s="125" t="str">
        <f t="shared" ca="1" si="56"/>
        <v/>
      </c>
      <c r="K450" s="125" t="str">
        <f t="shared" ca="1" si="57"/>
        <v/>
      </c>
      <c r="L450" s="125" t="str">
        <f t="shared" ca="1" si="58"/>
        <v/>
      </c>
      <c r="M450" s="125" t="str">
        <f t="shared" ca="1" si="59"/>
        <v/>
      </c>
      <c r="N450" s="125" t="str">
        <f t="shared" ca="1" si="60"/>
        <v/>
      </c>
      <c r="O450" s="125" t="str">
        <f t="shared" ca="1" si="61"/>
        <v/>
      </c>
      <c r="P450" s="125" t="str">
        <f t="shared" ca="1" si="62"/>
        <v/>
      </c>
      <c r="Q450" s="125" t="str">
        <f t="shared" ca="1" si="63"/>
        <v/>
      </c>
      <c r="R450" s="125" t="str">
        <f t="shared" ca="1" si="64"/>
        <v/>
      </c>
      <c r="S450" s="125" t="str">
        <f t="shared" ca="1" si="65"/>
        <v/>
      </c>
      <c r="T450" s="125" t="str">
        <f t="shared" ca="1" si="66"/>
        <v/>
      </c>
      <c r="U450" s="125" t="str">
        <f t="shared" ca="1" si="67"/>
        <v/>
      </c>
      <c r="V450" s="125" t="str">
        <f t="shared" ca="1" si="68"/>
        <v/>
      </c>
      <c r="W450" s="125" t="str">
        <f t="shared" ca="1" si="69"/>
        <v/>
      </c>
      <c r="X450" s="125" t="str">
        <f t="shared" ca="1" si="70"/>
        <v/>
      </c>
      <c r="Y450" s="125" t="str">
        <f t="shared" ca="1" si="71"/>
        <v/>
      </c>
      <c r="Z450" s="125" t="str">
        <f t="shared" ca="1" si="72"/>
        <v/>
      </c>
      <c r="AA450" s="125" t="str">
        <f t="shared" ca="1" si="73"/>
        <v/>
      </c>
      <c r="AB450" s="125" t="str">
        <f t="shared" ca="1" si="74"/>
        <v/>
      </c>
      <c r="AC450" s="125" t="str">
        <f t="shared" ca="1" si="75"/>
        <v/>
      </c>
      <c r="AD450" s="125" t="str">
        <f t="shared" ca="1" si="76"/>
        <v/>
      </c>
      <c r="AE450" s="125" t="str">
        <f t="shared" ca="1" si="77"/>
        <v/>
      </c>
      <c r="AF450" s="125" t="str">
        <f t="shared" ca="1" si="78"/>
        <v/>
      </c>
      <c r="AG450" s="125" t="str">
        <f t="shared" ca="1" si="79"/>
        <v/>
      </c>
      <c r="AH450" s="125" t="str">
        <f t="shared" ca="1" si="80"/>
        <v/>
      </c>
      <c r="AI450" s="125" t="str">
        <f t="shared" ca="1" si="81"/>
        <v/>
      </c>
      <c r="AJ450" s="125" t="str">
        <f t="shared" ca="1" si="82"/>
        <v/>
      </c>
      <c r="AK450" s="125" t="str">
        <f t="shared" ca="1" si="83"/>
        <v/>
      </c>
      <c r="AL450" s="125" t="str">
        <f t="shared" ca="1" si="84"/>
        <v/>
      </c>
      <c r="AM450" s="124" t="str">
        <f t="shared" ca="1" si="90"/>
        <v/>
      </c>
      <c r="AN450" s="124" t="str">
        <f t="shared" ca="1" si="90"/>
        <v/>
      </c>
      <c r="AO450" s="124" t="str">
        <f t="shared" ca="1" si="90"/>
        <v/>
      </c>
      <c r="AP450" s="124" t="str">
        <f t="shared" ca="1" si="90"/>
        <v/>
      </c>
      <c r="AQ450" s="124" t="str">
        <f t="shared" ca="1" si="90"/>
        <v/>
      </c>
      <c r="AR450" s="124" t="str">
        <f t="shared" ca="1" si="90"/>
        <v/>
      </c>
      <c r="AS450" s="124" t="str">
        <f t="shared" ca="1" si="90"/>
        <v/>
      </c>
      <c r="AT450" s="124" t="str">
        <f t="shared" ca="1" si="90"/>
        <v/>
      </c>
      <c r="AU450" s="124" t="str">
        <f t="shared" ca="1" si="90"/>
        <v/>
      </c>
      <c r="AV450" s="124" t="str">
        <f t="shared" ca="1" si="90"/>
        <v/>
      </c>
      <c r="AW450" s="124" t="str">
        <f t="shared" ca="1" si="90"/>
        <v/>
      </c>
      <c r="AX450" s="124" t="str">
        <f t="shared" ca="1" si="90"/>
        <v/>
      </c>
      <c r="AY450" s="124" t="str">
        <f t="shared" ca="1" si="90"/>
        <v/>
      </c>
      <c r="AZ450" s="124" t="str">
        <f t="shared" ca="1" si="90"/>
        <v/>
      </c>
      <c r="BA450" s="124" t="str">
        <f t="shared" ca="1" si="90"/>
        <v/>
      </c>
      <c r="BB450" s="124" t="str">
        <f t="shared" ca="1" si="88"/>
        <v/>
      </c>
      <c r="BC450" s="124" t="str">
        <f t="shared" ca="1" si="88"/>
        <v/>
      </c>
      <c r="BD450" s="124" t="str">
        <f t="shared" ca="1" si="88"/>
        <v/>
      </c>
      <c r="BE450" s="124" t="str">
        <f t="shared" ca="1" si="88"/>
        <v/>
      </c>
      <c r="BF450" s="124" t="str">
        <f t="shared" ca="1" si="88"/>
        <v/>
      </c>
      <c r="BG450" s="124" t="str">
        <f t="shared" ca="1" si="88"/>
        <v/>
      </c>
      <c r="BH450" s="124" t="str">
        <f t="shared" ca="1" si="88"/>
        <v/>
      </c>
      <c r="BI450" s="124" t="str">
        <f t="shared" ca="1" si="88"/>
        <v/>
      </c>
      <c r="BJ450" s="124" t="str">
        <f t="shared" ca="1" si="88"/>
        <v/>
      </c>
      <c r="BK450" s="124" t="str">
        <f t="shared" ca="1" si="88"/>
        <v/>
      </c>
      <c r="BL450" s="124" t="str">
        <f t="shared" ca="1" si="88"/>
        <v/>
      </c>
      <c r="BM450" s="124" t="str">
        <f t="shared" ca="1" si="88"/>
        <v/>
      </c>
      <c r="BN450" s="124" t="str">
        <f t="shared" ca="1" si="88"/>
        <v/>
      </c>
      <c r="BO450" s="124" t="str">
        <f t="shared" ca="1" si="88"/>
        <v/>
      </c>
      <c r="BP450" s="124" t="str">
        <f t="shared" ca="1" si="88"/>
        <v/>
      </c>
      <c r="BQ450" s="124" t="str">
        <f t="shared" ca="1" si="88"/>
        <v/>
      </c>
      <c r="BR450" s="124" t="str">
        <f t="shared" ca="1" si="89"/>
        <v/>
      </c>
      <c r="BS450" s="124" t="str">
        <f t="shared" ca="1" si="87"/>
        <v/>
      </c>
      <c r="BT450" s="124" t="str">
        <f t="shared" ca="1" si="87"/>
        <v/>
      </c>
      <c r="BU450" s="124" t="str">
        <f t="shared" ca="1" si="87"/>
        <v/>
      </c>
    </row>
    <row r="451" spans="1:73" x14ac:dyDescent="0.15">
      <c r="A451">
        <v>31</v>
      </c>
      <c r="B451" s="124" t="str">
        <f t="shared" ca="1" si="49"/>
        <v/>
      </c>
      <c r="C451" s="123" t="str">
        <f ca="1">IF(A451&lt;=①簡易状況入力!$AC$5,INDIRECT("A"&amp;VLOOKUP($A451,①簡易状況入力!$Y$5:$AB$104,4,FALSE)),"")</f>
        <v/>
      </c>
      <c r="D451" s="125" t="str">
        <f t="shared" ca="1" si="50"/>
        <v/>
      </c>
      <c r="E451" s="125" t="str">
        <f t="shared" ca="1" si="51"/>
        <v/>
      </c>
      <c r="F451" s="125" t="str">
        <f t="shared" ca="1" si="52"/>
        <v/>
      </c>
      <c r="G451" s="125" t="str">
        <f t="shared" ca="1" si="53"/>
        <v/>
      </c>
      <c r="H451" s="125" t="str">
        <f t="shared" ca="1" si="54"/>
        <v/>
      </c>
      <c r="I451" s="125" t="str">
        <f t="shared" ca="1" si="55"/>
        <v/>
      </c>
      <c r="J451" s="125" t="str">
        <f t="shared" ca="1" si="56"/>
        <v/>
      </c>
      <c r="K451" s="125" t="str">
        <f t="shared" ca="1" si="57"/>
        <v/>
      </c>
      <c r="L451" s="125" t="str">
        <f t="shared" ca="1" si="58"/>
        <v/>
      </c>
      <c r="M451" s="125" t="str">
        <f t="shared" ca="1" si="59"/>
        <v/>
      </c>
      <c r="N451" s="125" t="str">
        <f t="shared" ca="1" si="60"/>
        <v/>
      </c>
      <c r="O451" s="125" t="str">
        <f t="shared" ca="1" si="61"/>
        <v/>
      </c>
      <c r="P451" s="125" t="str">
        <f t="shared" ca="1" si="62"/>
        <v/>
      </c>
      <c r="Q451" s="125" t="str">
        <f t="shared" ca="1" si="63"/>
        <v/>
      </c>
      <c r="R451" s="125" t="str">
        <f t="shared" ca="1" si="64"/>
        <v/>
      </c>
      <c r="S451" s="125" t="str">
        <f t="shared" ca="1" si="65"/>
        <v/>
      </c>
      <c r="T451" s="125" t="str">
        <f t="shared" ca="1" si="66"/>
        <v/>
      </c>
      <c r="U451" s="125" t="str">
        <f t="shared" ca="1" si="67"/>
        <v/>
      </c>
      <c r="V451" s="125" t="str">
        <f t="shared" ca="1" si="68"/>
        <v/>
      </c>
      <c r="W451" s="125" t="str">
        <f t="shared" ca="1" si="69"/>
        <v/>
      </c>
      <c r="X451" s="125" t="str">
        <f t="shared" ca="1" si="70"/>
        <v/>
      </c>
      <c r="Y451" s="125" t="str">
        <f t="shared" ca="1" si="71"/>
        <v/>
      </c>
      <c r="Z451" s="125" t="str">
        <f t="shared" ca="1" si="72"/>
        <v/>
      </c>
      <c r="AA451" s="125" t="str">
        <f t="shared" ca="1" si="73"/>
        <v/>
      </c>
      <c r="AB451" s="125" t="str">
        <f t="shared" ca="1" si="74"/>
        <v/>
      </c>
      <c r="AC451" s="125" t="str">
        <f t="shared" ca="1" si="75"/>
        <v/>
      </c>
      <c r="AD451" s="125" t="str">
        <f t="shared" ca="1" si="76"/>
        <v/>
      </c>
      <c r="AE451" s="125" t="str">
        <f t="shared" ca="1" si="77"/>
        <v/>
      </c>
      <c r="AF451" s="125" t="str">
        <f t="shared" ca="1" si="78"/>
        <v/>
      </c>
      <c r="AG451" s="125" t="str">
        <f t="shared" ca="1" si="79"/>
        <v/>
      </c>
      <c r="AH451" s="125" t="str">
        <f t="shared" ca="1" si="80"/>
        <v/>
      </c>
      <c r="AI451" s="125" t="str">
        <f t="shared" ca="1" si="81"/>
        <v/>
      </c>
      <c r="AJ451" s="125" t="str">
        <f t="shared" ca="1" si="82"/>
        <v/>
      </c>
      <c r="AK451" s="125" t="str">
        <f t="shared" ca="1" si="83"/>
        <v/>
      </c>
      <c r="AL451" s="125" t="str">
        <f t="shared" ca="1" si="84"/>
        <v/>
      </c>
      <c r="AM451" s="124" t="str">
        <f t="shared" ca="1" si="90"/>
        <v/>
      </c>
      <c r="AN451" s="124" t="str">
        <f t="shared" ca="1" si="90"/>
        <v/>
      </c>
      <c r="AO451" s="124" t="str">
        <f t="shared" ca="1" si="90"/>
        <v/>
      </c>
      <c r="AP451" s="124" t="str">
        <f t="shared" ca="1" si="90"/>
        <v/>
      </c>
      <c r="AQ451" s="124" t="str">
        <f t="shared" ca="1" si="90"/>
        <v/>
      </c>
      <c r="AR451" s="124" t="str">
        <f t="shared" ca="1" si="90"/>
        <v/>
      </c>
      <c r="AS451" s="124" t="str">
        <f t="shared" ca="1" si="90"/>
        <v/>
      </c>
      <c r="AT451" s="124" t="str">
        <f t="shared" ca="1" si="90"/>
        <v/>
      </c>
      <c r="AU451" s="124" t="str">
        <f t="shared" ca="1" si="90"/>
        <v/>
      </c>
      <c r="AV451" s="124" t="str">
        <f t="shared" ca="1" si="90"/>
        <v/>
      </c>
      <c r="AW451" s="124" t="str">
        <f t="shared" ca="1" si="90"/>
        <v/>
      </c>
      <c r="AX451" s="124" t="str">
        <f t="shared" ca="1" si="90"/>
        <v/>
      </c>
      <c r="AY451" s="124" t="str">
        <f t="shared" ca="1" si="90"/>
        <v/>
      </c>
      <c r="AZ451" s="124" t="str">
        <f t="shared" ca="1" si="90"/>
        <v/>
      </c>
      <c r="BA451" s="124" t="str">
        <f t="shared" ca="1" si="90"/>
        <v/>
      </c>
      <c r="BB451" s="124" t="str">
        <f t="shared" ca="1" si="88"/>
        <v/>
      </c>
      <c r="BC451" s="124" t="str">
        <f t="shared" ca="1" si="88"/>
        <v/>
      </c>
      <c r="BD451" s="124" t="str">
        <f t="shared" ca="1" si="88"/>
        <v/>
      </c>
      <c r="BE451" s="124" t="str">
        <f t="shared" ca="1" si="88"/>
        <v/>
      </c>
      <c r="BF451" s="124" t="str">
        <f t="shared" ca="1" si="88"/>
        <v/>
      </c>
      <c r="BG451" s="124" t="str">
        <f t="shared" ca="1" si="88"/>
        <v/>
      </c>
      <c r="BH451" s="124" t="str">
        <f t="shared" ca="1" si="88"/>
        <v/>
      </c>
      <c r="BI451" s="124" t="str">
        <f t="shared" ca="1" si="88"/>
        <v/>
      </c>
      <c r="BJ451" s="124" t="str">
        <f t="shared" ca="1" si="88"/>
        <v/>
      </c>
      <c r="BK451" s="124" t="str">
        <f t="shared" ca="1" si="88"/>
        <v/>
      </c>
      <c r="BL451" s="124" t="str">
        <f t="shared" ca="1" si="88"/>
        <v/>
      </c>
      <c r="BM451" s="124" t="str">
        <f t="shared" ca="1" si="88"/>
        <v/>
      </c>
      <c r="BN451" s="124" t="str">
        <f t="shared" ca="1" si="88"/>
        <v/>
      </c>
      <c r="BO451" s="124" t="str">
        <f t="shared" ca="1" si="88"/>
        <v/>
      </c>
      <c r="BP451" s="124" t="str">
        <f t="shared" ca="1" si="88"/>
        <v/>
      </c>
      <c r="BQ451" s="124" t="str">
        <f t="shared" ca="1" si="88"/>
        <v/>
      </c>
      <c r="BR451" s="124" t="str">
        <f t="shared" ca="1" si="89"/>
        <v/>
      </c>
      <c r="BS451" s="124" t="str">
        <f t="shared" ca="1" si="87"/>
        <v/>
      </c>
      <c r="BT451" s="124" t="str">
        <f t="shared" ca="1" si="87"/>
        <v/>
      </c>
      <c r="BU451" s="124" t="str">
        <f t="shared" ca="1" si="87"/>
        <v/>
      </c>
    </row>
    <row r="452" spans="1:73" x14ac:dyDescent="0.15">
      <c r="A452">
        <v>32</v>
      </c>
      <c r="B452" s="124" t="str">
        <f t="shared" ca="1" si="49"/>
        <v/>
      </c>
      <c r="C452" s="123" t="str">
        <f ca="1">IF(A452&lt;=①簡易状況入力!$AC$5,INDIRECT("A"&amp;VLOOKUP($A452,①簡易状況入力!$Y$5:$AB$104,4,FALSE)),"")</f>
        <v/>
      </c>
      <c r="D452" s="125" t="str">
        <f t="shared" ca="1" si="50"/>
        <v/>
      </c>
      <c r="E452" s="125" t="str">
        <f t="shared" ca="1" si="51"/>
        <v/>
      </c>
      <c r="F452" s="125" t="str">
        <f t="shared" ca="1" si="52"/>
        <v/>
      </c>
      <c r="G452" s="125" t="str">
        <f t="shared" ca="1" si="53"/>
        <v/>
      </c>
      <c r="H452" s="125" t="str">
        <f t="shared" ca="1" si="54"/>
        <v/>
      </c>
      <c r="I452" s="125" t="str">
        <f t="shared" ca="1" si="55"/>
        <v/>
      </c>
      <c r="J452" s="125" t="str">
        <f t="shared" ca="1" si="56"/>
        <v/>
      </c>
      <c r="K452" s="125" t="str">
        <f t="shared" ca="1" si="57"/>
        <v/>
      </c>
      <c r="L452" s="125" t="str">
        <f t="shared" ca="1" si="58"/>
        <v/>
      </c>
      <c r="M452" s="125" t="str">
        <f t="shared" ca="1" si="59"/>
        <v/>
      </c>
      <c r="N452" s="125" t="str">
        <f t="shared" ca="1" si="60"/>
        <v/>
      </c>
      <c r="O452" s="125" t="str">
        <f t="shared" ca="1" si="61"/>
        <v/>
      </c>
      <c r="P452" s="125" t="str">
        <f t="shared" ca="1" si="62"/>
        <v/>
      </c>
      <c r="Q452" s="125" t="str">
        <f t="shared" ca="1" si="63"/>
        <v/>
      </c>
      <c r="R452" s="125" t="str">
        <f t="shared" ca="1" si="64"/>
        <v/>
      </c>
      <c r="S452" s="125" t="str">
        <f t="shared" ca="1" si="65"/>
        <v/>
      </c>
      <c r="T452" s="125" t="str">
        <f t="shared" ca="1" si="66"/>
        <v/>
      </c>
      <c r="U452" s="125" t="str">
        <f t="shared" ca="1" si="67"/>
        <v/>
      </c>
      <c r="V452" s="125" t="str">
        <f t="shared" ca="1" si="68"/>
        <v/>
      </c>
      <c r="W452" s="125" t="str">
        <f t="shared" ca="1" si="69"/>
        <v/>
      </c>
      <c r="X452" s="125" t="str">
        <f t="shared" ca="1" si="70"/>
        <v/>
      </c>
      <c r="Y452" s="125" t="str">
        <f t="shared" ca="1" si="71"/>
        <v/>
      </c>
      <c r="Z452" s="125" t="str">
        <f t="shared" ca="1" si="72"/>
        <v/>
      </c>
      <c r="AA452" s="125" t="str">
        <f t="shared" ca="1" si="73"/>
        <v/>
      </c>
      <c r="AB452" s="125" t="str">
        <f t="shared" ca="1" si="74"/>
        <v/>
      </c>
      <c r="AC452" s="125" t="str">
        <f t="shared" ca="1" si="75"/>
        <v/>
      </c>
      <c r="AD452" s="125" t="str">
        <f t="shared" ca="1" si="76"/>
        <v/>
      </c>
      <c r="AE452" s="125" t="str">
        <f t="shared" ca="1" si="77"/>
        <v/>
      </c>
      <c r="AF452" s="125" t="str">
        <f t="shared" ca="1" si="78"/>
        <v/>
      </c>
      <c r="AG452" s="125" t="str">
        <f t="shared" ca="1" si="79"/>
        <v/>
      </c>
      <c r="AH452" s="125" t="str">
        <f t="shared" ca="1" si="80"/>
        <v/>
      </c>
      <c r="AI452" s="125" t="str">
        <f t="shared" ca="1" si="81"/>
        <v/>
      </c>
      <c r="AJ452" s="125" t="str">
        <f t="shared" ca="1" si="82"/>
        <v/>
      </c>
      <c r="AK452" s="125" t="str">
        <f t="shared" ca="1" si="83"/>
        <v/>
      </c>
      <c r="AL452" s="125" t="str">
        <f t="shared" ca="1" si="84"/>
        <v/>
      </c>
      <c r="AM452" s="124" t="str">
        <f t="shared" ca="1" si="90"/>
        <v/>
      </c>
      <c r="AN452" s="124" t="str">
        <f t="shared" ca="1" si="90"/>
        <v/>
      </c>
      <c r="AO452" s="124" t="str">
        <f t="shared" ca="1" si="90"/>
        <v/>
      </c>
      <c r="AP452" s="124" t="str">
        <f t="shared" ca="1" si="90"/>
        <v/>
      </c>
      <c r="AQ452" s="124" t="str">
        <f t="shared" ca="1" si="90"/>
        <v/>
      </c>
      <c r="AR452" s="124" t="str">
        <f t="shared" ca="1" si="90"/>
        <v/>
      </c>
      <c r="AS452" s="124" t="str">
        <f t="shared" ca="1" si="90"/>
        <v/>
      </c>
      <c r="AT452" s="124" t="str">
        <f t="shared" ca="1" si="90"/>
        <v/>
      </c>
      <c r="AU452" s="124" t="str">
        <f t="shared" ca="1" si="90"/>
        <v/>
      </c>
      <c r="AV452" s="124" t="str">
        <f t="shared" ca="1" si="90"/>
        <v/>
      </c>
      <c r="AW452" s="124" t="str">
        <f t="shared" ca="1" si="90"/>
        <v/>
      </c>
      <c r="AX452" s="124" t="str">
        <f t="shared" ca="1" si="90"/>
        <v/>
      </c>
      <c r="AY452" s="124" t="str">
        <f t="shared" ca="1" si="90"/>
        <v/>
      </c>
      <c r="AZ452" s="124" t="str">
        <f t="shared" ca="1" si="90"/>
        <v/>
      </c>
      <c r="BA452" s="124" t="str">
        <f t="shared" ca="1" si="90"/>
        <v/>
      </c>
      <c r="BB452" s="124" t="str">
        <f t="shared" ca="1" si="88"/>
        <v/>
      </c>
      <c r="BC452" s="124" t="str">
        <f t="shared" ca="1" si="88"/>
        <v/>
      </c>
      <c r="BD452" s="124" t="str">
        <f t="shared" ca="1" si="88"/>
        <v/>
      </c>
      <c r="BE452" s="124" t="str">
        <f t="shared" ca="1" si="88"/>
        <v/>
      </c>
      <c r="BF452" s="124" t="str">
        <f t="shared" ca="1" si="88"/>
        <v/>
      </c>
      <c r="BG452" s="124" t="str">
        <f t="shared" ca="1" si="88"/>
        <v/>
      </c>
      <c r="BH452" s="124" t="str">
        <f t="shared" ca="1" si="88"/>
        <v/>
      </c>
      <c r="BI452" s="124" t="str">
        <f t="shared" ca="1" si="88"/>
        <v/>
      </c>
      <c r="BJ452" s="124" t="str">
        <f t="shared" ca="1" si="88"/>
        <v/>
      </c>
      <c r="BK452" s="124" t="str">
        <f t="shared" ca="1" si="88"/>
        <v/>
      </c>
      <c r="BL452" s="124" t="str">
        <f t="shared" ca="1" si="88"/>
        <v/>
      </c>
      <c r="BM452" s="124" t="str">
        <f t="shared" ca="1" si="88"/>
        <v/>
      </c>
      <c r="BN452" s="124" t="str">
        <f t="shared" ca="1" si="88"/>
        <v/>
      </c>
      <c r="BO452" s="124" t="str">
        <f t="shared" ca="1" si="88"/>
        <v/>
      </c>
      <c r="BP452" s="124" t="str">
        <f t="shared" ca="1" si="88"/>
        <v/>
      </c>
      <c r="BQ452" s="124" t="str">
        <f t="shared" ca="1" si="88"/>
        <v/>
      </c>
      <c r="BR452" s="124" t="str">
        <f t="shared" ca="1" si="89"/>
        <v/>
      </c>
      <c r="BS452" s="124" t="str">
        <f t="shared" ca="1" si="87"/>
        <v/>
      </c>
      <c r="BT452" s="124" t="str">
        <f t="shared" ca="1" si="87"/>
        <v/>
      </c>
      <c r="BU452" s="124" t="str">
        <f t="shared" ca="1" si="87"/>
        <v/>
      </c>
    </row>
    <row r="453" spans="1:73" x14ac:dyDescent="0.15">
      <c r="A453">
        <v>33</v>
      </c>
      <c r="B453" s="124" t="str">
        <f t="shared" ca="1" si="49"/>
        <v/>
      </c>
      <c r="C453" s="123" t="str">
        <f ca="1">IF(A453&lt;=①簡易状況入力!$AC$5,INDIRECT("A"&amp;VLOOKUP($A453,①簡易状況入力!$Y$5:$AB$104,4,FALSE)),"")</f>
        <v/>
      </c>
      <c r="D453" s="125" t="str">
        <f t="shared" ca="1" si="50"/>
        <v/>
      </c>
      <c r="E453" s="125" t="str">
        <f t="shared" ca="1" si="51"/>
        <v/>
      </c>
      <c r="F453" s="125" t="str">
        <f t="shared" ca="1" si="52"/>
        <v/>
      </c>
      <c r="G453" s="125" t="str">
        <f t="shared" ca="1" si="53"/>
        <v/>
      </c>
      <c r="H453" s="125" t="str">
        <f t="shared" ca="1" si="54"/>
        <v/>
      </c>
      <c r="I453" s="125" t="str">
        <f t="shared" ca="1" si="55"/>
        <v/>
      </c>
      <c r="J453" s="125" t="str">
        <f t="shared" ca="1" si="56"/>
        <v/>
      </c>
      <c r="K453" s="125" t="str">
        <f t="shared" ca="1" si="57"/>
        <v/>
      </c>
      <c r="L453" s="125" t="str">
        <f t="shared" ca="1" si="58"/>
        <v/>
      </c>
      <c r="M453" s="125" t="str">
        <f t="shared" ca="1" si="59"/>
        <v/>
      </c>
      <c r="N453" s="125" t="str">
        <f t="shared" ca="1" si="60"/>
        <v/>
      </c>
      <c r="O453" s="125" t="str">
        <f t="shared" ca="1" si="61"/>
        <v/>
      </c>
      <c r="P453" s="125" t="str">
        <f t="shared" ca="1" si="62"/>
        <v/>
      </c>
      <c r="Q453" s="125" t="str">
        <f t="shared" ca="1" si="63"/>
        <v/>
      </c>
      <c r="R453" s="125" t="str">
        <f t="shared" ca="1" si="64"/>
        <v/>
      </c>
      <c r="S453" s="125" t="str">
        <f t="shared" ca="1" si="65"/>
        <v/>
      </c>
      <c r="T453" s="125" t="str">
        <f t="shared" ca="1" si="66"/>
        <v/>
      </c>
      <c r="U453" s="125" t="str">
        <f t="shared" ca="1" si="67"/>
        <v/>
      </c>
      <c r="V453" s="125" t="str">
        <f t="shared" ca="1" si="68"/>
        <v/>
      </c>
      <c r="W453" s="125" t="str">
        <f t="shared" ca="1" si="69"/>
        <v/>
      </c>
      <c r="X453" s="125" t="str">
        <f t="shared" ca="1" si="70"/>
        <v/>
      </c>
      <c r="Y453" s="125" t="str">
        <f t="shared" ca="1" si="71"/>
        <v/>
      </c>
      <c r="Z453" s="125" t="str">
        <f t="shared" ca="1" si="72"/>
        <v/>
      </c>
      <c r="AA453" s="125" t="str">
        <f t="shared" ca="1" si="73"/>
        <v/>
      </c>
      <c r="AB453" s="125" t="str">
        <f t="shared" ca="1" si="74"/>
        <v/>
      </c>
      <c r="AC453" s="125" t="str">
        <f t="shared" ca="1" si="75"/>
        <v/>
      </c>
      <c r="AD453" s="125" t="str">
        <f t="shared" ca="1" si="76"/>
        <v/>
      </c>
      <c r="AE453" s="125" t="str">
        <f t="shared" ca="1" si="77"/>
        <v/>
      </c>
      <c r="AF453" s="125" t="str">
        <f t="shared" ca="1" si="78"/>
        <v/>
      </c>
      <c r="AG453" s="125" t="str">
        <f t="shared" ca="1" si="79"/>
        <v/>
      </c>
      <c r="AH453" s="125" t="str">
        <f t="shared" ca="1" si="80"/>
        <v/>
      </c>
      <c r="AI453" s="125" t="str">
        <f t="shared" ca="1" si="81"/>
        <v/>
      </c>
      <c r="AJ453" s="125" t="str">
        <f t="shared" ca="1" si="82"/>
        <v/>
      </c>
      <c r="AK453" s="125" t="str">
        <f t="shared" ca="1" si="83"/>
        <v/>
      </c>
      <c r="AL453" s="125" t="str">
        <f t="shared" ca="1" si="84"/>
        <v/>
      </c>
      <c r="AM453" s="124" t="str">
        <f t="shared" ca="1" si="90"/>
        <v/>
      </c>
      <c r="AN453" s="124" t="str">
        <f t="shared" ca="1" si="90"/>
        <v/>
      </c>
      <c r="AO453" s="124" t="str">
        <f t="shared" ca="1" si="90"/>
        <v/>
      </c>
      <c r="AP453" s="124" t="str">
        <f t="shared" ca="1" si="90"/>
        <v/>
      </c>
      <c r="AQ453" s="124" t="str">
        <f t="shared" ca="1" si="90"/>
        <v/>
      </c>
      <c r="AR453" s="124" t="str">
        <f t="shared" ca="1" si="90"/>
        <v/>
      </c>
      <c r="AS453" s="124" t="str">
        <f t="shared" ca="1" si="90"/>
        <v/>
      </c>
      <c r="AT453" s="124" t="str">
        <f t="shared" ca="1" si="90"/>
        <v/>
      </c>
      <c r="AU453" s="124" t="str">
        <f t="shared" ca="1" si="90"/>
        <v/>
      </c>
      <c r="AV453" s="124" t="str">
        <f t="shared" ca="1" si="90"/>
        <v/>
      </c>
      <c r="AW453" s="124" t="str">
        <f t="shared" ca="1" si="90"/>
        <v/>
      </c>
      <c r="AX453" s="124" t="str">
        <f t="shared" ca="1" si="90"/>
        <v/>
      </c>
      <c r="AY453" s="124" t="str">
        <f t="shared" ca="1" si="90"/>
        <v/>
      </c>
      <c r="AZ453" s="124" t="str">
        <f t="shared" ca="1" si="90"/>
        <v/>
      </c>
      <c r="BA453" s="124" t="str">
        <f t="shared" ca="1" si="90"/>
        <v/>
      </c>
      <c r="BB453" s="124" t="str">
        <f t="shared" ca="1" si="88"/>
        <v/>
      </c>
      <c r="BC453" s="124" t="str">
        <f t="shared" ca="1" si="88"/>
        <v/>
      </c>
      <c r="BD453" s="124" t="str">
        <f t="shared" ca="1" si="88"/>
        <v/>
      </c>
      <c r="BE453" s="124" t="str">
        <f t="shared" ca="1" si="88"/>
        <v/>
      </c>
      <c r="BF453" s="124" t="str">
        <f t="shared" ca="1" si="88"/>
        <v/>
      </c>
      <c r="BG453" s="124" t="str">
        <f t="shared" ca="1" si="88"/>
        <v/>
      </c>
      <c r="BH453" s="124" t="str">
        <f t="shared" ca="1" si="88"/>
        <v/>
      </c>
      <c r="BI453" s="124" t="str">
        <f t="shared" ca="1" si="88"/>
        <v/>
      </c>
      <c r="BJ453" s="124" t="str">
        <f t="shared" ca="1" si="88"/>
        <v/>
      </c>
      <c r="BK453" s="124" t="str">
        <f t="shared" ca="1" si="88"/>
        <v/>
      </c>
      <c r="BL453" s="124" t="str">
        <f t="shared" ca="1" si="88"/>
        <v/>
      </c>
      <c r="BM453" s="124" t="str">
        <f t="shared" ca="1" si="88"/>
        <v/>
      </c>
      <c r="BN453" s="124" t="str">
        <f t="shared" ca="1" si="88"/>
        <v/>
      </c>
      <c r="BO453" s="124" t="str">
        <f t="shared" ca="1" si="88"/>
        <v/>
      </c>
      <c r="BP453" s="124" t="str">
        <f t="shared" ref="BP453:BU484" ca="1" si="91">IF($C453&lt;&gt;"",SUMIFS(BP$4:BP$413,$A$4:$A$413,$C453,$B$4:$B$413,"合計"),"")</f>
        <v/>
      </c>
      <c r="BQ453" s="124" t="str">
        <f t="shared" ca="1" si="91"/>
        <v/>
      </c>
      <c r="BR453" s="124" t="str">
        <f t="shared" ca="1" si="89"/>
        <v/>
      </c>
      <c r="BS453" s="124" t="str">
        <f t="shared" ca="1" si="87"/>
        <v/>
      </c>
      <c r="BT453" s="124" t="str">
        <f t="shared" ca="1" si="87"/>
        <v/>
      </c>
      <c r="BU453" s="124" t="str">
        <f t="shared" ca="1" si="87"/>
        <v/>
      </c>
    </row>
    <row r="454" spans="1:73" x14ac:dyDescent="0.15">
      <c r="A454">
        <v>34</v>
      </c>
      <c r="B454" s="124" t="str">
        <f t="shared" ca="1" si="49"/>
        <v/>
      </c>
      <c r="C454" s="123" t="str">
        <f ca="1">IF(A454&lt;=①簡易状況入力!$AC$5,INDIRECT("A"&amp;VLOOKUP($A454,①簡易状況入力!$Y$5:$AB$104,4,FALSE)),"")</f>
        <v/>
      </c>
      <c r="D454" s="125" t="str">
        <f t="shared" ca="1" si="50"/>
        <v/>
      </c>
      <c r="E454" s="125" t="str">
        <f t="shared" ca="1" si="51"/>
        <v/>
      </c>
      <c r="F454" s="125" t="str">
        <f t="shared" ca="1" si="52"/>
        <v/>
      </c>
      <c r="G454" s="125" t="str">
        <f t="shared" ca="1" si="53"/>
        <v/>
      </c>
      <c r="H454" s="125" t="str">
        <f t="shared" ca="1" si="54"/>
        <v/>
      </c>
      <c r="I454" s="125" t="str">
        <f t="shared" ca="1" si="55"/>
        <v/>
      </c>
      <c r="J454" s="125" t="str">
        <f t="shared" ca="1" si="56"/>
        <v/>
      </c>
      <c r="K454" s="125" t="str">
        <f t="shared" ca="1" si="57"/>
        <v/>
      </c>
      <c r="L454" s="125" t="str">
        <f t="shared" ca="1" si="58"/>
        <v/>
      </c>
      <c r="M454" s="125" t="str">
        <f t="shared" ca="1" si="59"/>
        <v/>
      </c>
      <c r="N454" s="125" t="str">
        <f t="shared" ca="1" si="60"/>
        <v/>
      </c>
      <c r="O454" s="125" t="str">
        <f t="shared" ca="1" si="61"/>
        <v/>
      </c>
      <c r="P454" s="125" t="str">
        <f t="shared" ca="1" si="62"/>
        <v/>
      </c>
      <c r="Q454" s="125" t="str">
        <f t="shared" ca="1" si="63"/>
        <v/>
      </c>
      <c r="R454" s="125" t="str">
        <f t="shared" ca="1" si="64"/>
        <v/>
      </c>
      <c r="S454" s="125" t="str">
        <f t="shared" ca="1" si="65"/>
        <v/>
      </c>
      <c r="T454" s="125" t="str">
        <f t="shared" ca="1" si="66"/>
        <v/>
      </c>
      <c r="U454" s="125" t="str">
        <f t="shared" ca="1" si="67"/>
        <v/>
      </c>
      <c r="V454" s="125" t="str">
        <f t="shared" ca="1" si="68"/>
        <v/>
      </c>
      <c r="W454" s="125" t="str">
        <f t="shared" ca="1" si="69"/>
        <v/>
      </c>
      <c r="X454" s="125" t="str">
        <f t="shared" ca="1" si="70"/>
        <v/>
      </c>
      <c r="Y454" s="125" t="str">
        <f t="shared" ca="1" si="71"/>
        <v/>
      </c>
      <c r="Z454" s="125" t="str">
        <f t="shared" ca="1" si="72"/>
        <v/>
      </c>
      <c r="AA454" s="125" t="str">
        <f t="shared" ca="1" si="73"/>
        <v/>
      </c>
      <c r="AB454" s="125" t="str">
        <f t="shared" ca="1" si="74"/>
        <v/>
      </c>
      <c r="AC454" s="125" t="str">
        <f t="shared" ca="1" si="75"/>
        <v/>
      </c>
      <c r="AD454" s="125" t="str">
        <f t="shared" ca="1" si="76"/>
        <v/>
      </c>
      <c r="AE454" s="125" t="str">
        <f t="shared" ca="1" si="77"/>
        <v/>
      </c>
      <c r="AF454" s="125" t="str">
        <f t="shared" ca="1" si="78"/>
        <v/>
      </c>
      <c r="AG454" s="125" t="str">
        <f t="shared" ca="1" si="79"/>
        <v/>
      </c>
      <c r="AH454" s="125" t="str">
        <f t="shared" ca="1" si="80"/>
        <v/>
      </c>
      <c r="AI454" s="125" t="str">
        <f t="shared" ca="1" si="81"/>
        <v/>
      </c>
      <c r="AJ454" s="125" t="str">
        <f t="shared" ca="1" si="82"/>
        <v/>
      </c>
      <c r="AK454" s="125" t="str">
        <f t="shared" ca="1" si="83"/>
        <v/>
      </c>
      <c r="AL454" s="125" t="str">
        <f t="shared" ca="1" si="84"/>
        <v/>
      </c>
      <c r="AM454" s="124" t="str">
        <f t="shared" ca="1" si="90"/>
        <v/>
      </c>
      <c r="AN454" s="124" t="str">
        <f t="shared" ca="1" si="90"/>
        <v/>
      </c>
      <c r="AO454" s="124" t="str">
        <f t="shared" ca="1" si="90"/>
        <v/>
      </c>
      <c r="AP454" s="124" t="str">
        <f t="shared" ca="1" si="90"/>
        <v/>
      </c>
      <c r="AQ454" s="124" t="str">
        <f t="shared" ca="1" si="90"/>
        <v/>
      </c>
      <c r="AR454" s="124" t="str">
        <f t="shared" ca="1" si="90"/>
        <v/>
      </c>
      <c r="AS454" s="124" t="str">
        <f t="shared" ca="1" si="90"/>
        <v/>
      </c>
      <c r="AT454" s="124" t="str">
        <f t="shared" ca="1" si="90"/>
        <v/>
      </c>
      <c r="AU454" s="124" t="str">
        <f t="shared" ca="1" si="90"/>
        <v/>
      </c>
      <c r="AV454" s="124" t="str">
        <f t="shared" ca="1" si="90"/>
        <v/>
      </c>
      <c r="AW454" s="124" t="str">
        <f t="shared" ca="1" si="90"/>
        <v/>
      </c>
      <c r="AX454" s="124" t="str">
        <f t="shared" ca="1" si="90"/>
        <v/>
      </c>
      <c r="AY454" s="124" t="str">
        <f t="shared" ca="1" si="90"/>
        <v/>
      </c>
      <c r="AZ454" s="124" t="str">
        <f t="shared" ca="1" si="90"/>
        <v/>
      </c>
      <c r="BA454" s="124" t="str">
        <f t="shared" ca="1" si="90"/>
        <v/>
      </c>
      <c r="BB454" s="124" t="str">
        <f t="shared" ref="BB454:BO472" ca="1" si="92">IF($C454&lt;&gt;"",SUMIFS(BB$4:BB$413,$A$4:$A$413,$C454,$B$4:$B$413,"合計"),"")</f>
        <v/>
      </c>
      <c r="BC454" s="124" t="str">
        <f t="shared" ca="1" si="92"/>
        <v/>
      </c>
      <c r="BD454" s="124" t="str">
        <f t="shared" ca="1" si="92"/>
        <v/>
      </c>
      <c r="BE454" s="124" t="str">
        <f t="shared" ca="1" si="92"/>
        <v/>
      </c>
      <c r="BF454" s="124" t="str">
        <f t="shared" ca="1" si="92"/>
        <v/>
      </c>
      <c r="BG454" s="124" t="str">
        <f t="shared" ca="1" si="92"/>
        <v/>
      </c>
      <c r="BH454" s="124" t="str">
        <f t="shared" ca="1" si="92"/>
        <v/>
      </c>
      <c r="BI454" s="124" t="str">
        <f t="shared" ca="1" si="92"/>
        <v/>
      </c>
      <c r="BJ454" s="124" t="str">
        <f t="shared" ca="1" si="92"/>
        <v/>
      </c>
      <c r="BK454" s="124" t="str">
        <f t="shared" ca="1" si="92"/>
        <v/>
      </c>
      <c r="BL454" s="124" t="str">
        <f t="shared" ca="1" si="92"/>
        <v/>
      </c>
      <c r="BM454" s="124" t="str">
        <f t="shared" ca="1" si="92"/>
        <v/>
      </c>
      <c r="BN454" s="124" t="str">
        <f t="shared" ca="1" si="92"/>
        <v/>
      </c>
      <c r="BO454" s="124" t="str">
        <f t="shared" ca="1" si="92"/>
        <v/>
      </c>
      <c r="BP454" s="124" t="str">
        <f t="shared" ca="1" si="91"/>
        <v/>
      </c>
      <c r="BQ454" s="124" t="str">
        <f t="shared" ca="1" si="91"/>
        <v/>
      </c>
      <c r="BR454" s="124" t="str">
        <f t="shared" ca="1" si="89"/>
        <v/>
      </c>
      <c r="BS454" s="124" t="str">
        <f t="shared" ca="1" si="89"/>
        <v/>
      </c>
      <c r="BT454" s="124" t="str">
        <f t="shared" ca="1" si="89"/>
        <v/>
      </c>
      <c r="BU454" s="124" t="str">
        <f t="shared" ca="1" si="89"/>
        <v/>
      </c>
    </row>
    <row r="455" spans="1:73" x14ac:dyDescent="0.15">
      <c r="A455">
        <v>35</v>
      </c>
      <c r="B455" s="124" t="str">
        <f t="shared" ca="1" si="49"/>
        <v/>
      </c>
      <c r="C455" s="123" t="str">
        <f ca="1">IF(A455&lt;=①簡易状況入力!$AC$5,INDIRECT("A"&amp;VLOOKUP($A455,①簡易状況入力!$Y$5:$AB$104,4,FALSE)),"")</f>
        <v/>
      </c>
      <c r="D455" s="125" t="str">
        <f t="shared" ca="1" si="50"/>
        <v/>
      </c>
      <c r="E455" s="125" t="str">
        <f t="shared" ca="1" si="51"/>
        <v/>
      </c>
      <c r="F455" s="125" t="str">
        <f t="shared" ca="1" si="52"/>
        <v/>
      </c>
      <c r="G455" s="125" t="str">
        <f t="shared" ca="1" si="53"/>
        <v/>
      </c>
      <c r="H455" s="125" t="str">
        <f t="shared" ca="1" si="54"/>
        <v/>
      </c>
      <c r="I455" s="125" t="str">
        <f t="shared" ca="1" si="55"/>
        <v/>
      </c>
      <c r="J455" s="125" t="str">
        <f t="shared" ca="1" si="56"/>
        <v/>
      </c>
      <c r="K455" s="125" t="str">
        <f t="shared" ca="1" si="57"/>
        <v/>
      </c>
      <c r="L455" s="125" t="str">
        <f t="shared" ca="1" si="58"/>
        <v/>
      </c>
      <c r="M455" s="125" t="str">
        <f t="shared" ca="1" si="59"/>
        <v/>
      </c>
      <c r="N455" s="125" t="str">
        <f t="shared" ca="1" si="60"/>
        <v/>
      </c>
      <c r="O455" s="125" t="str">
        <f t="shared" ca="1" si="61"/>
        <v/>
      </c>
      <c r="P455" s="125" t="str">
        <f t="shared" ca="1" si="62"/>
        <v/>
      </c>
      <c r="Q455" s="125" t="str">
        <f t="shared" ca="1" si="63"/>
        <v/>
      </c>
      <c r="R455" s="125" t="str">
        <f t="shared" ca="1" si="64"/>
        <v/>
      </c>
      <c r="S455" s="125" t="str">
        <f t="shared" ca="1" si="65"/>
        <v/>
      </c>
      <c r="T455" s="125" t="str">
        <f t="shared" ca="1" si="66"/>
        <v/>
      </c>
      <c r="U455" s="125" t="str">
        <f t="shared" ca="1" si="67"/>
        <v/>
      </c>
      <c r="V455" s="125" t="str">
        <f t="shared" ca="1" si="68"/>
        <v/>
      </c>
      <c r="W455" s="125" t="str">
        <f t="shared" ca="1" si="69"/>
        <v/>
      </c>
      <c r="X455" s="125" t="str">
        <f t="shared" ca="1" si="70"/>
        <v/>
      </c>
      <c r="Y455" s="125" t="str">
        <f t="shared" ca="1" si="71"/>
        <v/>
      </c>
      <c r="Z455" s="125" t="str">
        <f t="shared" ca="1" si="72"/>
        <v/>
      </c>
      <c r="AA455" s="125" t="str">
        <f t="shared" ca="1" si="73"/>
        <v/>
      </c>
      <c r="AB455" s="125" t="str">
        <f t="shared" ca="1" si="74"/>
        <v/>
      </c>
      <c r="AC455" s="125" t="str">
        <f t="shared" ca="1" si="75"/>
        <v/>
      </c>
      <c r="AD455" s="125" t="str">
        <f t="shared" ca="1" si="76"/>
        <v/>
      </c>
      <c r="AE455" s="125" t="str">
        <f t="shared" ca="1" si="77"/>
        <v/>
      </c>
      <c r="AF455" s="125" t="str">
        <f t="shared" ca="1" si="78"/>
        <v/>
      </c>
      <c r="AG455" s="125" t="str">
        <f t="shared" ca="1" si="79"/>
        <v/>
      </c>
      <c r="AH455" s="125" t="str">
        <f t="shared" ca="1" si="80"/>
        <v/>
      </c>
      <c r="AI455" s="125" t="str">
        <f t="shared" ca="1" si="81"/>
        <v/>
      </c>
      <c r="AJ455" s="125" t="str">
        <f t="shared" ca="1" si="82"/>
        <v/>
      </c>
      <c r="AK455" s="125" t="str">
        <f t="shared" ca="1" si="83"/>
        <v/>
      </c>
      <c r="AL455" s="125" t="str">
        <f t="shared" ca="1" si="84"/>
        <v/>
      </c>
      <c r="AM455" s="124" t="str">
        <f t="shared" ref="AM455:BA471" ca="1" si="93">IF($C455&lt;&gt;"",SUMIFS(AM$4:AM$413,$A$4:$A$413,$C455,$B$4:$B$413,"合計"),"")</f>
        <v/>
      </c>
      <c r="AN455" s="124" t="str">
        <f t="shared" ca="1" si="93"/>
        <v/>
      </c>
      <c r="AO455" s="124" t="str">
        <f t="shared" ca="1" si="93"/>
        <v/>
      </c>
      <c r="AP455" s="124" t="str">
        <f t="shared" ca="1" si="93"/>
        <v/>
      </c>
      <c r="AQ455" s="124" t="str">
        <f t="shared" ca="1" si="93"/>
        <v/>
      </c>
      <c r="AR455" s="124" t="str">
        <f t="shared" ca="1" si="93"/>
        <v/>
      </c>
      <c r="AS455" s="124" t="str">
        <f t="shared" ca="1" si="93"/>
        <v/>
      </c>
      <c r="AT455" s="124" t="str">
        <f t="shared" ca="1" si="93"/>
        <v/>
      </c>
      <c r="AU455" s="124" t="str">
        <f t="shared" ca="1" si="93"/>
        <v/>
      </c>
      <c r="AV455" s="124" t="str">
        <f t="shared" ca="1" si="93"/>
        <v/>
      </c>
      <c r="AW455" s="124" t="str">
        <f t="shared" ca="1" si="93"/>
        <v/>
      </c>
      <c r="AX455" s="124" t="str">
        <f t="shared" ca="1" si="93"/>
        <v/>
      </c>
      <c r="AY455" s="124" t="str">
        <f t="shared" ca="1" si="93"/>
        <v/>
      </c>
      <c r="AZ455" s="124" t="str">
        <f t="shared" ca="1" si="93"/>
        <v/>
      </c>
      <c r="BA455" s="124" t="str">
        <f t="shared" ca="1" si="93"/>
        <v/>
      </c>
      <c r="BB455" s="124" t="str">
        <f t="shared" ca="1" si="92"/>
        <v/>
      </c>
      <c r="BC455" s="124" t="str">
        <f t="shared" ca="1" si="92"/>
        <v/>
      </c>
      <c r="BD455" s="124" t="str">
        <f t="shared" ca="1" si="92"/>
        <v/>
      </c>
      <c r="BE455" s="124" t="str">
        <f t="shared" ca="1" si="92"/>
        <v/>
      </c>
      <c r="BF455" s="124" t="str">
        <f t="shared" ca="1" si="92"/>
        <v/>
      </c>
      <c r="BG455" s="124" t="str">
        <f t="shared" ca="1" si="92"/>
        <v/>
      </c>
      <c r="BH455" s="124" t="str">
        <f t="shared" ca="1" si="92"/>
        <v/>
      </c>
      <c r="BI455" s="124" t="str">
        <f t="shared" ca="1" si="92"/>
        <v/>
      </c>
      <c r="BJ455" s="124" t="str">
        <f t="shared" ca="1" si="92"/>
        <v/>
      </c>
      <c r="BK455" s="124" t="str">
        <f t="shared" ca="1" si="92"/>
        <v/>
      </c>
      <c r="BL455" s="124" t="str">
        <f t="shared" ca="1" si="92"/>
        <v/>
      </c>
      <c r="BM455" s="124" t="str">
        <f t="shared" ca="1" si="92"/>
        <v/>
      </c>
      <c r="BN455" s="124" t="str">
        <f t="shared" ca="1" si="92"/>
        <v/>
      </c>
      <c r="BO455" s="124" t="str">
        <f t="shared" ca="1" si="92"/>
        <v/>
      </c>
      <c r="BP455" s="124" t="str">
        <f t="shared" ca="1" si="91"/>
        <v/>
      </c>
      <c r="BQ455" s="124" t="str">
        <f t="shared" ca="1" si="91"/>
        <v/>
      </c>
      <c r="BR455" s="124" t="str">
        <f t="shared" ca="1" si="89"/>
        <v/>
      </c>
      <c r="BS455" s="124" t="str">
        <f t="shared" ca="1" si="89"/>
        <v/>
      </c>
      <c r="BT455" s="124" t="str">
        <f t="shared" ca="1" si="89"/>
        <v/>
      </c>
      <c r="BU455" s="124" t="str">
        <f t="shared" ca="1" si="89"/>
        <v/>
      </c>
    </row>
    <row r="456" spans="1:73" x14ac:dyDescent="0.15">
      <c r="A456">
        <v>36</v>
      </c>
      <c r="B456" s="124" t="str">
        <f t="shared" ca="1" si="49"/>
        <v/>
      </c>
      <c r="C456" s="123" t="str">
        <f ca="1">IF(A456&lt;=①簡易状況入力!$AC$5,INDIRECT("A"&amp;VLOOKUP($A456,①簡易状況入力!$Y$5:$AB$104,4,FALSE)),"")</f>
        <v/>
      </c>
      <c r="D456" s="125" t="str">
        <f t="shared" ca="1" si="50"/>
        <v/>
      </c>
      <c r="E456" s="125" t="str">
        <f t="shared" ca="1" si="51"/>
        <v/>
      </c>
      <c r="F456" s="125" t="str">
        <f t="shared" ca="1" si="52"/>
        <v/>
      </c>
      <c r="G456" s="125" t="str">
        <f t="shared" ca="1" si="53"/>
        <v/>
      </c>
      <c r="H456" s="125" t="str">
        <f t="shared" ca="1" si="54"/>
        <v/>
      </c>
      <c r="I456" s="125" t="str">
        <f t="shared" ca="1" si="55"/>
        <v/>
      </c>
      <c r="J456" s="125" t="str">
        <f t="shared" ca="1" si="56"/>
        <v/>
      </c>
      <c r="K456" s="125" t="str">
        <f t="shared" ca="1" si="57"/>
        <v/>
      </c>
      <c r="L456" s="125" t="str">
        <f t="shared" ca="1" si="58"/>
        <v/>
      </c>
      <c r="M456" s="125" t="str">
        <f t="shared" ca="1" si="59"/>
        <v/>
      </c>
      <c r="N456" s="125" t="str">
        <f t="shared" ca="1" si="60"/>
        <v/>
      </c>
      <c r="O456" s="125" t="str">
        <f t="shared" ca="1" si="61"/>
        <v/>
      </c>
      <c r="P456" s="125" t="str">
        <f t="shared" ca="1" si="62"/>
        <v/>
      </c>
      <c r="Q456" s="125" t="str">
        <f t="shared" ca="1" si="63"/>
        <v/>
      </c>
      <c r="R456" s="125" t="str">
        <f t="shared" ca="1" si="64"/>
        <v/>
      </c>
      <c r="S456" s="125" t="str">
        <f t="shared" ca="1" si="65"/>
        <v/>
      </c>
      <c r="T456" s="125" t="str">
        <f t="shared" ca="1" si="66"/>
        <v/>
      </c>
      <c r="U456" s="125" t="str">
        <f t="shared" ca="1" si="67"/>
        <v/>
      </c>
      <c r="V456" s="125" t="str">
        <f t="shared" ca="1" si="68"/>
        <v/>
      </c>
      <c r="W456" s="125" t="str">
        <f t="shared" ca="1" si="69"/>
        <v/>
      </c>
      <c r="X456" s="125" t="str">
        <f t="shared" ca="1" si="70"/>
        <v/>
      </c>
      <c r="Y456" s="125" t="str">
        <f t="shared" ca="1" si="71"/>
        <v/>
      </c>
      <c r="Z456" s="125" t="str">
        <f t="shared" ca="1" si="72"/>
        <v/>
      </c>
      <c r="AA456" s="125" t="str">
        <f t="shared" ca="1" si="73"/>
        <v/>
      </c>
      <c r="AB456" s="125" t="str">
        <f t="shared" ca="1" si="74"/>
        <v/>
      </c>
      <c r="AC456" s="125" t="str">
        <f t="shared" ca="1" si="75"/>
        <v/>
      </c>
      <c r="AD456" s="125" t="str">
        <f t="shared" ca="1" si="76"/>
        <v/>
      </c>
      <c r="AE456" s="125" t="str">
        <f t="shared" ca="1" si="77"/>
        <v/>
      </c>
      <c r="AF456" s="125" t="str">
        <f t="shared" ca="1" si="78"/>
        <v/>
      </c>
      <c r="AG456" s="125" t="str">
        <f t="shared" ca="1" si="79"/>
        <v/>
      </c>
      <c r="AH456" s="125" t="str">
        <f t="shared" ca="1" si="80"/>
        <v/>
      </c>
      <c r="AI456" s="125" t="str">
        <f t="shared" ca="1" si="81"/>
        <v/>
      </c>
      <c r="AJ456" s="125" t="str">
        <f t="shared" ca="1" si="82"/>
        <v/>
      </c>
      <c r="AK456" s="125" t="str">
        <f t="shared" ca="1" si="83"/>
        <v/>
      </c>
      <c r="AL456" s="125" t="str">
        <f t="shared" ca="1" si="84"/>
        <v/>
      </c>
      <c r="AM456" s="124" t="str">
        <f t="shared" ca="1" si="93"/>
        <v/>
      </c>
      <c r="AN456" s="124" t="str">
        <f t="shared" ca="1" si="93"/>
        <v/>
      </c>
      <c r="AO456" s="124" t="str">
        <f t="shared" ca="1" si="93"/>
        <v/>
      </c>
      <c r="AP456" s="124" t="str">
        <f t="shared" ca="1" si="93"/>
        <v/>
      </c>
      <c r="AQ456" s="124" t="str">
        <f t="shared" ca="1" si="93"/>
        <v/>
      </c>
      <c r="AR456" s="124" t="str">
        <f t="shared" ca="1" si="93"/>
        <v/>
      </c>
      <c r="AS456" s="124" t="str">
        <f t="shared" ca="1" si="93"/>
        <v/>
      </c>
      <c r="AT456" s="124" t="str">
        <f t="shared" ca="1" si="93"/>
        <v/>
      </c>
      <c r="AU456" s="124" t="str">
        <f t="shared" ca="1" si="93"/>
        <v/>
      </c>
      <c r="AV456" s="124" t="str">
        <f t="shared" ca="1" si="93"/>
        <v/>
      </c>
      <c r="AW456" s="124" t="str">
        <f t="shared" ca="1" si="93"/>
        <v/>
      </c>
      <c r="AX456" s="124" t="str">
        <f t="shared" ca="1" si="93"/>
        <v/>
      </c>
      <c r="AY456" s="124" t="str">
        <f t="shared" ca="1" si="93"/>
        <v/>
      </c>
      <c r="AZ456" s="124" t="str">
        <f t="shared" ca="1" si="93"/>
        <v/>
      </c>
      <c r="BA456" s="124" t="str">
        <f t="shared" ca="1" si="93"/>
        <v/>
      </c>
      <c r="BB456" s="124" t="str">
        <f t="shared" ca="1" si="92"/>
        <v/>
      </c>
      <c r="BC456" s="124" t="str">
        <f t="shared" ca="1" si="92"/>
        <v/>
      </c>
      <c r="BD456" s="124" t="str">
        <f t="shared" ca="1" si="92"/>
        <v/>
      </c>
      <c r="BE456" s="124" t="str">
        <f t="shared" ca="1" si="92"/>
        <v/>
      </c>
      <c r="BF456" s="124" t="str">
        <f t="shared" ca="1" si="92"/>
        <v/>
      </c>
      <c r="BG456" s="124" t="str">
        <f t="shared" ca="1" si="92"/>
        <v/>
      </c>
      <c r="BH456" s="124" t="str">
        <f t="shared" ca="1" si="92"/>
        <v/>
      </c>
      <c r="BI456" s="124" t="str">
        <f t="shared" ca="1" si="92"/>
        <v/>
      </c>
      <c r="BJ456" s="124" t="str">
        <f t="shared" ca="1" si="92"/>
        <v/>
      </c>
      <c r="BK456" s="124" t="str">
        <f t="shared" ca="1" si="92"/>
        <v/>
      </c>
      <c r="BL456" s="124" t="str">
        <f t="shared" ca="1" si="92"/>
        <v/>
      </c>
      <c r="BM456" s="124" t="str">
        <f t="shared" ca="1" si="92"/>
        <v/>
      </c>
      <c r="BN456" s="124" t="str">
        <f t="shared" ca="1" si="92"/>
        <v/>
      </c>
      <c r="BO456" s="124" t="str">
        <f t="shared" ca="1" si="92"/>
        <v/>
      </c>
      <c r="BP456" s="124" t="str">
        <f t="shared" ca="1" si="91"/>
        <v/>
      </c>
      <c r="BQ456" s="124" t="str">
        <f t="shared" ca="1" si="91"/>
        <v/>
      </c>
      <c r="BR456" s="124" t="str">
        <f t="shared" ca="1" si="89"/>
        <v/>
      </c>
      <c r="BS456" s="124" t="str">
        <f t="shared" ca="1" si="89"/>
        <v/>
      </c>
      <c r="BT456" s="124" t="str">
        <f t="shared" ca="1" si="89"/>
        <v/>
      </c>
      <c r="BU456" s="124" t="str">
        <f t="shared" ca="1" si="89"/>
        <v/>
      </c>
    </row>
    <row r="457" spans="1:73" x14ac:dyDescent="0.15">
      <c r="A457">
        <v>37</v>
      </c>
      <c r="B457" s="124" t="str">
        <f t="shared" ca="1" si="49"/>
        <v/>
      </c>
      <c r="C457" s="123" t="str">
        <f ca="1">IF(A457&lt;=①簡易状況入力!$AC$5,INDIRECT("A"&amp;VLOOKUP($A457,①簡易状況入力!$Y$5:$AB$104,4,FALSE)),"")</f>
        <v/>
      </c>
      <c r="D457" s="125" t="str">
        <f t="shared" ca="1" si="50"/>
        <v/>
      </c>
      <c r="E457" s="125" t="str">
        <f t="shared" ca="1" si="51"/>
        <v/>
      </c>
      <c r="F457" s="125" t="str">
        <f t="shared" ca="1" si="52"/>
        <v/>
      </c>
      <c r="G457" s="125" t="str">
        <f t="shared" ca="1" si="53"/>
        <v/>
      </c>
      <c r="H457" s="125" t="str">
        <f t="shared" ca="1" si="54"/>
        <v/>
      </c>
      <c r="I457" s="125" t="str">
        <f t="shared" ca="1" si="55"/>
        <v/>
      </c>
      <c r="J457" s="125" t="str">
        <f t="shared" ca="1" si="56"/>
        <v/>
      </c>
      <c r="K457" s="125" t="str">
        <f t="shared" ca="1" si="57"/>
        <v/>
      </c>
      <c r="L457" s="125" t="str">
        <f t="shared" ca="1" si="58"/>
        <v/>
      </c>
      <c r="M457" s="125" t="str">
        <f t="shared" ca="1" si="59"/>
        <v/>
      </c>
      <c r="N457" s="125" t="str">
        <f t="shared" ca="1" si="60"/>
        <v/>
      </c>
      <c r="O457" s="125" t="str">
        <f t="shared" ca="1" si="61"/>
        <v/>
      </c>
      <c r="P457" s="125" t="str">
        <f t="shared" ca="1" si="62"/>
        <v/>
      </c>
      <c r="Q457" s="125" t="str">
        <f t="shared" ca="1" si="63"/>
        <v/>
      </c>
      <c r="R457" s="125" t="str">
        <f t="shared" ca="1" si="64"/>
        <v/>
      </c>
      <c r="S457" s="125" t="str">
        <f t="shared" ca="1" si="65"/>
        <v/>
      </c>
      <c r="T457" s="125" t="str">
        <f t="shared" ca="1" si="66"/>
        <v/>
      </c>
      <c r="U457" s="125" t="str">
        <f t="shared" ca="1" si="67"/>
        <v/>
      </c>
      <c r="V457" s="125" t="str">
        <f t="shared" ca="1" si="68"/>
        <v/>
      </c>
      <c r="W457" s="125" t="str">
        <f t="shared" ca="1" si="69"/>
        <v/>
      </c>
      <c r="X457" s="125" t="str">
        <f t="shared" ca="1" si="70"/>
        <v/>
      </c>
      <c r="Y457" s="125" t="str">
        <f t="shared" ca="1" si="71"/>
        <v/>
      </c>
      <c r="Z457" s="125" t="str">
        <f t="shared" ca="1" si="72"/>
        <v/>
      </c>
      <c r="AA457" s="125" t="str">
        <f t="shared" ca="1" si="73"/>
        <v/>
      </c>
      <c r="AB457" s="125" t="str">
        <f t="shared" ca="1" si="74"/>
        <v/>
      </c>
      <c r="AC457" s="125" t="str">
        <f t="shared" ca="1" si="75"/>
        <v/>
      </c>
      <c r="AD457" s="125" t="str">
        <f t="shared" ca="1" si="76"/>
        <v/>
      </c>
      <c r="AE457" s="125" t="str">
        <f t="shared" ca="1" si="77"/>
        <v/>
      </c>
      <c r="AF457" s="125" t="str">
        <f t="shared" ca="1" si="78"/>
        <v/>
      </c>
      <c r="AG457" s="125" t="str">
        <f t="shared" ca="1" si="79"/>
        <v/>
      </c>
      <c r="AH457" s="125" t="str">
        <f t="shared" ca="1" si="80"/>
        <v/>
      </c>
      <c r="AI457" s="125" t="str">
        <f t="shared" ca="1" si="81"/>
        <v/>
      </c>
      <c r="AJ457" s="125" t="str">
        <f t="shared" ca="1" si="82"/>
        <v/>
      </c>
      <c r="AK457" s="125" t="str">
        <f t="shared" ca="1" si="83"/>
        <v/>
      </c>
      <c r="AL457" s="125" t="str">
        <f t="shared" ca="1" si="84"/>
        <v/>
      </c>
      <c r="AM457" s="124" t="str">
        <f t="shared" ca="1" si="93"/>
        <v/>
      </c>
      <c r="AN457" s="124" t="str">
        <f t="shared" ca="1" si="93"/>
        <v/>
      </c>
      <c r="AO457" s="124" t="str">
        <f t="shared" ca="1" si="93"/>
        <v/>
      </c>
      <c r="AP457" s="124" t="str">
        <f t="shared" ca="1" si="93"/>
        <v/>
      </c>
      <c r="AQ457" s="124" t="str">
        <f t="shared" ca="1" si="93"/>
        <v/>
      </c>
      <c r="AR457" s="124" t="str">
        <f t="shared" ca="1" si="93"/>
        <v/>
      </c>
      <c r="AS457" s="124" t="str">
        <f t="shared" ca="1" si="93"/>
        <v/>
      </c>
      <c r="AT457" s="124" t="str">
        <f t="shared" ca="1" si="93"/>
        <v/>
      </c>
      <c r="AU457" s="124" t="str">
        <f t="shared" ca="1" si="93"/>
        <v/>
      </c>
      <c r="AV457" s="124" t="str">
        <f t="shared" ca="1" si="93"/>
        <v/>
      </c>
      <c r="AW457" s="124" t="str">
        <f t="shared" ca="1" si="93"/>
        <v/>
      </c>
      <c r="AX457" s="124" t="str">
        <f t="shared" ca="1" si="93"/>
        <v/>
      </c>
      <c r="AY457" s="124" t="str">
        <f t="shared" ca="1" si="93"/>
        <v/>
      </c>
      <c r="AZ457" s="124" t="str">
        <f t="shared" ca="1" si="93"/>
        <v/>
      </c>
      <c r="BA457" s="124" t="str">
        <f t="shared" ca="1" si="93"/>
        <v/>
      </c>
      <c r="BB457" s="124" t="str">
        <f t="shared" ca="1" si="92"/>
        <v/>
      </c>
      <c r="BC457" s="124" t="str">
        <f t="shared" ca="1" si="92"/>
        <v/>
      </c>
      <c r="BD457" s="124" t="str">
        <f t="shared" ca="1" si="92"/>
        <v/>
      </c>
      <c r="BE457" s="124" t="str">
        <f t="shared" ca="1" si="92"/>
        <v/>
      </c>
      <c r="BF457" s="124" t="str">
        <f t="shared" ca="1" si="92"/>
        <v/>
      </c>
      <c r="BG457" s="124" t="str">
        <f t="shared" ca="1" si="92"/>
        <v/>
      </c>
      <c r="BH457" s="124" t="str">
        <f t="shared" ca="1" si="92"/>
        <v/>
      </c>
      <c r="BI457" s="124" t="str">
        <f t="shared" ca="1" si="92"/>
        <v/>
      </c>
      <c r="BJ457" s="124" t="str">
        <f t="shared" ca="1" si="92"/>
        <v/>
      </c>
      <c r="BK457" s="124" t="str">
        <f t="shared" ca="1" si="92"/>
        <v/>
      </c>
      <c r="BL457" s="124" t="str">
        <f t="shared" ca="1" si="92"/>
        <v/>
      </c>
      <c r="BM457" s="124" t="str">
        <f t="shared" ca="1" si="92"/>
        <v/>
      </c>
      <c r="BN457" s="124" t="str">
        <f t="shared" ca="1" si="92"/>
        <v/>
      </c>
      <c r="BO457" s="124" t="str">
        <f t="shared" ca="1" si="92"/>
        <v/>
      </c>
      <c r="BP457" s="124" t="str">
        <f t="shared" ca="1" si="91"/>
        <v/>
      </c>
      <c r="BQ457" s="124" t="str">
        <f t="shared" ca="1" si="91"/>
        <v/>
      </c>
      <c r="BR457" s="124" t="str">
        <f t="shared" ca="1" si="89"/>
        <v/>
      </c>
      <c r="BS457" s="124" t="str">
        <f t="shared" ca="1" si="89"/>
        <v/>
      </c>
      <c r="BT457" s="124" t="str">
        <f t="shared" ca="1" si="89"/>
        <v/>
      </c>
      <c r="BU457" s="124" t="str">
        <f t="shared" ca="1" si="89"/>
        <v/>
      </c>
    </row>
    <row r="458" spans="1:73" x14ac:dyDescent="0.15">
      <c r="A458">
        <v>38</v>
      </c>
      <c r="B458" s="124" t="str">
        <f t="shared" ca="1" si="49"/>
        <v/>
      </c>
      <c r="C458" s="123" t="str">
        <f ca="1">IF(A458&lt;=①簡易状況入力!$AC$5,INDIRECT("A"&amp;VLOOKUP($A458,①簡易状況入力!$Y$5:$AB$104,4,FALSE)),"")</f>
        <v/>
      </c>
      <c r="D458" s="125" t="str">
        <f t="shared" ca="1" si="50"/>
        <v/>
      </c>
      <c r="E458" s="125" t="str">
        <f t="shared" ca="1" si="51"/>
        <v/>
      </c>
      <c r="F458" s="125" t="str">
        <f t="shared" ca="1" si="52"/>
        <v/>
      </c>
      <c r="G458" s="125" t="str">
        <f t="shared" ca="1" si="53"/>
        <v/>
      </c>
      <c r="H458" s="125" t="str">
        <f t="shared" ca="1" si="54"/>
        <v/>
      </c>
      <c r="I458" s="125" t="str">
        <f t="shared" ca="1" si="55"/>
        <v/>
      </c>
      <c r="J458" s="125" t="str">
        <f t="shared" ca="1" si="56"/>
        <v/>
      </c>
      <c r="K458" s="125" t="str">
        <f t="shared" ca="1" si="57"/>
        <v/>
      </c>
      <c r="L458" s="125" t="str">
        <f t="shared" ca="1" si="58"/>
        <v/>
      </c>
      <c r="M458" s="125" t="str">
        <f t="shared" ca="1" si="59"/>
        <v/>
      </c>
      <c r="N458" s="125" t="str">
        <f t="shared" ca="1" si="60"/>
        <v/>
      </c>
      <c r="O458" s="125" t="str">
        <f t="shared" ca="1" si="61"/>
        <v/>
      </c>
      <c r="P458" s="125" t="str">
        <f t="shared" ca="1" si="62"/>
        <v/>
      </c>
      <c r="Q458" s="125" t="str">
        <f t="shared" ca="1" si="63"/>
        <v/>
      </c>
      <c r="R458" s="125" t="str">
        <f t="shared" ca="1" si="64"/>
        <v/>
      </c>
      <c r="S458" s="125" t="str">
        <f t="shared" ca="1" si="65"/>
        <v/>
      </c>
      <c r="T458" s="125" t="str">
        <f t="shared" ca="1" si="66"/>
        <v/>
      </c>
      <c r="U458" s="125" t="str">
        <f t="shared" ca="1" si="67"/>
        <v/>
      </c>
      <c r="V458" s="125" t="str">
        <f t="shared" ca="1" si="68"/>
        <v/>
      </c>
      <c r="W458" s="125" t="str">
        <f t="shared" ca="1" si="69"/>
        <v/>
      </c>
      <c r="X458" s="125" t="str">
        <f t="shared" ca="1" si="70"/>
        <v/>
      </c>
      <c r="Y458" s="125" t="str">
        <f t="shared" ca="1" si="71"/>
        <v/>
      </c>
      <c r="Z458" s="125" t="str">
        <f t="shared" ca="1" si="72"/>
        <v/>
      </c>
      <c r="AA458" s="125" t="str">
        <f t="shared" ca="1" si="73"/>
        <v/>
      </c>
      <c r="AB458" s="125" t="str">
        <f t="shared" ca="1" si="74"/>
        <v/>
      </c>
      <c r="AC458" s="125" t="str">
        <f t="shared" ca="1" si="75"/>
        <v/>
      </c>
      <c r="AD458" s="125" t="str">
        <f t="shared" ca="1" si="76"/>
        <v/>
      </c>
      <c r="AE458" s="125" t="str">
        <f t="shared" ca="1" si="77"/>
        <v/>
      </c>
      <c r="AF458" s="125" t="str">
        <f t="shared" ca="1" si="78"/>
        <v/>
      </c>
      <c r="AG458" s="125" t="str">
        <f t="shared" ca="1" si="79"/>
        <v/>
      </c>
      <c r="AH458" s="125" t="str">
        <f t="shared" ca="1" si="80"/>
        <v/>
      </c>
      <c r="AI458" s="125" t="str">
        <f t="shared" ca="1" si="81"/>
        <v/>
      </c>
      <c r="AJ458" s="125" t="str">
        <f t="shared" ca="1" si="82"/>
        <v/>
      </c>
      <c r="AK458" s="125" t="str">
        <f t="shared" ca="1" si="83"/>
        <v/>
      </c>
      <c r="AL458" s="125" t="str">
        <f t="shared" ca="1" si="84"/>
        <v/>
      </c>
      <c r="AM458" s="124" t="str">
        <f t="shared" ca="1" si="93"/>
        <v/>
      </c>
      <c r="AN458" s="124" t="str">
        <f t="shared" ca="1" si="93"/>
        <v/>
      </c>
      <c r="AO458" s="124" t="str">
        <f t="shared" ca="1" si="93"/>
        <v/>
      </c>
      <c r="AP458" s="124" t="str">
        <f t="shared" ca="1" si="93"/>
        <v/>
      </c>
      <c r="AQ458" s="124" t="str">
        <f t="shared" ca="1" si="93"/>
        <v/>
      </c>
      <c r="AR458" s="124" t="str">
        <f t="shared" ca="1" si="93"/>
        <v/>
      </c>
      <c r="AS458" s="124" t="str">
        <f t="shared" ca="1" si="93"/>
        <v/>
      </c>
      <c r="AT458" s="124" t="str">
        <f t="shared" ca="1" si="93"/>
        <v/>
      </c>
      <c r="AU458" s="124" t="str">
        <f t="shared" ca="1" si="93"/>
        <v/>
      </c>
      <c r="AV458" s="124" t="str">
        <f t="shared" ca="1" si="93"/>
        <v/>
      </c>
      <c r="AW458" s="124" t="str">
        <f t="shared" ca="1" si="93"/>
        <v/>
      </c>
      <c r="AX458" s="124" t="str">
        <f t="shared" ca="1" si="93"/>
        <v/>
      </c>
      <c r="AY458" s="124" t="str">
        <f t="shared" ca="1" si="93"/>
        <v/>
      </c>
      <c r="AZ458" s="124" t="str">
        <f t="shared" ca="1" si="93"/>
        <v/>
      </c>
      <c r="BA458" s="124" t="str">
        <f t="shared" ca="1" si="93"/>
        <v/>
      </c>
      <c r="BB458" s="124" t="str">
        <f t="shared" ca="1" si="92"/>
        <v/>
      </c>
      <c r="BC458" s="124" t="str">
        <f t="shared" ca="1" si="92"/>
        <v/>
      </c>
      <c r="BD458" s="124" t="str">
        <f t="shared" ca="1" si="92"/>
        <v/>
      </c>
      <c r="BE458" s="124" t="str">
        <f t="shared" ca="1" si="92"/>
        <v/>
      </c>
      <c r="BF458" s="124" t="str">
        <f t="shared" ca="1" si="92"/>
        <v/>
      </c>
      <c r="BG458" s="124" t="str">
        <f t="shared" ca="1" si="92"/>
        <v/>
      </c>
      <c r="BH458" s="124" t="str">
        <f t="shared" ca="1" si="92"/>
        <v/>
      </c>
      <c r="BI458" s="124" t="str">
        <f t="shared" ca="1" si="92"/>
        <v/>
      </c>
      <c r="BJ458" s="124" t="str">
        <f t="shared" ca="1" si="92"/>
        <v/>
      </c>
      <c r="BK458" s="124" t="str">
        <f t="shared" ca="1" si="92"/>
        <v/>
      </c>
      <c r="BL458" s="124" t="str">
        <f t="shared" ca="1" si="92"/>
        <v/>
      </c>
      <c r="BM458" s="124" t="str">
        <f t="shared" ca="1" si="92"/>
        <v/>
      </c>
      <c r="BN458" s="124" t="str">
        <f t="shared" ca="1" si="92"/>
        <v/>
      </c>
      <c r="BO458" s="124" t="str">
        <f t="shared" ca="1" si="92"/>
        <v/>
      </c>
      <c r="BP458" s="124" t="str">
        <f t="shared" ca="1" si="91"/>
        <v/>
      </c>
      <c r="BQ458" s="124" t="str">
        <f t="shared" ca="1" si="91"/>
        <v/>
      </c>
      <c r="BR458" s="124" t="str">
        <f t="shared" ca="1" si="89"/>
        <v/>
      </c>
      <c r="BS458" s="124" t="str">
        <f t="shared" ca="1" si="89"/>
        <v/>
      </c>
      <c r="BT458" s="124" t="str">
        <f t="shared" ca="1" si="89"/>
        <v/>
      </c>
      <c r="BU458" s="124" t="str">
        <f t="shared" ca="1" si="89"/>
        <v/>
      </c>
    </row>
    <row r="459" spans="1:73" x14ac:dyDescent="0.15">
      <c r="A459">
        <v>39</v>
      </c>
      <c r="B459" s="124" t="str">
        <f t="shared" ca="1" si="49"/>
        <v/>
      </c>
      <c r="C459" s="123" t="str">
        <f ca="1">IF(A459&lt;=①簡易状況入力!$AC$5,INDIRECT("A"&amp;VLOOKUP($A459,①簡易状況入力!$Y$5:$AB$104,4,FALSE)),"")</f>
        <v/>
      </c>
      <c r="D459" s="125" t="str">
        <f t="shared" ca="1" si="50"/>
        <v/>
      </c>
      <c r="E459" s="125" t="str">
        <f t="shared" ca="1" si="51"/>
        <v/>
      </c>
      <c r="F459" s="125" t="str">
        <f t="shared" ca="1" si="52"/>
        <v/>
      </c>
      <c r="G459" s="125" t="str">
        <f t="shared" ca="1" si="53"/>
        <v/>
      </c>
      <c r="H459" s="125" t="str">
        <f t="shared" ca="1" si="54"/>
        <v/>
      </c>
      <c r="I459" s="125" t="str">
        <f t="shared" ca="1" si="55"/>
        <v/>
      </c>
      <c r="J459" s="125" t="str">
        <f t="shared" ca="1" si="56"/>
        <v/>
      </c>
      <c r="K459" s="125" t="str">
        <f t="shared" ca="1" si="57"/>
        <v/>
      </c>
      <c r="L459" s="125" t="str">
        <f t="shared" ca="1" si="58"/>
        <v/>
      </c>
      <c r="M459" s="125" t="str">
        <f t="shared" ca="1" si="59"/>
        <v/>
      </c>
      <c r="N459" s="125" t="str">
        <f t="shared" ca="1" si="60"/>
        <v/>
      </c>
      <c r="O459" s="125" t="str">
        <f t="shared" ca="1" si="61"/>
        <v/>
      </c>
      <c r="P459" s="125" t="str">
        <f t="shared" ca="1" si="62"/>
        <v/>
      </c>
      <c r="Q459" s="125" t="str">
        <f t="shared" ca="1" si="63"/>
        <v/>
      </c>
      <c r="R459" s="125" t="str">
        <f t="shared" ca="1" si="64"/>
        <v/>
      </c>
      <c r="S459" s="125" t="str">
        <f t="shared" ca="1" si="65"/>
        <v/>
      </c>
      <c r="T459" s="125" t="str">
        <f t="shared" ca="1" si="66"/>
        <v/>
      </c>
      <c r="U459" s="125" t="str">
        <f t="shared" ca="1" si="67"/>
        <v/>
      </c>
      <c r="V459" s="125" t="str">
        <f t="shared" ca="1" si="68"/>
        <v/>
      </c>
      <c r="W459" s="125" t="str">
        <f t="shared" ca="1" si="69"/>
        <v/>
      </c>
      <c r="X459" s="125" t="str">
        <f t="shared" ca="1" si="70"/>
        <v/>
      </c>
      <c r="Y459" s="125" t="str">
        <f t="shared" ca="1" si="71"/>
        <v/>
      </c>
      <c r="Z459" s="125" t="str">
        <f t="shared" ca="1" si="72"/>
        <v/>
      </c>
      <c r="AA459" s="125" t="str">
        <f t="shared" ca="1" si="73"/>
        <v/>
      </c>
      <c r="AB459" s="125" t="str">
        <f t="shared" ca="1" si="74"/>
        <v/>
      </c>
      <c r="AC459" s="125" t="str">
        <f t="shared" ca="1" si="75"/>
        <v/>
      </c>
      <c r="AD459" s="125" t="str">
        <f t="shared" ca="1" si="76"/>
        <v/>
      </c>
      <c r="AE459" s="125" t="str">
        <f t="shared" ca="1" si="77"/>
        <v/>
      </c>
      <c r="AF459" s="125" t="str">
        <f t="shared" ca="1" si="78"/>
        <v/>
      </c>
      <c r="AG459" s="125" t="str">
        <f t="shared" ca="1" si="79"/>
        <v/>
      </c>
      <c r="AH459" s="125" t="str">
        <f t="shared" ca="1" si="80"/>
        <v/>
      </c>
      <c r="AI459" s="125" t="str">
        <f t="shared" ca="1" si="81"/>
        <v/>
      </c>
      <c r="AJ459" s="125" t="str">
        <f t="shared" ca="1" si="82"/>
        <v/>
      </c>
      <c r="AK459" s="125" t="str">
        <f t="shared" ca="1" si="83"/>
        <v/>
      </c>
      <c r="AL459" s="125" t="str">
        <f t="shared" ca="1" si="84"/>
        <v/>
      </c>
      <c r="AM459" s="124" t="str">
        <f t="shared" ca="1" si="93"/>
        <v/>
      </c>
      <c r="AN459" s="124" t="str">
        <f t="shared" ca="1" si="93"/>
        <v/>
      </c>
      <c r="AO459" s="124" t="str">
        <f t="shared" ca="1" si="93"/>
        <v/>
      </c>
      <c r="AP459" s="124" t="str">
        <f t="shared" ca="1" si="93"/>
        <v/>
      </c>
      <c r="AQ459" s="124" t="str">
        <f t="shared" ca="1" si="93"/>
        <v/>
      </c>
      <c r="AR459" s="124" t="str">
        <f t="shared" ca="1" si="93"/>
        <v/>
      </c>
      <c r="AS459" s="124" t="str">
        <f t="shared" ca="1" si="93"/>
        <v/>
      </c>
      <c r="AT459" s="124" t="str">
        <f t="shared" ca="1" si="93"/>
        <v/>
      </c>
      <c r="AU459" s="124" t="str">
        <f t="shared" ca="1" si="93"/>
        <v/>
      </c>
      <c r="AV459" s="124" t="str">
        <f t="shared" ca="1" si="93"/>
        <v/>
      </c>
      <c r="AW459" s="124" t="str">
        <f t="shared" ca="1" si="93"/>
        <v/>
      </c>
      <c r="AX459" s="124" t="str">
        <f t="shared" ca="1" si="93"/>
        <v/>
      </c>
      <c r="AY459" s="124" t="str">
        <f t="shared" ca="1" si="93"/>
        <v/>
      </c>
      <c r="AZ459" s="124" t="str">
        <f t="shared" ca="1" si="93"/>
        <v/>
      </c>
      <c r="BA459" s="124" t="str">
        <f t="shared" ca="1" si="93"/>
        <v/>
      </c>
      <c r="BB459" s="124" t="str">
        <f t="shared" ca="1" si="92"/>
        <v/>
      </c>
      <c r="BC459" s="124" t="str">
        <f t="shared" ca="1" si="92"/>
        <v/>
      </c>
      <c r="BD459" s="124" t="str">
        <f t="shared" ca="1" si="92"/>
        <v/>
      </c>
      <c r="BE459" s="124" t="str">
        <f t="shared" ca="1" si="92"/>
        <v/>
      </c>
      <c r="BF459" s="124" t="str">
        <f t="shared" ca="1" si="92"/>
        <v/>
      </c>
      <c r="BG459" s="124" t="str">
        <f t="shared" ca="1" si="92"/>
        <v/>
      </c>
      <c r="BH459" s="124" t="str">
        <f t="shared" ca="1" si="92"/>
        <v/>
      </c>
      <c r="BI459" s="124" t="str">
        <f t="shared" ca="1" si="92"/>
        <v/>
      </c>
      <c r="BJ459" s="124" t="str">
        <f t="shared" ca="1" si="92"/>
        <v/>
      </c>
      <c r="BK459" s="124" t="str">
        <f t="shared" ca="1" si="92"/>
        <v/>
      </c>
      <c r="BL459" s="124" t="str">
        <f t="shared" ca="1" si="92"/>
        <v/>
      </c>
      <c r="BM459" s="124" t="str">
        <f t="shared" ca="1" si="92"/>
        <v/>
      </c>
      <c r="BN459" s="124" t="str">
        <f t="shared" ca="1" si="92"/>
        <v/>
      </c>
      <c r="BO459" s="124" t="str">
        <f t="shared" ca="1" si="92"/>
        <v/>
      </c>
      <c r="BP459" s="124" t="str">
        <f t="shared" ca="1" si="91"/>
        <v/>
      </c>
      <c r="BQ459" s="124" t="str">
        <f t="shared" ca="1" si="91"/>
        <v/>
      </c>
      <c r="BR459" s="124" t="str">
        <f t="shared" ca="1" si="89"/>
        <v/>
      </c>
      <c r="BS459" s="124" t="str">
        <f t="shared" ca="1" si="89"/>
        <v/>
      </c>
      <c r="BT459" s="124" t="str">
        <f t="shared" ca="1" si="89"/>
        <v/>
      </c>
      <c r="BU459" s="124" t="str">
        <f t="shared" ca="1" si="89"/>
        <v/>
      </c>
    </row>
    <row r="460" spans="1:73" x14ac:dyDescent="0.15">
      <c r="A460">
        <v>40</v>
      </c>
      <c r="B460" s="124" t="str">
        <f t="shared" ca="1" si="49"/>
        <v/>
      </c>
      <c r="C460" s="123" t="str">
        <f ca="1">IF(A460&lt;=①簡易状況入力!$AC$5,INDIRECT("A"&amp;VLOOKUP($A460,①簡易状況入力!$Y$5:$AB$104,4,FALSE)),"")</f>
        <v/>
      </c>
      <c r="D460" s="125" t="str">
        <f t="shared" ca="1" si="50"/>
        <v/>
      </c>
      <c r="E460" s="125" t="str">
        <f t="shared" ca="1" si="51"/>
        <v/>
      </c>
      <c r="F460" s="125" t="str">
        <f t="shared" ca="1" si="52"/>
        <v/>
      </c>
      <c r="G460" s="125" t="str">
        <f t="shared" ca="1" si="53"/>
        <v/>
      </c>
      <c r="H460" s="125" t="str">
        <f t="shared" ca="1" si="54"/>
        <v/>
      </c>
      <c r="I460" s="125" t="str">
        <f t="shared" ca="1" si="55"/>
        <v/>
      </c>
      <c r="J460" s="125" t="str">
        <f t="shared" ca="1" si="56"/>
        <v/>
      </c>
      <c r="K460" s="125" t="str">
        <f t="shared" ca="1" si="57"/>
        <v/>
      </c>
      <c r="L460" s="125" t="str">
        <f t="shared" ca="1" si="58"/>
        <v/>
      </c>
      <c r="M460" s="125" t="str">
        <f t="shared" ca="1" si="59"/>
        <v/>
      </c>
      <c r="N460" s="125" t="str">
        <f t="shared" ca="1" si="60"/>
        <v/>
      </c>
      <c r="O460" s="125" t="str">
        <f t="shared" ca="1" si="61"/>
        <v/>
      </c>
      <c r="P460" s="125" t="str">
        <f t="shared" ca="1" si="62"/>
        <v/>
      </c>
      <c r="Q460" s="125" t="str">
        <f t="shared" ca="1" si="63"/>
        <v/>
      </c>
      <c r="R460" s="125" t="str">
        <f t="shared" ca="1" si="64"/>
        <v/>
      </c>
      <c r="S460" s="125" t="str">
        <f t="shared" ca="1" si="65"/>
        <v/>
      </c>
      <c r="T460" s="125" t="str">
        <f t="shared" ca="1" si="66"/>
        <v/>
      </c>
      <c r="U460" s="125" t="str">
        <f t="shared" ca="1" si="67"/>
        <v/>
      </c>
      <c r="V460" s="125" t="str">
        <f t="shared" ca="1" si="68"/>
        <v/>
      </c>
      <c r="W460" s="125" t="str">
        <f t="shared" ca="1" si="69"/>
        <v/>
      </c>
      <c r="X460" s="125" t="str">
        <f t="shared" ca="1" si="70"/>
        <v/>
      </c>
      <c r="Y460" s="125" t="str">
        <f t="shared" ca="1" si="71"/>
        <v/>
      </c>
      <c r="Z460" s="125" t="str">
        <f t="shared" ca="1" si="72"/>
        <v/>
      </c>
      <c r="AA460" s="125" t="str">
        <f t="shared" ca="1" si="73"/>
        <v/>
      </c>
      <c r="AB460" s="125" t="str">
        <f t="shared" ca="1" si="74"/>
        <v/>
      </c>
      <c r="AC460" s="125" t="str">
        <f t="shared" ca="1" si="75"/>
        <v/>
      </c>
      <c r="AD460" s="125" t="str">
        <f t="shared" ca="1" si="76"/>
        <v/>
      </c>
      <c r="AE460" s="125" t="str">
        <f t="shared" ca="1" si="77"/>
        <v/>
      </c>
      <c r="AF460" s="125" t="str">
        <f t="shared" ca="1" si="78"/>
        <v/>
      </c>
      <c r="AG460" s="125" t="str">
        <f t="shared" ca="1" si="79"/>
        <v/>
      </c>
      <c r="AH460" s="125" t="str">
        <f t="shared" ca="1" si="80"/>
        <v/>
      </c>
      <c r="AI460" s="125" t="str">
        <f t="shared" ca="1" si="81"/>
        <v/>
      </c>
      <c r="AJ460" s="125" t="str">
        <f t="shared" ca="1" si="82"/>
        <v/>
      </c>
      <c r="AK460" s="125" t="str">
        <f t="shared" ca="1" si="83"/>
        <v/>
      </c>
      <c r="AL460" s="125" t="str">
        <f t="shared" ca="1" si="84"/>
        <v/>
      </c>
      <c r="AM460" s="124" t="str">
        <f t="shared" ca="1" si="93"/>
        <v/>
      </c>
      <c r="AN460" s="124" t="str">
        <f t="shared" ca="1" si="93"/>
        <v/>
      </c>
      <c r="AO460" s="124" t="str">
        <f t="shared" ca="1" si="93"/>
        <v/>
      </c>
      <c r="AP460" s="124" t="str">
        <f t="shared" ca="1" si="93"/>
        <v/>
      </c>
      <c r="AQ460" s="124" t="str">
        <f t="shared" ca="1" si="93"/>
        <v/>
      </c>
      <c r="AR460" s="124" t="str">
        <f t="shared" ca="1" si="93"/>
        <v/>
      </c>
      <c r="AS460" s="124" t="str">
        <f t="shared" ca="1" si="93"/>
        <v/>
      </c>
      <c r="AT460" s="124" t="str">
        <f t="shared" ca="1" si="93"/>
        <v/>
      </c>
      <c r="AU460" s="124" t="str">
        <f t="shared" ca="1" si="93"/>
        <v/>
      </c>
      <c r="AV460" s="124" t="str">
        <f t="shared" ca="1" si="93"/>
        <v/>
      </c>
      <c r="AW460" s="124" t="str">
        <f t="shared" ca="1" si="93"/>
        <v/>
      </c>
      <c r="AX460" s="124" t="str">
        <f t="shared" ca="1" si="93"/>
        <v/>
      </c>
      <c r="AY460" s="124" t="str">
        <f t="shared" ca="1" si="93"/>
        <v/>
      </c>
      <c r="AZ460" s="124" t="str">
        <f t="shared" ca="1" si="93"/>
        <v/>
      </c>
      <c r="BA460" s="124" t="str">
        <f t="shared" ca="1" si="93"/>
        <v/>
      </c>
      <c r="BB460" s="124" t="str">
        <f t="shared" ca="1" si="92"/>
        <v/>
      </c>
      <c r="BC460" s="124" t="str">
        <f t="shared" ca="1" si="92"/>
        <v/>
      </c>
      <c r="BD460" s="124" t="str">
        <f t="shared" ca="1" si="92"/>
        <v/>
      </c>
      <c r="BE460" s="124" t="str">
        <f t="shared" ca="1" si="92"/>
        <v/>
      </c>
      <c r="BF460" s="124" t="str">
        <f t="shared" ca="1" si="92"/>
        <v/>
      </c>
      <c r="BG460" s="124" t="str">
        <f t="shared" ca="1" si="92"/>
        <v/>
      </c>
      <c r="BH460" s="124" t="str">
        <f t="shared" ca="1" si="92"/>
        <v/>
      </c>
      <c r="BI460" s="124" t="str">
        <f t="shared" ca="1" si="92"/>
        <v/>
      </c>
      <c r="BJ460" s="124" t="str">
        <f t="shared" ca="1" si="92"/>
        <v/>
      </c>
      <c r="BK460" s="124" t="str">
        <f t="shared" ca="1" si="92"/>
        <v/>
      </c>
      <c r="BL460" s="124" t="str">
        <f t="shared" ca="1" si="92"/>
        <v/>
      </c>
      <c r="BM460" s="124" t="str">
        <f t="shared" ca="1" si="92"/>
        <v/>
      </c>
      <c r="BN460" s="124" t="str">
        <f t="shared" ca="1" si="92"/>
        <v/>
      </c>
      <c r="BO460" s="124" t="str">
        <f t="shared" ca="1" si="92"/>
        <v/>
      </c>
      <c r="BP460" s="124" t="str">
        <f t="shared" ca="1" si="91"/>
        <v/>
      </c>
      <c r="BQ460" s="124" t="str">
        <f t="shared" ca="1" si="91"/>
        <v/>
      </c>
      <c r="BR460" s="124" t="str">
        <f t="shared" ca="1" si="89"/>
        <v/>
      </c>
      <c r="BS460" s="124" t="str">
        <f t="shared" ca="1" si="89"/>
        <v/>
      </c>
      <c r="BT460" s="124" t="str">
        <f t="shared" ca="1" si="89"/>
        <v/>
      </c>
      <c r="BU460" s="124" t="str">
        <f t="shared" ca="1" si="89"/>
        <v/>
      </c>
    </row>
    <row r="461" spans="1:73" x14ac:dyDescent="0.15">
      <c r="A461">
        <v>41</v>
      </c>
      <c r="B461" s="124" t="str">
        <f t="shared" ca="1" si="49"/>
        <v/>
      </c>
      <c r="C461" s="123" t="str">
        <f ca="1">IF(A461&lt;=①簡易状況入力!$AC$5,INDIRECT("A"&amp;VLOOKUP($A461,①簡易状況入力!$Y$5:$AB$104,4,FALSE)),"")</f>
        <v/>
      </c>
      <c r="D461" s="125" t="str">
        <f t="shared" ca="1" si="50"/>
        <v/>
      </c>
      <c r="E461" s="125" t="str">
        <f t="shared" ca="1" si="51"/>
        <v/>
      </c>
      <c r="F461" s="125" t="str">
        <f t="shared" ca="1" si="52"/>
        <v/>
      </c>
      <c r="G461" s="125" t="str">
        <f t="shared" ca="1" si="53"/>
        <v/>
      </c>
      <c r="H461" s="125" t="str">
        <f t="shared" ca="1" si="54"/>
        <v/>
      </c>
      <c r="I461" s="125" t="str">
        <f t="shared" ca="1" si="55"/>
        <v/>
      </c>
      <c r="J461" s="125" t="str">
        <f t="shared" ca="1" si="56"/>
        <v/>
      </c>
      <c r="K461" s="125" t="str">
        <f t="shared" ca="1" si="57"/>
        <v/>
      </c>
      <c r="L461" s="125" t="str">
        <f t="shared" ca="1" si="58"/>
        <v/>
      </c>
      <c r="M461" s="125" t="str">
        <f t="shared" ca="1" si="59"/>
        <v/>
      </c>
      <c r="N461" s="125" t="str">
        <f t="shared" ca="1" si="60"/>
        <v/>
      </c>
      <c r="O461" s="125" t="str">
        <f t="shared" ca="1" si="61"/>
        <v/>
      </c>
      <c r="P461" s="125" t="str">
        <f t="shared" ca="1" si="62"/>
        <v/>
      </c>
      <c r="Q461" s="125" t="str">
        <f t="shared" ca="1" si="63"/>
        <v/>
      </c>
      <c r="R461" s="125" t="str">
        <f t="shared" ca="1" si="64"/>
        <v/>
      </c>
      <c r="S461" s="125" t="str">
        <f t="shared" ca="1" si="65"/>
        <v/>
      </c>
      <c r="T461" s="125" t="str">
        <f t="shared" ca="1" si="66"/>
        <v/>
      </c>
      <c r="U461" s="125" t="str">
        <f t="shared" ca="1" si="67"/>
        <v/>
      </c>
      <c r="V461" s="125" t="str">
        <f t="shared" ca="1" si="68"/>
        <v/>
      </c>
      <c r="W461" s="125" t="str">
        <f t="shared" ca="1" si="69"/>
        <v/>
      </c>
      <c r="X461" s="125" t="str">
        <f t="shared" ca="1" si="70"/>
        <v/>
      </c>
      <c r="Y461" s="125" t="str">
        <f t="shared" ca="1" si="71"/>
        <v/>
      </c>
      <c r="Z461" s="125" t="str">
        <f t="shared" ca="1" si="72"/>
        <v/>
      </c>
      <c r="AA461" s="125" t="str">
        <f t="shared" ca="1" si="73"/>
        <v/>
      </c>
      <c r="AB461" s="125" t="str">
        <f t="shared" ca="1" si="74"/>
        <v/>
      </c>
      <c r="AC461" s="125" t="str">
        <f t="shared" ca="1" si="75"/>
        <v/>
      </c>
      <c r="AD461" s="125" t="str">
        <f t="shared" ca="1" si="76"/>
        <v/>
      </c>
      <c r="AE461" s="125" t="str">
        <f t="shared" ca="1" si="77"/>
        <v/>
      </c>
      <c r="AF461" s="125" t="str">
        <f t="shared" ca="1" si="78"/>
        <v/>
      </c>
      <c r="AG461" s="125" t="str">
        <f t="shared" ca="1" si="79"/>
        <v/>
      </c>
      <c r="AH461" s="125" t="str">
        <f t="shared" ca="1" si="80"/>
        <v/>
      </c>
      <c r="AI461" s="125" t="str">
        <f t="shared" ca="1" si="81"/>
        <v/>
      </c>
      <c r="AJ461" s="125" t="str">
        <f t="shared" ca="1" si="82"/>
        <v/>
      </c>
      <c r="AK461" s="125" t="str">
        <f t="shared" ca="1" si="83"/>
        <v/>
      </c>
      <c r="AL461" s="125" t="str">
        <f t="shared" ca="1" si="84"/>
        <v/>
      </c>
      <c r="AM461" s="124" t="str">
        <f t="shared" ca="1" si="93"/>
        <v/>
      </c>
      <c r="AN461" s="124" t="str">
        <f t="shared" ca="1" si="93"/>
        <v/>
      </c>
      <c r="AO461" s="124" t="str">
        <f t="shared" ca="1" si="93"/>
        <v/>
      </c>
      <c r="AP461" s="124" t="str">
        <f t="shared" ca="1" si="93"/>
        <v/>
      </c>
      <c r="AQ461" s="124" t="str">
        <f t="shared" ca="1" si="93"/>
        <v/>
      </c>
      <c r="AR461" s="124" t="str">
        <f t="shared" ca="1" si="93"/>
        <v/>
      </c>
      <c r="AS461" s="124" t="str">
        <f t="shared" ca="1" si="93"/>
        <v/>
      </c>
      <c r="AT461" s="124" t="str">
        <f t="shared" ca="1" si="93"/>
        <v/>
      </c>
      <c r="AU461" s="124" t="str">
        <f t="shared" ca="1" si="93"/>
        <v/>
      </c>
      <c r="AV461" s="124" t="str">
        <f t="shared" ca="1" si="93"/>
        <v/>
      </c>
      <c r="AW461" s="124" t="str">
        <f t="shared" ca="1" si="93"/>
        <v/>
      </c>
      <c r="AX461" s="124" t="str">
        <f t="shared" ca="1" si="93"/>
        <v/>
      </c>
      <c r="AY461" s="124" t="str">
        <f t="shared" ca="1" si="93"/>
        <v/>
      </c>
      <c r="AZ461" s="124" t="str">
        <f t="shared" ca="1" si="93"/>
        <v/>
      </c>
      <c r="BA461" s="124" t="str">
        <f t="shared" ca="1" si="93"/>
        <v/>
      </c>
      <c r="BB461" s="124" t="str">
        <f t="shared" ca="1" si="92"/>
        <v/>
      </c>
      <c r="BC461" s="124" t="str">
        <f t="shared" ca="1" si="92"/>
        <v/>
      </c>
      <c r="BD461" s="124" t="str">
        <f t="shared" ca="1" si="92"/>
        <v/>
      </c>
      <c r="BE461" s="124" t="str">
        <f t="shared" ca="1" si="92"/>
        <v/>
      </c>
      <c r="BF461" s="124" t="str">
        <f t="shared" ca="1" si="92"/>
        <v/>
      </c>
      <c r="BG461" s="124" t="str">
        <f t="shared" ca="1" si="92"/>
        <v/>
      </c>
      <c r="BH461" s="124" t="str">
        <f t="shared" ca="1" si="92"/>
        <v/>
      </c>
      <c r="BI461" s="124" t="str">
        <f t="shared" ca="1" si="92"/>
        <v/>
      </c>
      <c r="BJ461" s="124" t="str">
        <f t="shared" ca="1" si="92"/>
        <v/>
      </c>
      <c r="BK461" s="124" t="str">
        <f t="shared" ca="1" si="92"/>
        <v/>
      </c>
      <c r="BL461" s="124" t="str">
        <f t="shared" ca="1" si="92"/>
        <v/>
      </c>
      <c r="BM461" s="124" t="str">
        <f t="shared" ca="1" si="92"/>
        <v/>
      </c>
      <c r="BN461" s="124" t="str">
        <f t="shared" ca="1" si="92"/>
        <v/>
      </c>
      <c r="BO461" s="124" t="str">
        <f t="shared" ca="1" si="92"/>
        <v/>
      </c>
      <c r="BP461" s="124" t="str">
        <f t="shared" ca="1" si="91"/>
        <v/>
      </c>
      <c r="BQ461" s="124" t="str">
        <f t="shared" ca="1" si="91"/>
        <v/>
      </c>
      <c r="BR461" s="124" t="str">
        <f t="shared" ca="1" si="89"/>
        <v/>
      </c>
      <c r="BS461" s="124" t="str">
        <f t="shared" ca="1" si="89"/>
        <v/>
      </c>
      <c r="BT461" s="124" t="str">
        <f t="shared" ca="1" si="89"/>
        <v/>
      </c>
      <c r="BU461" s="124" t="str">
        <f t="shared" ca="1" si="89"/>
        <v/>
      </c>
    </row>
    <row r="462" spans="1:73" x14ac:dyDescent="0.15">
      <c r="A462">
        <v>42</v>
      </c>
      <c r="B462" s="124" t="str">
        <f t="shared" ca="1" si="49"/>
        <v/>
      </c>
      <c r="C462" s="123" t="str">
        <f ca="1">IF(A462&lt;=①簡易状況入力!$AC$5,INDIRECT("A"&amp;VLOOKUP($A462,①簡易状況入力!$Y$5:$AB$104,4,FALSE)),"")</f>
        <v/>
      </c>
      <c r="D462" s="125" t="str">
        <f t="shared" ca="1" si="50"/>
        <v/>
      </c>
      <c r="E462" s="125" t="str">
        <f t="shared" ca="1" si="51"/>
        <v/>
      </c>
      <c r="F462" s="125" t="str">
        <f t="shared" ca="1" si="52"/>
        <v/>
      </c>
      <c r="G462" s="125" t="str">
        <f t="shared" ca="1" si="53"/>
        <v/>
      </c>
      <c r="H462" s="125" t="str">
        <f t="shared" ca="1" si="54"/>
        <v/>
      </c>
      <c r="I462" s="125" t="str">
        <f t="shared" ca="1" si="55"/>
        <v/>
      </c>
      <c r="J462" s="125" t="str">
        <f t="shared" ca="1" si="56"/>
        <v/>
      </c>
      <c r="K462" s="125" t="str">
        <f t="shared" ca="1" si="57"/>
        <v/>
      </c>
      <c r="L462" s="125" t="str">
        <f t="shared" ca="1" si="58"/>
        <v/>
      </c>
      <c r="M462" s="125" t="str">
        <f t="shared" ca="1" si="59"/>
        <v/>
      </c>
      <c r="N462" s="125" t="str">
        <f t="shared" ca="1" si="60"/>
        <v/>
      </c>
      <c r="O462" s="125" t="str">
        <f t="shared" ca="1" si="61"/>
        <v/>
      </c>
      <c r="P462" s="125" t="str">
        <f t="shared" ca="1" si="62"/>
        <v/>
      </c>
      <c r="Q462" s="125" t="str">
        <f t="shared" ca="1" si="63"/>
        <v/>
      </c>
      <c r="R462" s="125" t="str">
        <f t="shared" ca="1" si="64"/>
        <v/>
      </c>
      <c r="S462" s="125" t="str">
        <f t="shared" ca="1" si="65"/>
        <v/>
      </c>
      <c r="T462" s="125" t="str">
        <f t="shared" ca="1" si="66"/>
        <v/>
      </c>
      <c r="U462" s="125" t="str">
        <f t="shared" ca="1" si="67"/>
        <v/>
      </c>
      <c r="V462" s="125" t="str">
        <f t="shared" ca="1" si="68"/>
        <v/>
      </c>
      <c r="W462" s="125" t="str">
        <f t="shared" ca="1" si="69"/>
        <v/>
      </c>
      <c r="X462" s="125" t="str">
        <f t="shared" ca="1" si="70"/>
        <v/>
      </c>
      <c r="Y462" s="125" t="str">
        <f t="shared" ca="1" si="71"/>
        <v/>
      </c>
      <c r="Z462" s="125" t="str">
        <f t="shared" ca="1" si="72"/>
        <v/>
      </c>
      <c r="AA462" s="125" t="str">
        <f t="shared" ca="1" si="73"/>
        <v/>
      </c>
      <c r="AB462" s="125" t="str">
        <f t="shared" ca="1" si="74"/>
        <v/>
      </c>
      <c r="AC462" s="125" t="str">
        <f t="shared" ca="1" si="75"/>
        <v/>
      </c>
      <c r="AD462" s="125" t="str">
        <f t="shared" ca="1" si="76"/>
        <v/>
      </c>
      <c r="AE462" s="125" t="str">
        <f t="shared" ca="1" si="77"/>
        <v/>
      </c>
      <c r="AF462" s="125" t="str">
        <f t="shared" ca="1" si="78"/>
        <v/>
      </c>
      <c r="AG462" s="125" t="str">
        <f t="shared" ca="1" si="79"/>
        <v/>
      </c>
      <c r="AH462" s="125" t="str">
        <f t="shared" ca="1" si="80"/>
        <v/>
      </c>
      <c r="AI462" s="125" t="str">
        <f t="shared" ca="1" si="81"/>
        <v/>
      </c>
      <c r="AJ462" s="125" t="str">
        <f t="shared" ca="1" si="82"/>
        <v/>
      </c>
      <c r="AK462" s="125" t="str">
        <f t="shared" ca="1" si="83"/>
        <v/>
      </c>
      <c r="AL462" s="125" t="str">
        <f t="shared" ca="1" si="84"/>
        <v/>
      </c>
      <c r="AM462" s="124" t="str">
        <f t="shared" ca="1" si="93"/>
        <v/>
      </c>
      <c r="AN462" s="124" t="str">
        <f t="shared" ca="1" si="93"/>
        <v/>
      </c>
      <c r="AO462" s="124" t="str">
        <f t="shared" ca="1" si="93"/>
        <v/>
      </c>
      <c r="AP462" s="124" t="str">
        <f t="shared" ca="1" si="93"/>
        <v/>
      </c>
      <c r="AQ462" s="124" t="str">
        <f t="shared" ca="1" si="93"/>
        <v/>
      </c>
      <c r="AR462" s="124" t="str">
        <f t="shared" ca="1" si="93"/>
        <v/>
      </c>
      <c r="AS462" s="124" t="str">
        <f t="shared" ca="1" si="93"/>
        <v/>
      </c>
      <c r="AT462" s="124" t="str">
        <f t="shared" ca="1" si="93"/>
        <v/>
      </c>
      <c r="AU462" s="124" t="str">
        <f t="shared" ca="1" si="93"/>
        <v/>
      </c>
      <c r="AV462" s="124" t="str">
        <f t="shared" ca="1" si="93"/>
        <v/>
      </c>
      <c r="AW462" s="124" t="str">
        <f t="shared" ca="1" si="93"/>
        <v/>
      </c>
      <c r="AX462" s="124" t="str">
        <f t="shared" ca="1" si="93"/>
        <v/>
      </c>
      <c r="AY462" s="124" t="str">
        <f t="shared" ca="1" si="93"/>
        <v/>
      </c>
      <c r="AZ462" s="124" t="str">
        <f t="shared" ca="1" si="93"/>
        <v/>
      </c>
      <c r="BA462" s="124" t="str">
        <f t="shared" ca="1" si="93"/>
        <v/>
      </c>
      <c r="BB462" s="124" t="str">
        <f t="shared" ca="1" si="92"/>
        <v/>
      </c>
      <c r="BC462" s="124" t="str">
        <f t="shared" ca="1" si="92"/>
        <v/>
      </c>
      <c r="BD462" s="124" t="str">
        <f t="shared" ca="1" si="92"/>
        <v/>
      </c>
      <c r="BE462" s="124" t="str">
        <f t="shared" ca="1" si="92"/>
        <v/>
      </c>
      <c r="BF462" s="124" t="str">
        <f t="shared" ca="1" si="92"/>
        <v/>
      </c>
      <c r="BG462" s="124" t="str">
        <f t="shared" ca="1" si="92"/>
        <v/>
      </c>
      <c r="BH462" s="124" t="str">
        <f t="shared" ca="1" si="92"/>
        <v/>
      </c>
      <c r="BI462" s="124" t="str">
        <f t="shared" ca="1" si="92"/>
        <v/>
      </c>
      <c r="BJ462" s="124" t="str">
        <f t="shared" ca="1" si="92"/>
        <v/>
      </c>
      <c r="BK462" s="124" t="str">
        <f t="shared" ca="1" si="92"/>
        <v/>
      </c>
      <c r="BL462" s="124" t="str">
        <f t="shared" ca="1" si="92"/>
        <v/>
      </c>
      <c r="BM462" s="124" t="str">
        <f t="shared" ca="1" si="92"/>
        <v/>
      </c>
      <c r="BN462" s="124" t="str">
        <f t="shared" ca="1" si="92"/>
        <v/>
      </c>
      <c r="BO462" s="124" t="str">
        <f t="shared" ca="1" si="92"/>
        <v/>
      </c>
      <c r="BP462" s="124" t="str">
        <f t="shared" ca="1" si="91"/>
        <v/>
      </c>
      <c r="BQ462" s="124" t="str">
        <f t="shared" ca="1" si="91"/>
        <v/>
      </c>
      <c r="BR462" s="124" t="str">
        <f t="shared" ca="1" si="89"/>
        <v/>
      </c>
      <c r="BS462" s="124" t="str">
        <f t="shared" ca="1" si="89"/>
        <v/>
      </c>
      <c r="BT462" s="124" t="str">
        <f t="shared" ca="1" si="89"/>
        <v/>
      </c>
      <c r="BU462" s="124" t="str">
        <f t="shared" ca="1" si="89"/>
        <v/>
      </c>
    </row>
    <row r="463" spans="1:73" x14ac:dyDescent="0.15">
      <c r="A463">
        <v>43</v>
      </c>
      <c r="B463" s="124" t="str">
        <f t="shared" ca="1" si="49"/>
        <v/>
      </c>
      <c r="C463" s="123" t="str">
        <f ca="1">IF(A463&lt;=①簡易状況入力!$AC$5,INDIRECT("A"&amp;VLOOKUP($A463,①簡易状況入力!$Y$5:$AB$104,4,FALSE)),"")</f>
        <v/>
      </c>
      <c r="D463" s="125" t="str">
        <f t="shared" ca="1" si="50"/>
        <v/>
      </c>
      <c r="E463" s="125" t="str">
        <f t="shared" ca="1" si="51"/>
        <v/>
      </c>
      <c r="F463" s="125" t="str">
        <f t="shared" ca="1" si="52"/>
        <v/>
      </c>
      <c r="G463" s="125" t="str">
        <f t="shared" ca="1" si="53"/>
        <v/>
      </c>
      <c r="H463" s="125" t="str">
        <f t="shared" ca="1" si="54"/>
        <v/>
      </c>
      <c r="I463" s="125" t="str">
        <f t="shared" ca="1" si="55"/>
        <v/>
      </c>
      <c r="J463" s="125" t="str">
        <f t="shared" ca="1" si="56"/>
        <v/>
      </c>
      <c r="K463" s="125" t="str">
        <f t="shared" ca="1" si="57"/>
        <v/>
      </c>
      <c r="L463" s="125" t="str">
        <f t="shared" ca="1" si="58"/>
        <v/>
      </c>
      <c r="M463" s="125" t="str">
        <f t="shared" ca="1" si="59"/>
        <v/>
      </c>
      <c r="N463" s="125" t="str">
        <f t="shared" ca="1" si="60"/>
        <v/>
      </c>
      <c r="O463" s="125" t="str">
        <f t="shared" ca="1" si="61"/>
        <v/>
      </c>
      <c r="P463" s="125" t="str">
        <f t="shared" ca="1" si="62"/>
        <v/>
      </c>
      <c r="Q463" s="125" t="str">
        <f t="shared" ca="1" si="63"/>
        <v/>
      </c>
      <c r="R463" s="125" t="str">
        <f t="shared" ca="1" si="64"/>
        <v/>
      </c>
      <c r="S463" s="125" t="str">
        <f t="shared" ca="1" si="65"/>
        <v/>
      </c>
      <c r="T463" s="125" t="str">
        <f t="shared" ca="1" si="66"/>
        <v/>
      </c>
      <c r="U463" s="125" t="str">
        <f t="shared" ca="1" si="67"/>
        <v/>
      </c>
      <c r="V463" s="125" t="str">
        <f t="shared" ca="1" si="68"/>
        <v/>
      </c>
      <c r="W463" s="125" t="str">
        <f t="shared" ca="1" si="69"/>
        <v/>
      </c>
      <c r="X463" s="125" t="str">
        <f t="shared" ca="1" si="70"/>
        <v/>
      </c>
      <c r="Y463" s="125" t="str">
        <f t="shared" ca="1" si="71"/>
        <v/>
      </c>
      <c r="Z463" s="125" t="str">
        <f t="shared" ca="1" si="72"/>
        <v/>
      </c>
      <c r="AA463" s="125" t="str">
        <f t="shared" ca="1" si="73"/>
        <v/>
      </c>
      <c r="AB463" s="125" t="str">
        <f t="shared" ca="1" si="74"/>
        <v/>
      </c>
      <c r="AC463" s="125" t="str">
        <f t="shared" ca="1" si="75"/>
        <v/>
      </c>
      <c r="AD463" s="125" t="str">
        <f t="shared" ca="1" si="76"/>
        <v/>
      </c>
      <c r="AE463" s="125" t="str">
        <f t="shared" ca="1" si="77"/>
        <v/>
      </c>
      <c r="AF463" s="125" t="str">
        <f t="shared" ca="1" si="78"/>
        <v/>
      </c>
      <c r="AG463" s="125" t="str">
        <f t="shared" ca="1" si="79"/>
        <v/>
      </c>
      <c r="AH463" s="125" t="str">
        <f t="shared" ca="1" si="80"/>
        <v/>
      </c>
      <c r="AI463" s="125" t="str">
        <f t="shared" ca="1" si="81"/>
        <v/>
      </c>
      <c r="AJ463" s="125" t="str">
        <f t="shared" ca="1" si="82"/>
        <v/>
      </c>
      <c r="AK463" s="125" t="str">
        <f t="shared" ca="1" si="83"/>
        <v/>
      </c>
      <c r="AL463" s="125" t="str">
        <f t="shared" ca="1" si="84"/>
        <v/>
      </c>
      <c r="AM463" s="124" t="str">
        <f t="shared" ca="1" si="93"/>
        <v/>
      </c>
      <c r="AN463" s="124" t="str">
        <f t="shared" ca="1" si="93"/>
        <v/>
      </c>
      <c r="AO463" s="124" t="str">
        <f t="shared" ca="1" si="93"/>
        <v/>
      </c>
      <c r="AP463" s="124" t="str">
        <f t="shared" ca="1" si="93"/>
        <v/>
      </c>
      <c r="AQ463" s="124" t="str">
        <f t="shared" ca="1" si="93"/>
        <v/>
      </c>
      <c r="AR463" s="124" t="str">
        <f t="shared" ca="1" si="93"/>
        <v/>
      </c>
      <c r="AS463" s="124" t="str">
        <f t="shared" ca="1" si="93"/>
        <v/>
      </c>
      <c r="AT463" s="124" t="str">
        <f t="shared" ca="1" si="93"/>
        <v/>
      </c>
      <c r="AU463" s="124" t="str">
        <f t="shared" ca="1" si="93"/>
        <v/>
      </c>
      <c r="AV463" s="124" t="str">
        <f t="shared" ca="1" si="93"/>
        <v/>
      </c>
      <c r="AW463" s="124" t="str">
        <f t="shared" ca="1" si="93"/>
        <v/>
      </c>
      <c r="AX463" s="124" t="str">
        <f t="shared" ca="1" si="93"/>
        <v/>
      </c>
      <c r="AY463" s="124" t="str">
        <f t="shared" ca="1" si="93"/>
        <v/>
      </c>
      <c r="AZ463" s="124" t="str">
        <f t="shared" ca="1" si="93"/>
        <v/>
      </c>
      <c r="BA463" s="124" t="str">
        <f t="shared" ca="1" si="93"/>
        <v/>
      </c>
      <c r="BB463" s="124" t="str">
        <f t="shared" ca="1" si="92"/>
        <v/>
      </c>
      <c r="BC463" s="124" t="str">
        <f t="shared" ca="1" si="92"/>
        <v/>
      </c>
      <c r="BD463" s="124" t="str">
        <f t="shared" ca="1" si="92"/>
        <v/>
      </c>
      <c r="BE463" s="124" t="str">
        <f t="shared" ca="1" si="92"/>
        <v/>
      </c>
      <c r="BF463" s="124" t="str">
        <f t="shared" ca="1" si="92"/>
        <v/>
      </c>
      <c r="BG463" s="124" t="str">
        <f t="shared" ca="1" si="92"/>
        <v/>
      </c>
      <c r="BH463" s="124" t="str">
        <f t="shared" ca="1" si="92"/>
        <v/>
      </c>
      <c r="BI463" s="124" t="str">
        <f t="shared" ca="1" si="92"/>
        <v/>
      </c>
      <c r="BJ463" s="124" t="str">
        <f t="shared" ca="1" si="92"/>
        <v/>
      </c>
      <c r="BK463" s="124" t="str">
        <f t="shared" ca="1" si="92"/>
        <v/>
      </c>
      <c r="BL463" s="124" t="str">
        <f t="shared" ca="1" si="92"/>
        <v/>
      </c>
      <c r="BM463" s="124" t="str">
        <f t="shared" ca="1" si="92"/>
        <v/>
      </c>
      <c r="BN463" s="124" t="str">
        <f t="shared" ca="1" si="92"/>
        <v/>
      </c>
      <c r="BO463" s="124" t="str">
        <f t="shared" ca="1" si="92"/>
        <v/>
      </c>
      <c r="BP463" s="124" t="str">
        <f t="shared" ca="1" si="91"/>
        <v/>
      </c>
      <c r="BQ463" s="124" t="str">
        <f t="shared" ca="1" si="91"/>
        <v/>
      </c>
      <c r="BR463" s="124" t="str">
        <f t="shared" ca="1" si="89"/>
        <v/>
      </c>
      <c r="BS463" s="124" t="str">
        <f t="shared" ca="1" si="89"/>
        <v/>
      </c>
      <c r="BT463" s="124" t="str">
        <f t="shared" ca="1" si="89"/>
        <v/>
      </c>
      <c r="BU463" s="124" t="str">
        <f t="shared" ca="1" si="89"/>
        <v/>
      </c>
    </row>
    <row r="464" spans="1:73" x14ac:dyDescent="0.15">
      <c r="A464">
        <v>44</v>
      </c>
      <c r="B464" s="124" t="str">
        <f t="shared" ca="1" si="49"/>
        <v/>
      </c>
      <c r="C464" s="123" t="str">
        <f ca="1">IF(A464&lt;=①簡易状況入力!$AC$5,INDIRECT("A"&amp;VLOOKUP($A464,①簡易状況入力!$Y$5:$AB$104,4,FALSE)),"")</f>
        <v/>
      </c>
      <c r="D464" s="125" t="str">
        <f t="shared" ca="1" si="50"/>
        <v/>
      </c>
      <c r="E464" s="125" t="str">
        <f t="shared" ca="1" si="51"/>
        <v/>
      </c>
      <c r="F464" s="125" t="str">
        <f t="shared" ca="1" si="52"/>
        <v/>
      </c>
      <c r="G464" s="125" t="str">
        <f t="shared" ca="1" si="53"/>
        <v/>
      </c>
      <c r="H464" s="125" t="str">
        <f t="shared" ca="1" si="54"/>
        <v/>
      </c>
      <c r="I464" s="125" t="str">
        <f t="shared" ca="1" si="55"/>
        <v/>
      </c>
      <c r="J464" s="125" t="str">
        <f t="shared" ca="1" si="56"/>
        <v/>
      </c>
      <c r="K464" s="125" t="str">
        <f t="shared" ca="1" si="57"/>
        <v/>
      </c>
      <c r="L464" s="125" t="str">
        <f t="shared" ca="1" si="58"/>
        <v/>
      </c>
      <c r="M464" s="125" t="str">
        <f t="shared" ca="1" si="59"/>
        <v/>
      </c>
      <c r="N464" s="125" t="str">
        <f t="shared" ca="1" si="60"/>
        <v/>
      </c>
      <c r="O464" s="125" t="str">
        <f t="shared" ca="1" si="61"/>
        <v/>
      </c>
      <c r="P464" s="125" t="str">
        <f t="shared" ca="1" si="62"/>
        <v/>
      </c>
      <c r="Q464" s="125" t="str">
        <f t="shared" ca="1" si="63"/>
        <v/>
      </c>
      <c r="R464" s="125" t="str">
        <f t="shared" ca="1" si="64"/>
        <v/>
      </c>
      <c r="S464" s="125" t="str">
        <f t="shared" ca="1" si="65"/>
        <v/>
      </c>
      <c r="T464" s="125" t="str">
        <f t="shared" ca="1" si="66"/>
        <v/>
      </c>
      <c r="U464" s="125" t="str">
        <f t="shared" ca="1" si="67"/>
        <v/>
      </c>
      <c r="V464" s="125" t="str">
        <f t="shared" ca="1" si="68"/>
        <v/>
      </c>
      <c r="W464" s="125" t="str">
        <f t="shared" ca="1" si="69"/>
        <v/>
      </c>
      <c r="X464" s="125" t="str">
        <f t="shared" ca="1" si="70"/>
        <v/>
      </c>
      <c r="Y464" s="125" t="str">
        <f t="shared" ca="1" si="71"/>
        <v/>
      </c>
      <c r="Z464" s="125" t="str">
        <f t="shared" ca="1" si="72"/>
        <v/>
      </c>
      <c r="AA464" s="125" t="str">
        <f t="shared" ca="1" si="73"/>
        <v/>
      </c>
      <c r="AB464" s="125" t="str">
        <f t="shared" ca="1" si="74"/>
        <v/>
      </c>
      <c r="AC464" s="125" t="str">
        <f t="shared" ca="1" si="75"/>
        <v/>
      </c>
      <c r="AD464" s="125" t="str">
        <f t="shared" ca="1" si="76"/>
        <v/>
      </c>
      <c r="AE464" s="125" t="str">
        <f t="shared" ca="1" si="77"/>
        <v/>
      </c>
      <c r="AF464" s="125" t="str">
        <f t="shared" ca="1" si="78"/>
        <v/>
      </c>
      <c r="AG464" s="125" t="str">
        <f t="shared" ca="1" si="79"/>
        <v/>
      </c>
      <c r="AH464" s="125" t="str">
        <f t="shared" ca="1" si="80"/>
        <v/>
      </c>
      <c r="AI464" s="125" t="str">
        <f t="shared" ca="1" si="81"/>
        <v/>
      </c>
      <c r="AJ464" s="125" t="str">
        <f t="shared" ca="1" si="82"/>
        <v/>
      </c>
      <c r="AK464" s="125" t="str">
        <f t="shared" ca="1" si="83"/>
        <v/>
      </c>
      <c r="AL464" s="125" t="str">
        <f t="shared" ca="1" si="84"/>
        <v/>
      </c>
      <c r="AM464" s="124" t="str">
        <f t="shared" ca="1" si="93"/>
        <v/>
      </c>
      <c r="AN464" s="124" t="str">
        <f t="shared" ca="1" si="93"/>
        <v/>
      </c>
      <c r="AO464" s="124" t="str">
        <f t="shared" ca="1" si="93"/>
        <v/>
      </c>
      <c r="AP464" s="124" t="str">
        <f t="shared" ca="1" si="93"/>
        <v/>
      </c>
      <c r="AQ464" s="124" t="str">
        <f t="shared" ca="1" si="93"/>
        <v/>
      </c>
      <c r="AR464" s="124" t="str">
        <f t="shared" ca="1" si="93"/>
        <v/>
      </c>
      <c r="AS464" s="124" t="str">
        <f t="shared" ca="1" si="93"/>
        <v/>
      </c>
      <c r="AT464" s="124" t="str">
        <f t="shared" ca="1" si="93"/>
        <v/>
      </c>
      <c r="AU464" s="124" t="str">
        <f t="shared" ca="1" si="93"/>
        <v/>
      </c>
      <c r="AV464" s="124" t="str">
        <f t="shared" ca="1" si="93"/>
        <v/>
      </c>
      <c r="AW464" s="124" t="str">
        <f t="shared" ca="1" si="93"/>
        <v/>
      </c>
      <c r="AX464" s="124" t="str">
        <f t="shared" ca="1" si="93"/>
        <v/>
      </c>
      <c r="AY464" s="124" t="str">
        <f t="shared" ca="1" si="93"/>
        <v/>
      </c>
      <c r="AZ464" s="124" t="str">
        <f t="shared" ca="1" si="93"/>
        <v/>
      </c>
      <c r="BA464" s="124" t="str">
        <f t="shared" ca="1" si="93"/>
        <v/>
      </c>
      <c r="BB464" s="124" t="str">
        <f t="shared" ca="1" si="92"/>
        <v/>
      </c>
      <c r="BC464" s="124" t="str">
        <f t="shared" ca="1" si="92"/>
        <v/>
      </c>
      <c r="BD464" s="124" t="str">
        <f t="shared" ca="1" si="92"/>
        <v/>
      </c>
      <c r="BE464" s="124" t="str">
        <f t="shared" ca="1" si="92"/>
        <v/>
      </c>
      <c r="BF464" s="124" t="str">
        <f t="shared" ca="1" si="92"/>
        <v/>
      </c>
      <c r="BG464" s="124" t="str">
        <f t="shared" ca="1" si="92"/>
        <v/>
      </c>
      <c r="BH464" s="124" t="str">
        <f t="shared" ca="1" si="92"/>
        <v/>
      </c>
      <c r="BI464" s="124" t="str">
        <f t="shared" ca="1" si="92"/>
        <v/>
      </c>
      <c r="BJ464" s="124" t="str">
        <f t="shared" ca="1" si="92"/>
        <v/>
      </c>
      <c r="BK464" s="124" t="str">
        <f t="shared" ca="1" si="92"/>
        <v/>
      </c>
      <c r="BL464" s="124" t="str">
        <f t="shared" ca="1" si="92"/>
        <v/>
      </c>
      <c r="BM464" s="124" t="str">
        <f t="shared" ca="1" si="92"/>
        <v/>
      </c>
      <c r="BN464" s="124" t="str">
        <f t="shared" ca="1" si="92"/>
        <v/>
      </c>
      <c r="BO464" s="124" t="str">
        <f t="shared" ca="1" si="92"/>
        <v/>
      </c>
      <c r="BP464" s="124" t="str">
        <f t="shared" ca="1" si="91"/>
        <v/>
      </c>
      <c r="BQ464" s="124" t="str">
        <f t="shared" ca="1" si="91"/>
        <v/>
      </c>
      <c r="BR464" s="124" t="str">
        <f t="shared" ca="1" si="89"/>
        <v/>
      </c>
      <c r="BS464" s="124" t="str">
        <f t="shared" ca="1" si="89"/>
        <v/>
      </c>
      <c r="BT464" s="124" t="str">
        <f t="shared" ca="1" si="89"/>
        <v/>
      </c>
      <c r="BU464" s="124" t="str">
        <f t="shared" ca="1" si="89"/>
        <v/>
      </c>
    </row>
    <row r="465" spans="1:73" x14ac:dyDescent="0.15">
      <c r="A465">
        <v>45</v>
      </c>
      <c r="B465" s="124" t="str">
        <f t="shared" ca="1" si="49"/>
        <v/>
      </c>
      <c r="C465" s="123" t="str">
        <f ca="1">IF(A465&lt;=①簡易状況入力!$AC$5,INDIRECT("A"&amp;VLOOKUP($A465,①簡易状況入力!$Y$5:$AB$104,4,FALSE)),"")</f>
        <v/>
      </c>
      <c r="D465" s="125" t="str">
        <f t="shared" ca="1" si="50"/>
        <v/>
      </c>
      <c r="E465" s="125" t="str">
        <f t="shared" ca="1" si="51"/>
        <v/>
      </c>
      <c r="F465" s="125" t="str">
        <f t="shared" ca="1" si="52"/>
        <v/>
      </c>
      <c r="G465" s="125" t="str">
        <f t="shared" ca="1" si="53"/>
        <v/>
      </c>
      <c r="H465" s="125" t="str">
        <f t="shared" ca="1" si="54"/>
        <v/>
      </c>
      <c r="I465" s="125" t="str">
        <f t="shared" ca="1" si="55"/>
        <v/>
      </c>
      <c r="J465" s="125" t="str">
        <f t="shared" ca="1" si="56"/>
        <v/>
      </c>
      <c r="K465" s="125" t="str">
        <f t="shared" ca="1" si="57"/>
        <v/>
      </c>
      <c r="L465" s="125" t="str">
        <f t="shared" ca="1" si="58"/>
        <v/>
      </c>
      <c r="M465" s="125" t="str">
        <f t="shared" ca="1" si="59"/>
        <v/>
      </c>
      <c r="N465" s="125" t="str">
        <f t="shared" ca="1" si="60"/>
        <v/>
      </c>
      <c r="O465" s="125" t="str">
        <f t="shared" ca="1" si="61"/>
        <v/>
      </c>
      <c r="P465" s="125" t="str">
        <f t="shared" ca="1" si="62"/>
        <v/>
      </c>
      <c r="Q465" s="125" t="str">
        <f t="shared" ca="1" si="63"/>
        <v/>
      </c>
      <c r="R465" s="125" t="str">
        <f t="shared" ca="1" si="64"/>
        <v/>
      </c>
      <c r="S465" s="125" t="str">
        <f t="shared" ca="1" si="65"/>
        <v/>
      </c>
      <c r="T465" s="125" t="str">
        <f t="shared" ca="1" si="66"/>
        <v/>
      </c>
      <c r="U465" s="125" t="str">
        <f t="shared" ca="1" si="67"/>
        <v/>
      </c>
      <c r="V465" s="125" t="str">
        <f t="shared" ca="1" si="68"/>
        <v/>
      </c>
      <c r="W465" s="125" t="str">
        <f t="shared" ca="1" si="69"/>
        <v/>
      </c>
      <c r="X465" s="125" t="str">
        <f t="shared" ca="1" si="70"/>
        <v/>
      </c>
      <c r="Y465" s="125" t="str">
        <f t="shared" ca="1" si="71"/>
        <v/>
      </c>
      <c r="Z465" s="125" t="str">
        <f t="shared" ca="1" si="72"/>
        <v/>
      </c>
      <c r="AA465" s="125" t="str">
        <f t="shared" ca="1" si="73"/>
        <v/>
      </c>
      <c r="AB465" s="125" t="str">
        <f t="shared" ca="1" si="74"/>
        <v/>
      </c>
      <c r="AC465" s="125" t="str">
        <f t="shared" ca="1" si="75"/>
        <v/>
      </c>
      <c r="AD465" s="125" t="str">
        <f t="shared" ca="1" si="76"/>
        <v/>
      </c>
      <c r="AE465" s="125" t="str">
        <f t="shared" ca="1" si="77"/>
        <v/>
      </c>
      <c r="AF465" s="125" t="str">
        <f t="shared" ca="1" si="78"/>
        <v/>
      </c>
      <c r="AG465" s="125" t="str">
        <f t="shared" ca="1" si="79"/>
        <v/>
      </c>
      <c r="AH465" s="125" t="str">
        <f t="shared" ca="1" si="80"/>
        <v/>
      </c>
      <c r="AI465" s="125" t="str">
        <f t="shared" ca="1" si="81"/>
        <v/>
      </c>
      <c r="AJ465" s="125" t="str">
        <f t="shared" ca="1" si="82"/>
        <v/>
      </c>
      <c r="AK465" s="125" t="str">
        <f t="shared" ca="1" si="83"/>
        <v/>
      </c>
      <c r="AL465" s="125" t="str">
        <f t="shared" ca="1" si="84"/>
        <v/>
      </c>
      <c r="AM465" s="124" t="str">
        <f t="shared" ca="1" si="93"/>
        <v/>
      </c>
      <c r="AN465" s="124" t="str">
        <f t="shared" ca="1" si="93"/>
        <v/>
      </c>
      <c r="AO465" s="124" t="str">
        <f t="shared" ca="1" si="93"/>
        <v/>
      </c>
      <c r="AP465" s="124" t="str">
        <f t="shared" ca="1" si="93"/>
        <v/>
      </c>
      <c r="AQ465" s="124" t="str">
        <f t="shared" ca="1" si="93"/>
        <v/>
      </c>
      <c r="AR465" s="124" t="str">
        <f t="shared" ca="1" si="93"/>
        <v/>
      </c>
      <c r="AS465" s="124" t="str">
        <f t="shared" ca="1" si="93"/>
        <v/>
      </c>
      <c r="AT465" s="124" t="str">
        <f t="shared" ca="1" si="93"/>
        <v/>
      </c>
      <c r="AU465" s="124" t="str">
        <f t="shared" ca="1" si="93"/>
        <v/>
      </c>
      <c r="AV465" s="124" t="str">
        <f t="shared" ca="1" si="93"/>
        <v/>
      </c>
      <c r="AW465" s="124" t="str">
        <f t="shared" ca="1" si="93"/>
        <v/>
      </c>
      <c r="AX465" s="124" t="str">
        <f t="shared" ca="1" si="93"/>
        <v/>
      </c>
      <c r="AY465" s="124" t="str">
        <f t="shared" ca="1" si="93"/>
        <v/>
      </c>
      <c r="AZ465" s="124" t="str">
        <f t="shared" ca="1" si="93"/>
        <v/>
      </c>
      <c r="BA465" s="124" t="str">
        <f t="shared" ca="1" si="93"/>
        <v/>
      </c>
      <c r="BB465" s="124" t="str">
        <f t="shared" ca="1" si="92"/>
        <v/>
      </c>
      <c r="BC465" s="124" t="str">
        <f t="shared" ca="1" si="92"/>
        <v/>
      </c>
      <c r="BD465" s="124" t="str">
        <f t="shared" ca="1" si="92"/>
        <v/>
      </c>
      <c r="BE465" s="124" t="str">
        <f t="shared" ca="1" si="92"/>
        <v/>
      </c>
      <c r="BF465" s="124" t="str">
        <f t="shared" ca="1" si="92"/>
        <v/>
      </c>
      <c r="BG465" s="124" t="str">
        <f t="shared" ca="1" si="92"/>
        <v/>
      </c>
      <c r="BH465" s="124" t="str">
        <f t="shared" ca="1" si="92"/>
        <v/>
      </c>
      <c r="BI465" s="124" t="str">
        <f t="shared" ca="1" si="92"/>
        <v/>
      </c>
      <c r="BJ465" s="124" t="str">
        <f t="shared" ca="1" si="92"/>
        <v/>
      </c>
      <c r="BK465" s="124" t="str">
        <f t="shared" ca="1" si="92"/>
        <v/>
      </c>
      <c r="BL465" s="124" t="str">
        <f t="shared" ca="1" si="92"/>
        <v/>
      </c>
      <c r="BM465" s="124" t="str">
        <f t="shared" ca="1" si="92"/>
        <v/>
      </c>
      <c r="BN465" s="124" t="str">
        <f t="shared" ca="1" si="92"/>
        <v/>
      </c>
      <c r="BO465" s="124" t="str">
        <f t="shared" ca="1" si="92"/>
        <v/>
      </c>
      <c r="BP465" s="124" t="str">
        <f t="shared" ca="1" si="91"/>
        <v/>
      </c>
      <c r="BQ465" s="124" t="str">
        <f t="shared" ca="1" si="91"/>
        <v/>
      </c>
      <c r="BR465" s="124" t="str">
        <f t="shared" ca="1" si="89"/>
        <v/>
      </c>
      <c r="BS465" s="124" t="str">
        <f t="shared" ca="1" si="89"/>
        <v/>
      </c>
      <c r="BT465" s="124" t="str">
        <f t="shared" ca="1" si="89"/>
        <v/>
      </c>
      <c r="BU465" s="124" t="str">
        <f t="shared" ca="1" si="89"/>
        <v/>
      </c>
    </row>
    <row r="466" spans="1:73" x14ac:dyDescent="0.15">
      <c r="A466">
        <v>46</v>
      </c>
      <c r="B466" s="124" t="str">
        <f t="shared" ca="1" si="49"/>
        <v/>
      </c>
      <c r="C466" s="123" t="str">
        <f ca="1">IF(A466&lt;=①簡易状況入力!$AC$5,INDIRECT("A"&amp;VLOOKUP($A466,①簡易状況入力!$Y$5:$AB$104,4,FALSE)),"")</f>
        <v/>
      </c>
      <c r="D466" s="125" t="str">
        <f t="shared" ca="1" si="50"/>
        <v/>
      </c>
      <c r="E466" s="125" t="str">
        <f t="shared" ca="1" si="51"/>
        <v/>
      </c>
      <c r="F466" s="125" t="str">
        <f t="shared" ca="1" si="52"/>
        <v/>
      </c>
      <c r="G466" s="125" t="str">
        <f t="shared" ca="1" si="53"/>
        <v/>
      </c>
      <c r="H466" s="125" t="str">
        <f t="shared" ca="1" si="54"/>
        <v/>
      </c>
      <c r="I466" s="125" t="str">
        <f t="shared" ca="1" si="55"/>
        <v/>
      </c>
      <c r="J466" s="125" t="str">
        <f t="shared" ca="1" si="56"/>
        <v/>
      </c>
      <c r="K466" s="125" t="str">
        <f t="shared" ca="1" si="57"/>
        <v/>
      </c>
      <c r="L466" s="125" t="str">
        <f t="shared" ca="1" si="58"/>
        <v/>
      </c>
      <c r="M466" s="125" t="str">
        <f t="shared" ca="1" si="59"/>
        <v/>
      </c>
      <c r="N466" s="125" t="str">
        <f t="shared" ca="1" si="60"/>
        <v/>
      </c>
      <c r="O466" s="125" t="str">
        <f t="shared" ca="1" si="61"/>
        <v/>
      </c>
      <c r="P466" s="125" t="str">
        <f t="shared" ca="1" si="62"/>
        <v/>
      </c>
      <c r="Q466" s="125" t="str">
        <f t="shared" ca="1" si="63"/>
        <v/>
      </c>
      <c r="R466" s="125" t="str">
        <f t="shared" ca="1" si="64"/>
        <v/>
      </c>
      <c r="S466" s="125" t="str">
        <f t="shared" ca="1" si="65"/>
        <v/>
      </c>
      <c r="T466" s="125" t="str">
        <f t="shared" ca="1" si="66"/>
        <v/>
      </c>
      <c r="U466" s="125" t="str">
        <f t="shared" ca="1" si="67"/>
        <v/>
      </c>
      <c r="V466" s="125" t="str">
        <f t="shared" ca="1" si="68"/>
        <v/>
      </c>
      <c r="W466" s="125" t="str">
        <f t="shared" ca="1" si="69"/>
        <v/>
      </c>
      <c r="X466" s="125" t="str">
        <f t="shared" ca="1" si="70"/>
        <v/>
      </c>
      <c r="Y466" s="125" t="str">
        <f t="shared" ca="1" si="71"/>
        <v/>
      </c>
      <c r="Z466" s="125" t="str">
        <f t="shared" ca="1" si="72"/>
        <v/>
      </c>
      <c r="AA466" s="125" t="str">
        <f t="shared" ca="1" si="73"/>
        <v/>
      </c>
      <c r="AB466" s="125" t="str">
        <f t="shared" ca="1" si="74"/>
        <v/>
      </c>
      <c r="AC466" s="125" t="str">
        <f t="shared" ca="1" si="75"/>
        <v/>
      </c>
      <c r="AD466" s="125" t="str">
        <f t="shared" ca="1" si="76"/>
        <v/>
      </c>
      <c r="AE466" s="125" t="str">
        <f t="shared" ca="1" si="77"/>
        <v/>
      </c>
      <c r="AF466" s="125" t="str">
        <f t="shared" ca="1" si="78"/>
        <v/>
      </c>
      <c r="AG466" s="125" t="str">
        <f t="shared" ca="1" si="79"/>
        <v/>
      </c>
      <c r="AH466" s="125" t="str">
        <f t="shared" ca="1" si="80"/>
        <v/>
      </c>
      <c r="AI466" s="125" t="str">
        <f t="shared" ca="1" si="81"/>
        <v/>
      </c>
      <c r="AJ466" s="125" t="str">
        <f t="shared" ca="1" si="82"/>
        <v/>
      </c>
      <c r="AK466" s="125" t="str">
        <f t="shared" ca="1" si="83"/>
        <v/>
      </c>
      <c r="AL466" s="125" t="str">
        <f t="shared" ca="1" si="84"/>
        <v/>
      </c>
      <c r="AM466" s="124" t="str">
        <f t="shared" ca="1" si="93"/>
        <v/>
      </c>
      <c r="AN466" s="124" t="str">
        <f t="shared" ca="1" si="93"/>
        <v/>
      </c>
      <c r="AO466" s="124" t="str">
        <f t="shared" ca="1" si="93"/>
        <v/>
      </c>
      <c r="AP466" s="124" t="str">
        <f t="shared" ca="1" si="93"/>
        <v/>
      </c>
      <c r="AQ466" s="124" t="str">
        <f t="shared" ca="1" si="93"/>
        <v/>
      </c>
      <c r="AR466" s="124" t="str">
        <f t="shared" ca="1" si="93"/>
        <v/>
      </c>
      <c r="AS466" s="124" t="str">
        <f t="shared" ca="1" si="93"/>
        <v/>
      </c>
      <c r="AT466" s="124" t="str">
        <f t="shared" ca="1" si="93"/>
        <v/>
      </c>
      <c r="AU466" s="124" t="str">
        <f t="shared" ca="1" si="93"/>
        <v/>
      </c>
      <c r="AV466" s="124" t="str">
        <f t="shared" ca="1" si="93"/>
        <v/>
      </c>
      <c r="AW466" s="124" t="str">
        <f t="shared" ca="1" si="93"/>
        <v/>
      </c>
      <c r="AX466" s="124" t="str">
        <f t="shared" ca="1" si="93"/>
        <v/>
      </c>
      <c r="AY466" s="124" t="str">
        <f t="shared" ca="1" si="93"/>
        <v/>
      </c>
      <c r="AZ466" s="124" t="str">
        <f t="shared" ca="1" si="93"/>
        <v/>
      </c>
      <c r="BA466" s="124" t="str">
        <f t="shared" ca="1" si="93"/>
        <v/>
      </c>
      <c r="BB466" s="124" t="str">
        <f t="shared" ca="1" si="92"/>
        <v/>
      </c>
      <c r="BC466" s="124" t="str">
        <f t="shared" ca="1" si="92"/>
        <v/>
      </c>
      <c r="BD466" s="124" t="str">
        <f t="shared" ca="1" si="92"/>
        <v/>
      </c>
      <c r="BE466" s="124" t="str">
        <f t="shared" ca="1" si="92"/>
        <v/>
      </c>
      <c r="BF466" s="124" t="str">
        <f t="shared" ca="1" si="92"/>
        <v/>
      </c>
      <c r="BG466" s="124" t="str">
        <f t="shared" ca="1" si="92"/>
        <v/>
      </c>
      <c r="BH466" s="124" t="str">
        <f t="shared" ca="1" si="92"/>
        <v/>
      </c>
      <c r="BI466" s="124" t="str">
        <f t="shared" ca="1" si="92"/>
        <v/>
      </c>
      <c r="BJ466" s="124" t="str">
        <f t="shared" ca="1" si="92"/>
        <v/>
      </c>
      <c r="BK466" s="124" t="str">
        <f t="shared" ca="1" si="92"/>
        <v/>
      </c>
      <c r="BL466" s="124" t="str">
        <f t="shared" ca="1" si="92"/>
        <v/>
      </c>
      <c r="BM466" s="124" t="str">
        <f t="shared" ca="1" si="92"/>
        <v/>
      </c>
      <c r="BN466" s="124" t="str">
        <f t="shared" ca="1" si="92"/>
        <v/>
      </c>
      <c r="BO466" s="124" t="str">
        <f t="shared" ca="1" si="92"/>
        <v/>
      </c>
      <c r="BP466" s="124" t="str">
        <f t="shared" ca="1" si="91"/>
        <v/>
      </c>
      <c r="BQ466" s="124" t="str">
        <f t="shared" ca="1" si="91"/>
        <v/>
      </c>
      <c r="BR466" s="124" t="str">
        <f t="shared" ca="1" si="89"/>
        <v/>
      </c>
      <c r="BS466" s="124" t="str">
        <f t="shared" ca="1" si="89"/>
        <v/>
      </c>
      <c r="BT466" s="124" t="str">
        <f t="shared" ca="1" si="89"/>
        <v/>
      </c>
      <c r="BU466" s="124" t="str">
        <f t="shared" ca="1" si="89"/>
        <v/>
      </c>
    </row>
    <row r="467" spans="1:73" x14ac:dyDescent="0.15">
      <c r="A467">
        <v>47</v>
      </c>
      <c r="B467" s="124" t="str">
        <f t="shared" ca="1" si="49"/>
        <v/>
      </c>
      <c r="C467" s="123" t="str">
        <f ca="1">IF(A467&lt;=①簡易状況入力!$AC$5,INDIRECT("A"&amp;VLOOKUP($A467,①簡易状況入力!$Y$5:$AB$104,4,FALSE)),"")</f>
        <v/>
      </c>
      <c r="D467" s="125" t="str">
        <f t="shared" ca="1" si="50"/>
        <v/>
      </c>
      <c r="E467" s="125" t="str">
        <f t="shared" ca="1" si="51"/>
        <v/>
      </c>
      <c r="F467" s="125" t="str">
        <f t="shared" ca="1" si="52"/>
        <v/>
      </c>
      <c r="G467" s="125" t="str">
        <f t="shared" ca="1" si="53"/>
        <v/>
      </c>
      <c r="H467" s="125" t="str">
        <f t="shared" ca="1" si="54"/>
        <v/>
      </c>
      <c r="I467" s="125" t="str">
        <f t="shared" ca="1" si="55"/>
        <v/>
      </c>
      <c r="J467" s="125" t="str">
        <f t="shared" ca="1" si="56"/>
        <v/>
      </c>
      <c r="K467" s="125" t="str">
        <f t="shared" ca="1" si="57"/>
        <v/>
      </c>
      <c r="L467" s="125" t="str">
        <f t="shared" ca="1" si="58"/>
        <v/>
      </c>
      <c r="M467" s="125" t="str">
        <f t="shared" ca="1" si="59"/>
        <v/>
      </c>
      <c r="N467" s="125" t="str">
        <f t="shared" ca="1" si="60"/>
        <v/>
      </c>
      <c r="O467" s="125" t="str">
        <f t="shared" ca="1" si="61"/>
        <v/>
      </c>
      <c r="P467" s="125" t="str">
        <f t="shared" ca="1" si="62"/>
        <v/>
      </c>
      <c r="Q467" s="125" t="str">
        <f t="shared" ca="1" si="63"/>
        <v/>
      </c>
      <c r="R467" s="125" t="str">
        <f t="shared" ca="1" si="64"/>
        <v/>
      </c>
      <c r="S467" s="125" t="str">
        <f t="shared" ca="1" si="65"/>
        <v/>
      </c>
      <c r="T467" s="125" t="str">
        <f t="shared" ca="1" si="66"/>
        <v/>
      </c>
      <c r="U467" s="125" t="str">
        <f t="shared" ca="1" si="67"/>
        <v/>
      </c>
      <c r="V467" s="125" t="str">
        <f t="shared" ca="1" si="68"/>
        <v/>
      </c>
      <c r="W467" s="125" t="str">
        <f t="shared" ca="1" si="69"/>
        <v/>
      </c>
      <c r="X467" s="125" t="str">
        <f t="shared" ca="1" si="70"/>
        <v/>
      </c>
      <c r="Y467" s="125" t="str">
        <f t="shared" ca="1" si="71"/>
        <v/>
      </c>
      <c r="Z467" s="125" t="str">
        <f t="shared" ca="1" si="72"/>
        <v/>
      </c>
      <c r="AA467" s="125" t="str">
        <f t="shared" ca="1" si="73"/>
        <v/>
      </c>
      <c r="AB467" s="125" t="str">
        <f t="shared" ca="1" si="74"/>
        <v/>
      </c>
      <c r="AC467" s="125" t="str">
        <f t="shared" ca="1" si="75"/>
        <v/>
      </c>
      <c r="AD467" s="125" t="str">
        <f t="shared" ca="1" si="76"/>
        <v/>
      </c>
      <c r="AE467" s="125" t="str">
        <f t="shared" ca="1" si="77"/>
        <v/>
      </c>
      <c r="AF467" s="125" t="str">
        <f t="shared" ca="1" si="78"/>
        <v/>
      </c>
      <c r="AG467" s="125" t="str">
        <f t="shared" ca="1" si="79"/>
        <v/>
      </c>
      <c r="AH467" s="125" t="str">
        <f t="shared" ca="1" si="80"/>
        <v/>
      </c>
      <c r="AI467" s="125" t="str">
        <f t="shared" ca="1" si="81"/>
        <v/>
      </c>
      <c r="AJ467" s="125" t="str">
        <f t="shared" ca="1" si="82"/>
        <v/>
      </c>
      <c r="AK467" s="125" t="str">
        <f t="shared" ca="1" si="83"/>
        <v/>
      </c>
      <c r="AL467" s="125" t="str">
        <f t="shared" ca="1" si="84"/>
        <v/>
      </c>
      <c r="AM467" s="124" t="str">
        <f t="shared" ca="1" si="93"/>
        <v/>
      </c>
      <c r="AN467" s="124" t="str">
        <f t="shared" ca="1" si="93"/>
        <v/>
      </c>
      <c r="AO467" s="124" t="str">
        <f t="shared" ca="1" si="93"/>
        <v/>
      </c>
      <c r="AP467" s="124" t="str">
        <f t="shared" ca="1" si="93"/>
        <v/>
      </c>
      <c r="AQ467" s="124" t="str">
        <f t="shared" ca="1" si="93"/>
        <v/>
      </c>
      <c r="AR467" s="124" t="str">
        <f t="shared" ca="1" si="93"/>
        <v/>
      </c>
      <c r="AS467" s="124" t="str">
        <f t="shared" ca="1" si="93"/>
        <v/>
      </c>
      <c r="AT467" s="124" t="str">
        <f t="shared" ca="1" si="93"/>
        <v/>
      </c>
      <c r="AU467" s="124" t="str">
        <f t="shared" ca="1" si="93"/>
        <v/>
      </c>
      <c r="AV467" s="124" t="str">
        <f t="shared" ca="1" si="93"/>
        <v/>
      </c>
      <c r="AW467" s="124" t="str">
        <f t="shared" ca="1" si="93"/>
        <v/>
      </c>
      <c r="AX467" s="124" t="str">
        <f t="shared" ca="1" si="93"/>
        <v/>
      </c>
      <c r="AY467" s="124" t="str">
        <f t="shared" ca="1" si="93"/>
        <v/>
      </c>
      <c r="AZ467" s="124" t="str">
        <f t="shared" ca="1" si="93"/>
        <v/>
      </c>
      <c r="BA467" s="124" t="str">
        <f t="shared" ca="1" si="93"/>
        <v/>
      </c>
      <c r="BB467" s="124" t="str">
        <f t="shared" ca="1" si="92"/>
        <v/>
      </c>
      <c r="BC467" s="124" t="str">
        <f t="shared" ca="1" si="92"/>
        <v/>
      </c>
      <c r="BD467" s="124" t="str">
        <f t="shared" ca="1" si="92"/>
        <v/>
      </c>
      <c r="BE467" s="124" t="str">
        <f t="shared" ca="1" si="92"/>
        <v/>
      </c>
      <c r="BF467" s="124" t="str">
        <f t="shared" ca="1" si="92"/>
        <v/>
      </c>
      <c r="BG467" s="124" t="str">
        <f t="shared" ca="1" si="92"/>
        <v/>
      </c>
      <c r="BH467" s="124" t="str">
        <f t="shared" ca="1" si="92"/>
        <v/>
      </c>
      <c r="BI467" s="124" t="str">
        <f t="shared" ca="1" si="92"/>
        <v/>
      </c>
      <c r="BJ467" s="124" t="str">
        <f t="shared" ca="1" si="92"/>
        <v/>
      </c>
      <c r="BK467" s="124" t="str">
        <f t="shared" ca="1" si="92"/>
        <v/>
      </c>
      <c r="BL467" s="124" t="str">
        <f t="shared" ca="1" si="92"/>
        <v/>
      </c>
      <c r="BM467" s="124" t="str">
        <f t="shared" ca="1" si="92"/>
        <v/>
      </c>
      <c r="BN467" s="124" t="str">
        <f t="shared" ca="1" si="92"/>
        <v/>
      </c>
      <c r="BO467" s="124" t="str">
        <f t="shared" ca="1" si="92"/>
        <v/>
      </c>
      <c r="BP467" s="124" t="str">
        <f t="shared" ca="1" si="91"/>
        <v/>
      </c>
      <c r="BQ467" s="124" t="str">
        <f t="shared" ca="1" si="91"/>
        <v/>
      </c>
      <c r="BR467" s="124" t="str">
        <f t="shared" ca="1" si="89"/>
        <v/>
      </c>
      <c r="BS467" s="124" t="str">
        <f t="shared" ca="1" si="89"/>
        <v/>
      </c>
      <c r="BT467" s="124" t="str">
        <f t="shared" ca="1" si="89"/>
        <v/>
      </c>
      <c r="BU467" s="124" t="str">
        <f t="shared" ca="1" si="89"/>
        <v/>
      </c>
    </row>
    <row r="468" spans="1:73" x14ac:dyDescent="0.15">
      <c r="A468">
        <v>48</v>
      </c>
      <c r="B468" s="124" t="str">
        <f t="shared" ca="1" si="49"/>
        <v/>
      </c>
      <c r="C468" s="123" t="str">
        <f ca="1">IF(A468&lt;=①簡易状況入力!$AC$5,INDIRECT("A"&amp;VLOOKUP($A468,①簡易状況入力!$Y$5:$AB$104,4,FALSE)),"")</f>
        <v/>
      </c>
      <c r="D468" s="125" t="str">
        <f t="shared" ca="1" si="50"/>
        <v/>
      </c>
      <c r="E468" s="125" t="str">
        <f t="shared" ca="1" si="51"/>
        <v/>
      </c>
      <c r="F468" s="125" t="str">
        <f t="shared" ca="1" si="52"/>
        <v/>
      </c>
      <c r="G468" s="125" t="str">
        <f t="shared" ca="1" si="53"/>
        <v/>
      </c>
      <c r="H468" s="125" t="str">
        <f t="shared" ca="1" si="54"/>
        <v/>
      </c>
      <c r="I468" s="125" t="str">
        <f t="shared" ca="1" si="55"/>
        <v/>
      </c>
      <c r="J468" s="125" t="str">
        <f t="shared" ca="1" si="56"/>
        <v/>
      </c>
      <c r="K468" s="125" t="str">
        <f t="shared" ca="1" si="57"/>
        <v/>
      </c>
      <c r="L468" s="125" t="str">
        <f t="shared" ca="1" si="58"/>
        <v/>
      </c>
      <c r="M468" s="125" t="str">
        <f t="shared" ca="1" si="59"/>
        <v/>
      </c>
      <c r="N468" s="125" t="str">
        <f t="shared" ca="1" si="60"/>
        <v/>
      </c>
      <c r="O468" s="125" t="str">
        <f t="shared" ca="1" si="61"/>
        <v/>
      </c>
      <c r="P468" s="125" t="str">
        <f t="shared" ca="1" si="62"/>
        <v/>
      </c>
      <c r="Q468" s="125" t="str">
        <f t="shared" ca="1" si="63"/>
        <v/>
      </c>
      <c r="R468" s="125" t="str">
        <f t="shared" ca="1" si="64"/>
        <v/>
      </c>
      <c r="S468" s="125" t="str">
        <f t="shared" ca="1" si="65"/>
        <v/>
      </c>
      <c r="T468" s="125" t="str">
        <f t="shared" ca="1" si="66"/>
        <v/>
      </c>
      <c r="U468" s="125" t="str">
        <f t="shared" ca="1" si="67"/>
        <v/>
      </c>
      <c r="V468" s="125" t="str">
        <f t="shared" ca="1" si="68"/>
        <v/>
      </c>
      <c r="W468" s="125" t="str">
        <f t="shared" ca="1" si="69"/>
        <v/>
      </c>
      <c r="X468" s="125" t="str">
        <f t="shared" ca="1" si="70"/>
        <v/>
      </c>
      <c r="Y468" s="125" t="str">
        <f t="shared" ca="1" si="71"/>
        <v/>
      </c>
      <c r="Z468" s="125" t="str">
        <f t="shared" ca="1" si="72"/>
        <v/>
      </c>
      <c r="AA468" s="125" t="str">
        <f t="shared" ca="1" si="73"/>
        <v/>
      </c>
      <c r="AB468" s="125" t="str">
        <f t="shared" ca="1" si="74"/>
        <v/>
      </c>
      <c r="AC468" s="125" t="str">
        <f t="shared" ca="1" si="75"/>
        <v/>
      </c>
      <c r="AD468" s="125" t="str">
        <f t="shared" ca="1" si="76"/>
        <v/>
      </c>
      <c r="AE468" s="125" t="str">
        <f t="shared" ca="1" si="77"/>
        <v/>
      </c>
      <c r="AF468" s="125" t="str">
        <f t="shared" ca="1" si="78"/>
        <v/>
      </c>
      <c r="AG468" s="125" t="str">
        <f t="shared" ca="1" si="79"/>
        <v/>
      </c>
      <c r="AH468" s="125" t="str">
        <f t="shared" ca="1" si="80"/>
        <v/>
      </c>
      <c r="AI468" s="125" t="str">
        <f t="shared" ca="1" si="81"/>
        <v/>
      </c>
      <c r="AJ468" s="125" t="str">
        <f t="shared" ca="1" si="82"/>
        <v/>
      </c>
      <c r="AK468" s="125" t="str">
        <f t="shared" ca="1" si="83"/>
        <v/>
      </c>
      <c r="AL468" s="125" t="str">
        <f t="shared" ca="1" si="84"/>
        <v/>
      </c>
      <c r="AM468" s="124" t="str">
        <f t="shared" ca="1" si="93"/>
        <v/>
      </c>
      <c r="AN468" s="124" t="str">
        <f t="shared" ca="1" si="93"/>
        <v/>
      </c>
      <c r="AO468" s="124" t="str">
        <f t="shared" ca="1" si="93"/>
        <v/>
      </c>
      <c r="AP468" s="124" t="str">
        <f t="shared" ca="1" si="93"/>
        <v/>
      </c>
      <c r="AQ468" s="124" t="str">
        <f t="shared" ca="1" si="93"/>
        <v/>
      </c>
      <c r="AR468" s="124" t="str">
        <f t="shared" ca="1" si="93"/>
        <v/>
      </c>
      <c r="AS468" s="124" t="str">
        <f t="shared" ca="1" si="93"/>
        <v/>
      </c>
      <c r="AT468" s="124" t="str">
        <f t="shared" ca="1" si="93"/>
        <v/>
      </c>
      <c r="AU468" s="124" t="str">
        <f t="shared" ca="1" si="93"/>
        <v/>
      </c>
      <c r="AV468" s="124" t="str">
        <f t="shared" ca="1" si="93"/>
        <v/>
      </c>
      <c r="AW468" s="124" t="str">
        <f t="shared" ca="1" si="93"/>
        <v/>
      </c>
      <c r="AX468" s="124" t="str">
        <f t="shared" ca="1" si="93"/>
        <v/>
      </c>
      <c r="AY468" s="124" t="str">
        <f t="shared" ca="1" si="93"/>
        <v/>
      </c>
      <c r="AZ468" s="124" t="str">
        <f t="shared" ca="1" si="93"/>
        <v/>
      </c>
      <c r="BA468" s="124" t="str">
        <f t="shared" ca="1" si="93"/>
        <v/>
      </c>
      <c r="BB468" s="124" t="str">
        <f t="shared" ca="1" si="92"/>
        <v/>
      </c>
      <c r="BC468" s="124" t="str">
        <f t="shared" ca="1" si="92"/>
        <v/>
      </c>
      <c r="BD468" s="124" t="str">
        <f t="shared" ca="1" si="92"/>
        <v/>
      </c>
      <c r="BE468" s="124" t="str">
        <f t="shared" ca="1" si="92"/>
        <v/>
      </c>
      <c r="BF468" s="124" t="str">
        <f t="shared" ca="1" si="92"/>
        <v/>
      </c>
      <c r="BG468" s="124" t="str">
        <f t="shared" ca="1" si="92"/>
        <v/>
      </c>
      <c r="BH468" s="124" t="str">
        <f t="shared" ca="1" si="92"/>
        <v/>
      </c>
      <c r="BI468" s="124" t="str">
        <f t="shared" ca="1" si="92"/>
        <v/>
      </c>
      <c r="BJ468" s="124" t="str">
        <f t="shared" ca="1" si="92"/>
        <v/>
      </c>
      <c r="BK468" s="124" t="str">
        <f t="shared" ca="1" si="92"/>
        <v/>
      </c>
      <c r="BL468" s="124" t="str">
        <f t="shared" ca="1" si="92"/>
        <v/>
      </c>
      <c r="BM468" s="124" t="str">
        <f t="shared" ca="1" si="92"/>
        <v/>
      </c>
      <c r="BN468" s="124" t="str">
        <f t="shared" ca="1" si="92"/>
        <v/>
      </c>
      <c r="BO468" s="124" t="str">
        <f t="shared" ca="1" si="92"/>
        <v/>
      </c>
      <c r="BP468" s="124" t="str">
        <f t="shared" ca="1" si="91"/>
        <v/>
      </c>
      <c r="BQ468" s="124" t="str">
        <f t="shared" ca="1" si="91"/>
        <v/>
      </c>
      <c r="BR468" s="124" t="str">
        <f t="shared" ca="1" si="89"/>
        <v/>
      </c>
      <c r="BS468" s="124" t="str">
        <f t="shared" ca="1" si="89"/>
        <v/>
      </c>
      <c r="BT468" s="124" t="str">
        <f t="shared" ca="1" si="89"/>
        <v/>
      </c>
      <c r="BU468" s="124" t="str">
        <f t="shared" ca="1" si="89"/>
        <v/>
      </c>
    </row>
    <row r="469" spans="1:73" x14ac:dyDescent="0.15">
      <c r="A469">
        <v>49</v>
      </c>
      <c r="B469" s="124" t="str">
        <f t="shared" ca="1" si="49"/>
        <v/>
      </c>
      <c r="C469" s="123" t="str">
        <f ca="1">IF(A469&lt;=①簡易状況入力!$AC$5,INDIRECT("A"&amp;VLOOKUP($A469,①簡易状況入力!$Y$5:$AB$104,4,FALSE)),"")</f>
        <v/>
      </c>
      <c r="D469" s="125" t="str">
        <f t="shared" ca="1" si="50"/>
        <v/>
      </c>
      <c r="E469" s="125" t="str">
        <f t="shared" ca="1" si="51"/>
        <v/>
      </c>
      <c r="F469" s="125" t="str">
        <f t="shared" ca="1" si="52"/>
        <v/>
      </c>
      <c r="G469" s="125" t="str">
        <f t="shared" ca="1" si="53"/>
        <v/>
      </c>
      <c r="H469" s="125" t="str">
        <f t="shared" ca="1" si="54"/>
        <v/>
      </c>
      <c r="I469" s="125" t="str">
        <f t="shared" ca="1" si="55"/>
        <v/>
      </c>
      <c r="J469" s="125" t="str">
        <f t="shared" ca="1" si="56"/>
        <v/>
      </c>
      <c r="K469" s="125" t="str">
        <f t="shared" ca="1" si="57"/>
        <v/>
      </c>
      <c r="L469" s="125" t="str">
        <f t="shared" ca="1" si="58"/>
        <v/>
      </c>
      <c r="M469" s="125" t="str">
        <f t="shared" ca="1" si="59"/>
        <v/>
      </c>
      <c r="N469" s="125" t="str">
        <f t="shared" ca="1" si="60"/>
        <v/>
      </c>
      <c r="O469" s="125" t="str">
        <f t="shared" ca="1" si="61"/>
        <v/>
      </c>
      <c r="P469" s="125" t="str">
        <f t="shared" ca="1" si="62"/>
        <v/>
      </c>
      <c r="Q469" s="125" t="str">
        <f t="shared" ca="1" si="63"/>
        <v/>
      </c>
      <c r="R469" s="125" t="str">
        <f t="shared" ca="1" si="64"/>
        <v/>
      </c>
      <c r="S469" s="125" t="str">
        <f t="shared" ca="1" si="65"/>
        <v/>
      </c>
      <c r="T469" s="125" t="str">
        <f t="shared" ca="1" si="66"/>
        <v/>
      </c>
      <c r="U469" s="125" t="str">
        <f t="shared" ca="1" si="67"/>
        <v/>
      </c>
      <c r="V469" s="125" t="str">
        <f t="shared" ca="1" si="68"/>
        <v/>
      </c>
      <c r="W469" s="125" t="str">
        <f t="shared" ca="1" si="69"/>
        <v/>
      </c>
      <c r="X469" s="125" t="str">
        <f t="shared" ca="1" si="70"/>
        <v/>
      </c>
      <c r="Y469" s="125" t="str">
        <f t="shared" ca="1" si="71"/>
        <v/>
      </c>
      <c r="Z469" s="125" t="str">
        <f t="shared" ca="1" si="72"/>
        <v/>
      </c>
      <c r="AA469" s="125" t="str">
        <f t="shared" ca="1" si="73"/>
        <v/>
      </c>
      <c r="AB469" s="125" t="str">
        <f t="shared" ca="1" si="74"/>
        <v/>
      </c>
      <c r="AC469" s="125" t="str">
        <f t="shared" ca="1" si="75"/>
        <v/>
      </c>
      <c r="AD469" s="125" t="str">
        <f t="shared" ca="1" si="76"/>
        <v/>
      </c>
      <c r="AE469" s="125" t="str">
        <f t="shared" ca="1" si="77"/>
        <v/>
      </c>
      <c r="AF469" s="125" t="str">
        <f t="shared" ca="1" si="78"/>
        <v/>
      </c>
      <c r="AG469" s="125" t="str">
        <f t="shared" ca="1" si="79"/>
        <v/>
      </c>
      <c r="AH469" s="125" t="str">
        <f t="shared" ca="1" si="80"/>
        <v/>
      </c>
      <c r="AI469" s="125" t="str">
        <f t="shared" ca="1" si="81"/>
        <v/>
      </c>
      <c r="AJ469" s="125" t="str">
        <f t="shared" ca="1" si="82"/>
        <v/>
      </c>
      <c r="AK469" s="125" t="str">
        <f t="shared" ca="1" si="83"/>
        <v/>
      </c>
      <c r="AL469" s="125" t="str">
        <f t="shared" ca="1" si="84"/>
        <v/>
      </c>
      <c r="AM469" s="124" t="str">
        <f t="shared" ca="1" si="93"/>
        <v/>
      </c>
      <c r="AN469" s="124" t="str">
        <f t="shared" ca="1" si="93"/>
        <v/>
      </c>
      <c r="AO469" s="124" t="str">
        <f t="shared" ca="1" si="93"/>
        <v/>
      </c>
      <c r="AP469" s="124" t="str">
        <f t="shared" ca="1" si="93"/>
        <v/>
      </c>
      <c r="AQ469" s="124" t="str">
        <f t="shared" ca="1" si="93"/>
        <v/>
      </c>
      <c r="AR469" s="124" t="str">
        <f t="shared" ca="1" si="93"/>
        <v/>
      </c>
      <c r="AS469" s="124" t="str">
        <f t="shared" ca="1" si="93"/>
        <v/>
      </c>
      <c r="AT469" s="124" t="str">
        <f t="shared" ca="1" si="93"/>
        <v/>
      </c>
      <c r="AU469" s="124" t="str">
        <f t="shared" ca="1" si="93"/>
        <v/>
      </c>
      <c r="AV469" s="124" t="str">
        <f t="shared" ca="1" si="93"/>
        <v/>
      </c>
      <c r="AW469" s="124" t="str">
        <f t="shared" ca="1" si="93"/>
        <v/>
      </c>
      <c r="AX469" s="124" t="str">
        <f t="shared" ca="1" si="93"/>
        <v/>
      </c>
      <c r="AY469" s="124" t="str">
        <f t="shared" ca="1" si="93"/>
        <v/>
      </c>
      <c r="AZ469" s="124" t="str">
        <f t="shared" ca="1" si="93"/>
        <v/>
      </c>
      <c r="BA469" s="124" t="str">
        <f t="shared" ca="1" si="93"/>
        <v/>
      </c>
      <c r="BB469" s="124" t="str">
        <f t="shared" ca="1" si="92"/>
        <v/>
      </c>
      <c r="BC469" s="124" t="str">
        <f t="shared" ca="1" si="92"/>
        <v/>
      </c>
      <c r="BD469" s="124" t="str">
        <f t="shared" ca="1" si="92"/>
        <v/>
      </c>
      <c r="BE469" s="124" t="str">
        <f t="shared" ca="1" si="92"/>
        <v/>
      </c>
      <c r="BF469" s="124" t="str">
        <f t="shared" ca="1" si="92"/>
        <v/>
      </c>
      <c r="BG469" s="124" t="str">
        <f t="shared" ca="1" si="92"/>
        <v/>
      </c>
      <c r="BH469" s="124" t="str">
        <f t="shared" ca="1" si="92"/>
        <v/>
      </c>
      <c r="BI469" s="124" t="str">
        <f t="shared" ca="1" si="92"/>
        <v/>
      </c>
      <c r="BJ469" s="124" t="str">
        <f t="shared" ca="1" si="92"/>
        <v/>
      </c>
      <c r="BK469" s="124" t="str">
        <f t="shared" ca="1" si="92"/>
        <v/>
      </c>
      <c r="BL469" s="124" t="str">
        <f t="shared" ca="1" si="92"/>
        <v/>
      </c>
      <c r="BM469" s="124" t="str">
        <f t="shared" ca="1" si="92"/>
        <v/>
      </c>
      <c r="BN469" s="124" t="str">
        <f t="shared" ca="1" si="92"/>
        <v/>
      </c>
      <c r="BO469" s="124" t="str">
        <f t="shared" ca="1" si="92"/>
        <v/>
      </c>
      <c r="BP469" s="124" t="str">
        <f t="shared" ca="1" si="91"/>
        <v/>
      </c>
      <c r="BQ469" s="124" t="str">
        <f t="shared" ca="1" si="91"/>
        <v/>
      </c>
      <c r="BR469" s="124" t="str">
        <f t="shared" ca="1" si="91"/>
        <v/>
      </c>
      <c r="BS469" s="124" t="str">
        <f t="shared" ca="1" si="91"/>
        <v/>
      </c>
      <c r="BT469" s="124" t="str">
        <f t="shared" ca="1" si="91"/>
        <v/>
      </c>
      <c r="BU469" s="124" t="str">
        <f t="shared" ca="1" si="91"/>
        <v/>
      </c>
    </row>
    <row r="470" spans="1:73" x14ac:dyDescent="0.15">
      <c r="A470">
        <v>50</v>
      </c>
      <c r="B470" s="124" t="str">
        <f t="shared" ca="1" si="49"/>
        <v/>
      </c>
      <c r="C470" s="123" t="str">
        <f ca="1">IF(A470&lt;=①簡易状況入力!$AC$5,INDIRECT("A"&amp;VLOOKUP($A470,①簡易状況入力!$Y$5:$AB$104,4,FALSE)),"")</f>
        <v/>
      </c>
      <c r="D470" s="125" t="str">
        <f t="shared" ca="1" si="50"/>
        <v/>
      </c>
      <c r="E470" s="125" t="str">
        <f t="shared" ca="1" si="51"/>
        <v/>
      </c>
      <c r="F470" s="125" t="str">
        <f t="shared" ca="1" si="52"/>
        <v/>
      </c>
      <c r="G470" s="125" t="str">
        <f t="shared" ca="1" si="53"/>
        <v/>
      </c>
      <c r="H470" s="125" t="str">
        <f t="shared" ca="1" si="54"/>
        <v/>
      </c>
      <c r="I470" s="125" t="str">
        <f t="shared" ca="1" si="55"/>
        <v/>
      </c>
      <c r="J470" s="125" t="str">
        <f t="shared" ca="1" si="56"/>
        <v/>
      </c>
      <c r="K470" s="125" t="str">
        <f t="shared" ca="1" si="57"/>
        <v/>
      </c>
      <c r="L470" s="125" t="str">
        <f t="shared" ca="1" si="58"/>
        <v/>
      </c>
      <c r="M470" s="125" t="str">
        <f t="shared" ca="1" si="59"/>
        <v/>
      </c>
      <c r="N470" s="125" t="str">
        <f t="shared" ca="1" si="60"/>
        <v/>
      </c>
      <c r="O470" s="125" t="str">
        <f t="shared" ca="1" si="61"/>
        <v/>
      </c>
      <c r="P470" s="125" t="str">
        <f t="shared" ca="1" si="62"/>
        <v/>
      </c>
      <c r="Q470" s="125" t="str">
        <f t="shared" ca="1" si="63"/>
        <v/>
      </c>
      <c r="R470" s="125" t="str">
        <f t="shared" ca="1" si="64"/>
        <v/>
      </c>
      <c r="S470" s="125" t="str">
        <f t="shared" ca="1" si="65"/>
        <v/>
      </c>
      <c r="T470" s="125" t="str">
        <f t="shared" ca="1" si="66"/>
        <v/>
      </c>
      <c r="U470" s="125" t="str">
        <f t="shared" ca="1" si="67"/>
        <v/>
      </c>
      <c r="V470" s="125" t="str">
        <f t="shared" ca="1" si="68"/>
        <v/>
      </c>
      <c r="W470" s="125" t="str">
        <f t="shared" ca="1" si="69"/>
        <v/>
      </c>
      <c r="X470" s="125" t="str">
        <f t="shared" ca="1" si="70"/>
        <v/>
      </c>
      <c r="Y470" s="125" t="str">
        <f t="shared" ca="1" si="71"/>
        <v/>
      </c>
      <c r="Z470" s="125" t="str">
        <f t="shared" ca="1" si="72"/>
        <v/>
      </c>
      <c r="AA470" s="125" t="str">
        <f t="shared" ca="1" si="73"/>
        <v/>
      </c>
      <c r="AB470" s="125" t="str">
        <f t="shared" ca="1" si="74"/>
        <v/>
      </c>
      <c r="AC470" s="125" t="str">
        <f t="shared" ca="1" si="75"/>
        <v/>
      </c>
      <c r="AD470" s="125" t="str">
        <f t="shared" ca="1" si="76"/>
        <v/>
      </c>
      <c r="AE470" s="125" t="str">
        <f t="shared" ca="1" si="77"/>
        <v/>
      </c>
      <c r="AF470" s="125" t="str">
        <f t="shared" ca="1" si="78"/>
        <v/>
      </c>
      <c r="AG470" s="125" t="str">
        <f t="shared" ca="1" si="79"/>
        <v/>
      </c>
      <c r="AH470" s="125" t="str">
        <f t="shared" ca="1" si="80"/>
        <v/>
      </c>
      <c r="AI470" s="125" t="str">
        <f t="shared" ca="1" si="81"/>
        <v/>
      </c>
      <c r="AJ470" s="125" t="str">
        <f t="shared" ca="1" si="82"/>
        <v/>
      </c>
      <c r="AK470" s="125" t="str">
        <f t="shared" ca="1" si="83"/>
        <v/>
      </c>
      <c r="AL470" s="125" t="str">
        <f t="shared" ca="1" si="84"/>
        <v/>
      </c>
      <c r="AM470" s="124" t="str">
        <f t="shared" ca="1" si="93"/>
        <v/>
      </c>
      <c r="AN470" s="124" t="str">
        <f t="shared" ca="1" si="93"/>
        <v/>
      </c>
      <c r="AO470" s="124" t="str">
        <f t="shared" ca="1" si="93"/>
        <v/>
      </c>
      <c r="AP470" s="124" t="str">
        <f t="shared" ca="1" si="93"/>
        <v/>
      </c>
      <c r="AQ470" s="124" t="str">
        <f t="shared" ca="1" si="93"/>
        <v/>
      </c>
      <c r="AR470" s="124" t="str">
        <f t="shared" ca="1" si="93"/>
        <v/>
      </c>
      <c r="AS470" s="124" t="str">
        <f t="shared" ca="1" si="93"/>
        <v/>
      </c>
      <c r="AT470" s="124" t="str">
        <f t="shared" ca="1" si="93"/>
        <v/>
      </c>
      <c r="AU470" s="124" t="str">
        <f t="shared" ca="1" si="93"/>
        <v/>
      </c>
      <c r="AV470" s="124" t="str">
        <f t="shared" ca="1" si="93"/>
        <v/>
      </c>
      <c r="AW470" s="124" t="str">
        <f t="shared" ca="1" si="93"/>
        <v/>
      </c>
      <c r="AX470" s="124" t="str">
        <f t="shared" ca="1" si="93"/>
        <v/>
      </c>
      <c r="AY470" s="124" t="str">
        <f t="shared" ca="1" si="93"/>
        <v/>
      </c>
      <c r="AZ470" s="124" t="str">
        <f t="shared" ca="1" si="93"/>
        <v/>
      </c>
      <c r="BA470" s="124" t="str">
        <f t="shared" ca="1" si="93"/>
        <v/>
      </c>
      <c r="BB470" s="124" t="str">
        <f t="shared" ca="1" si="92"/>
        <v/>
      </c>
      <c r="BC470" s="124" t="str">
        <f t="shared" ca="1" si="92"/>
        <v/>
      </c>
      <c r="BD470" s="124" t="str">
        <f t="shared" ca="1" si="92"/>
        <v/>
      </c>
      <c r="BE470" s="124" t="str">
        <f t="shared" ca="1" si="92"/>
        <v/>
      </c>
      <c r="BF470" s="124" t="str">
        <f t="shared" ca="1" si="92"/>
        <v/>
      </c>
      <c r="BG470" s="124" t="str">
        <f t="shared" ca="1" si="92"/>
        <v/>
      </c>
      <c r="BH470" s="124" t="str">
        <f t="shared" ca="1" si="92"/>
        <v/>
      </c>
      <c r="BI470" s="124" t="str">
        <f t="shared" ca="1" si="92"/>
        <v/>
      </c>
      <c r="BJ470" s="124" t="str">
        <f t="shared" ca="1" si="92"/>
        <v/>
      </c>
      <c r="BK470" s="124" t="str">
        <f t="shared" ca="1" si="92"/>
        <v/>
      </c>
      <c r="BL470" s="124" t="str">
        <f t="shared" ca="1" si="92"/>
        <v/>
      </c>
      <c r="BM470" s="124" t="str">
        <f t="shared" ca="1" si="92"/>
        <v/>
      </c>
      <c r="BN470" s="124" t="str">
        <f t="shared" ca="1" si="92"/>
        <v/>
      </c>
      <c r="BO470" s="124" t="str">
        <f t="shared" ca="1" si="92"/>
        <v/>
      </c>
      <c r="BP470" s="124" t="str">
        <f t="shared" ca="1" si="91"/>
        <v/>
      </c>
      <c r="BQ470" s="124" t="str">
        <f t="shared" ca="1" si="91"/>
        <v/>
      </c>
      <c r="BR470" s="124" t="str">
        <f t="shared" ca="1" si="91"/>
        <v/>
      </c>
      <c r="BS470" s="124" t="str">
        <f t="shared" ca="1" si="91"/>
        <v/>
      </c>
      <c r="BT470" s="124" t="str">
        <f t="shared" ca="1" si="91"/>
        <v/>
      </c>
      <c r="BU470" s="124" t="str">
        <f t="shared" ca="1" si="91"/>
        <v/>
      </c>
    </row>
    <row r="471" spans="1:73" x14ac:dyDescent="0.15">
      <c r="A471">
        <v>51</v>
      </c>
      <c r="B471" s="124" t="str">
        <f t="shared" ca="1" si="49"/>
        <v/>
      </c>
      <c r="C471" s="123" t="str">
        <f ca="1">IF(A471&lt;=①簡易状況入力!$AC$5,INDIRECT("A"&amp;VLOOKUP($A471,①簡易状況入力!$Y$5:$AB$104,4,FALSE)),"")</f>
        <v/>
      </c>
      <c r="D471" s="125" t="str">
        <f t="shared" ca="1" si="50"/>
        <v/>
      </c>
      <c r="E471" s="125" t="str">
        <f t="shared" ca="1" si="51"/>
        <v/>
      </c>
      <c r="F471" s="125" t="str">
        <f t="shared" ca="1" si="52"/>
        <v/>
      </c>
      <c r="G471" s="125" t="str">
        <f t="shared" ca="1" si="53"/>
        <v/>
      </c>
      <c r="H471" s="125" t="str">
        <f t="shared" ca="1" si="54"/>
        <v/>
      </c>
      <c r="I471" s="125" t="str">
        <f t="shared" ca="1" si="55"/>
        <v/>
      </c>
      <c r="J471" s="125" t="str">
        <f t="shared" ca="1" si="56"/>
        <v/>
      </c>
      <c r="K471" s="125" t="str">
        <f t="shared" ca="1" si="57"/>
        <v/>
      </c>
      <c r="L471" s="125" t="str">
        <f t="shared" ca="1" si="58"/>
        <v/>
      </c>
      <c r="M471" s="125" t="str">
        <f t="shared" ca="1" si="59"/>
        <v/>
      </c>
      <c r="N471" s="125" t="str">
        <f t="shared" ca="1" si="60"/>
        <v/>
      </c>
      <c r="O471" s="125" t="str">
        <f t="shared" ca="1" si="61"/>
        <v/>
      </c>
      <c r="P471" s="125" t="str">
        <f t="shared" ca="1" si="62"/>
        <v/>
      </c>
      <c r="Q471" s="125" t="str">
        <f t="shared" ca="1" si="63"/>
        <v/>
      </c>
      <c r="R471" s="125" t="str">
        <f t="shared" ca="1" si="64"/>
        <v/>
      </c>
      <c r="S471" s="125" t="str">
        <f t="shared" ca="1" si="65"/>
        <v/>
      </c>
      <c r="T471" s="125" t="str">
        <f t="shared" ca="1" si="66"/>
        <v/>
      </c>
      <c r="U471" s="125" t="str">
        <f t="shared" ca="1" si="67"/>
        <v/>
      </c>
      <c r="V471" s="125" t="str">
        <f t="shared" ca="1" si="68"/>
        <v/>
      </c>
      <c r="W471" s="125" t="str">
        <f t="shared" ca="1" si="69"/>
        <v/>
      </c>
      <c r="X471" s="125" t="str">
        <f t="shared" ca="1" si="70"/>
        <v/>
      </c>
      <c r="Y471" s="125" t="str">
        <f t="shared" ca="1" si="71"/>
        <v/>
      </c>
      <c r="Z471" s="125" t="str">
        <f t="shared" ca="1" si="72"/>
        <v/>
      </c>
      <c r="AA471" s="125" t="str">
        <f t="shared" ca="1" si="73"/>
        <v/>
      </c>
      <c r="AB471" s="125" t="str">
        <f t="shared" ca="1" si="74"/>
        <v/>
      </c>
      <c r="AC471" s="125" t="str">
        <f t="shared" ca="1" si="75"/>
        <v/>
      </c>
      <c r="AD471" s="125" t="str">
        <f t="shared" ca="1" si="76"/>
        <v/>
      </c>
      <c r="AE471" s="125" t="str">
        <f t="shared" ca="1" si="77"/>
        <v/>
      </c>
      <c r="AF471" s="125" t="str">
        <f t="shared" ca="1" si="78"/>
        <v/>
      </c>
      <c r="AG471" s="125" t="str">
        <f t="shared" ca="1" si="79"/>
        <v/>
      </c>
      <c r="AH471" s="125" t="str">
        <f t="shared" ca="1" si="80"/>
        <v/>
      </c>
      <c r="AI471" s="125" t="str">
        <f t="shared" ca="1" si="81"/>
        <v/>
      </c>
      <c r="AJ471" s="125" t="str">
        <f t="shared" ca="1" si="82"/>
        <v/>
      </c>
      <c r="AK471" s="125" t="str">
        <f t="shared" ca="1" si="83"/>
        <v/>
      </c>
      <c r="AL471" s="125" t="str">
        <f t="shared" ca="1" si="84"/>
        <v/>
      </c>
      <c r="AM471" s="124" t="str">
        <f t="shared" ca="1" si="93"/>
        <v/>
      </c>
      <c r="AN471" s="124" t="str">
        <f t="shared" ca="1" si="93"/>
        <v/>
      </c>
      <c r="AO471" s="124" t="str">
        <f t="shared" ca="1" si="93"/>
        <v/>
      </c>
      <c r="AP471" s="124" t="str">
        <f t="shared" ca="1" si="93"/>
        <v/>
      </c>
      <c r="AQ471" s="124" t="str">
        <f t="shared" ca="1" si="93"/>
        <v/>
      </c>
      <c r="AR471" s="124" t="str">
        <f t="shared" ca="1" si="93"/>
        <v/>
      </c>
      <c r="AS471" s="124" t="str">
        <f t="shared" ca="1" si="93"/>
        <v/>
      </c>
      <c r="AT471" s="124" t="str">
        <f t="shared" ca="1" si="93"/>
        <v/>
      </c>
      <c r="AU471" s="124" t="str">
        <f t="shared" ca="1" si="93"/>
        <v/>
      </c>
      <c r="AV471" s="124" t="str">
        <f t="shared" ca="1" si="93"/>
        <v/>
      </c>
      <c r="AW471" s="124" t="str">
        <f t="shared" ca="1" si="93"/>
        <v/>
      </c>
      <c r="AX471" s="124" t="str">
        <f t="shared" ca="1" si="93"/>
        <v/>
      </c>
      <c r="AY471" s="124" t="str">
        <f t="shared" ca="1" si="93"/>
        <v/>
      </c>
      <c r="AZ471" s="124" t="str">
        <f t="shared" ca="1" si="93"/>
        <v/>
      </c>
      <c r="BA471" s="124" t="str">
        <f t="shared" ca="1" si="93"/>
        <v/>
      </c>
      <c r="BB471" s="124" t="str">
        <f t="shared" ca="1" si="92"/>
        <v/>
      </c>
      <c r="BC471" s="124" t="str">
        <f t="shared" ca="1" si="92"/>
        <v/>
      </c>
      <c r="BD471" s="124" t="str">
        <f t="shared" ca="1" si="92"/>
        <v/>
      </c>
      <c r="BE471" s="124" t="str">
        <f t="shared" ca="1" si="92"/>
        <v/>
      </c>
      <c r="BF471" s="124" t="str">
        <f t="shared" ca="1" si="92"/>
        <v/>
      </c>
      <c r="BG471" s="124" t="str">
        <f t="shared" ca="1" si="92"/>
        <v/>
      </c>
      <c r="BH471" s="124" t="str">
        <f t="shared" ca="1" si="92"/>
        <v/>
      </c>
      <c r="BI471" s="124" t="str">
        <f t="shared" ca="1" si="92"/>
        <v/>
      </c>
      <c r="BJ471" s="124" t="str">
        <f t="shared" ca="1" si="92"/>
        <v/>
      </c>
      <c r="BK471" s="124" t="str">
        <f t="shared" ca="1" si="92"/>
        <v/>
      </c>
      <c r="BL471" s="124" t="str">
        <f t="shared" ca="1" si="92"/>
        <v/>
      </c>
      <c r="BM471" s="124" t="str">
        <f t="shared" ca="1" si="92"/>
        <v/>
      </c>
      <c r="BN471" s="124" t="str">
        <f t="shared" ca="1" si="92"/>
        <v/>
      </c>
      <c r="BO471" s="124" t="str">
        <f t="shared" ca="1" si="92"/>
        <v/>
      </c>
      <c r="BP471" s="124" t="str">
        <f t="shared" ca="1" si="91"/>
        <v/>
      </c>
      <c r="BQ471" s="124" t="str">
        <f t="shared" ca="1" si="91"/>
        <v/>
      </c>
      <c r="BR471" s="124" t="str">
        <f t="shared" ca="1" si="91"/>
        <v/>
      </c>
      <c r="BS471" s="124" t="str">
        <f t="shared" ca="1" si="91"/>
        <v/>
      </c>
      <c r="BT471" s="124" t="str">
        <f t="shared" ca="1" si="91"/>
        <v/>
      </c>
      <c r="BU471" s="124" t="str">
        <f t="shared" ca="1" si="91"/>
        <v/>
      </c>
    </row>
    <row r="472" spans="1:73" x14ac:dyDescent="0.15">
      <c r="A472">
        <v>52</v>
      </c>
      <c r="B472" s="124" t="str">
        <f t="shared" ca="1" si="49"/>
        <v/>
      </c>
      <c r="C472" s="123" t="str">
        <f ca="1">IF(A472&lt;=①簡易状況入力!$AC$5,INDIRECT("A"&amp;VLOOKUP($A472,①簡易状況入力!$Y$5:$AB$104,4,FALSE)),"")</f>
        <v/>
      </c>
      <c r="D472" s="125" t="str">
        <f t="shared" ca="1" si="50"/>
        <v/>
      </c>
      <c r="E472" s="125" t="str">
        <f t="shared" ca="1" si="51"/>
        <v/>
      </c>
      <c r="F472" s="125" t="str">
        <f t="shared" ca="1" si="52"/>
        <v/>
      </c>
      <c r="G472" s="125" t="str">
        <f t="shared" ca="1" si="53"/>
        <v/>
      </c>
      <c r="H472" s="125" t="str">
        <f t="shared" ca="1" si="54"/>
        <v/>
      </c>
      <c r="I472" s="125" t="str">
        <f t="shared" ca="1" si="55"/>
        <v/>
      </c>
      <c r="J472" s="125" t="str">
        <f t="shared" ca="1" si="56"/>
        <v/>
      </c>
      <c r="K472" s="125" t="str">
        <f t="shared" ca="1" si="57"/>
        <v/>
      </c>
      <c r="L472" s="125" t="str">
        <f t="shared" ca="1" si="58"/>
        <v/>
      </c>
      <c r="M472" s="125" t="str">
        <f t="shared" ca="1" si="59"/>
        <v/>
      </c>
      <c r="N472" s="125" t="str">
        <f t="shared" ca="1" si="60"/>
        <v/>
      </c>
      <c r="O472" s="125" t="str">
        <f t="shared" ca="1" si="61"/>
        <v/>
      </c>
      <c r="P472" s="125" t="str">
        <f t="shared" ca="1" si="62"/>
        <v/>
      </c>
      <c r="Q472" s="125" t="str">
        <f t="shared" ca="1" si="63"/>
        <v/>
      </c>
      <c r="R472" s="125" t="str">
        <f t="shared" ca="1" si="64"/>
        <v/>
      </c>
      <c r="S472" s="125" t="str">
        <f t="shared" ca="1" si="65"/>
        <v/>
      </c>
      <c r="T472" s="125" t="str">
        <f t="shared" ca="1" si="66"/>
        <v/>
      </c>
      <c r="U472" s="125" t="str">
        <f t="shared" ca="1" si="67"/>
        <v/>
      </c>
      <c r="V472" s="125" t="str">
        <f t="shared" ca="1" si="68"/>
        <v/>
      </c>
      <c r="W472" s="125" t="str">
        <f t="shared" ca="1" si="69"/>
        <v/>
      </c>
      <c r="X472" s="125" t="str">
        <f t="shared" ca="1" si="70"/>
        <v/>
      </c>
      <c r="Y472" s="125" t="str">
        <f t="shared" ca="1" si="71"/>
        <v/>
      </c>
      <c r="Z472" s="125" t="str">
        <f t="shared" ca="1" si="72"/>
        <v/>
      </c>
      <c r="AA472" s="125" t="str">
        <f t="shared" ca="1" si="73"/>
        <v/>
      </c>
      <c r="AB472" s="125" t="str">
        <f t="shared" ca="1" si="74"/>
        <v/>
      </c>
      <c r="AC472" s="125" t="str">
        <f t="shared" ca="1" si="75"/>
        <v/>
      </c>
      <c r="AD472" s="125" t="str">
        <f t="shared" ca="1" si="76"/>
        <v/>
      </c>
      <c r="AE472" s="125" t="str">
        <f t="shared" ca="1" si="77"/>
        <v/>
      </c>
      <c r="AF472" s="125" t="str">
        <f t="shared" ca="1" si="78"/>
        <v/>
      </c>
      <c r="AG472" s="125" t="str">
        <f t="shared" ca="1" si="79"/>
        <v/>
      </c>
      <c r="AH472" s="125" t="str">
        <f t="shared" ca="1" si="80"/>
        <v/>
      </c>
      <c r="AI472" s="125" t="str">
        <f t="shared" ca="1" si="81"/>
        <v/>
      </c>
      <c r="AJ472" s="125" t="str">
        <f t="shared" ca="1" si="82"/>
        <v/>
      </c>
      <c r="AK472" s="125" t="str">
        <f t="shared" ca="1" si="83"/>
        <v/>
      </c>
      <c r="AL472" s="125" t="str">
        <f t="shared" ca="1" si="84"/>
        <v/>
      </c>
      <c r="AM472" s="124" t="str">
        <f t="shared" ref="AM472:BB487" ca="1" si="94">IF($C472&lt;&gt;"",SUMIFS(AM$4:AM$413,$A$4:$A$413,$C472,$B$4:$B$413,"合計"),"")</f>
        <v/>
      </c>
      <c r="AN472" s="124" t="str">
        <f t="shared" ca="1" si="94"/>
        <v/>
      </c>
      <c r="AO472" s="124" t="str">
        <f t="shared" ca="1" si="94"/>
        <v/>
      </c>
      <c r="AP472" s="124" t="str">
        <f t="shared" ca="1" si="94"/>
        <v/>
      </c>
      <c r="AQ472" s="124" t="str">
        <f t="shared" ca="1" si="94"/>
        <v/>
      </c>
      <c r="AR472" s="124" t="str">
        <f t="shared" ca="1" si="94"/>
        <v/>
      </c>
      <c r="AS472" s="124" t="str">
        <f t="shared" ca="1" si="94"/>
        <v/>
      </c>
      <c r="AT472" s="124" t="str">
        <f t="shared" ca="1" si="94"/>
        <v/>
      </c>
      <c r="AU472" s="124" t="str">
        <f t="shared" ca="1" si="94"/>
        <v/>
      </c>
      <c r="AV472" s="124" t="str">
        <f t="shared" ca="1" si="94"/>
        <v/>
      </c>
      <c r="AW472" s="124" t="str">
        <f t="shared" ca="1" si="94"/>
        <v/>
      </c>
      <c r="AX472" s="124" t="str">
        <f t="shared" ca="1" si="94"/>
        <v/>
      </c>
      <c r="AY472" s="124" t="str">
        <f t="shared" ca="1" si="94"/>
        <v/>
      </c>
      <c r="AZ472" s="124" t="str">
        <f t="shared" ca="1" si="94"/>
        <v/>
      </c>
      <c r="BA472" s="124" t="str">
        <f t="shared" ca="1" si="94"/>
        <v/>
      </c>
      <c r="BB472" s="124" t="str">
        <f t="shared" ca="1" si="92"/>
        <v/>
      </c>
      <c r="BC472" s="124" t="str">
        <f t="shared" ca="1" si="92"/>
        <v/>
      </c>
      <c r="BD472" s="124" t="str">
        <f t="shared" ca="1" si="92"/>
        <v/>
      </c>
      <c r="BE472" s="124" t="str">
        <f t="shared" ref="BE472:BT491" ca="1" si="95">IF($C472&lt;&gt;"",SUMIFS(BE$4:BE$413,$A$4:$A$413,$C472,$B$4:$B$413,"合計"),"")</f>
        <v/>
      </c>
      <c r="BF472" s="124" t="str">
        <f t="shared" ca="1" si="95"/>
        <v/>
      </c>
      <c r="BG472" s="124" t="str">
        <f t="shared" ca="1" si="95"/>
        <v/>
      </c>
      <c r="BH472" s="124" t="str">
        <f t="shared" ca="1" si="95"/>
        <v/>
      </c>
      <c r="BI472" s="124" t="str">
        <f t="shared" ca="1" si="95"/>
        <v/>
      </c>
      <c r="BJ472" s="124" t="str">
        <f t="shared" ca="1" si="95"/>
        <v/>
      </c>
      <c r="BK472" s="124" t="str">
        <f t="shared" ca="1" si="95"/>
        <v/>
      </c>
      <c r="BL472" s="124" t="str">
        <f t="shared" ca="1" si="95"/>
        <v/>
      </c>
      <c r="BM472" s="124" t="str">
        <f t="shared" ca="1" si="95"/>
        <v/>
      </c>
      <c r="BN472" s="124" t="str">
        <f t="shared" ca="1" si="95"/>
        <v/>
      </c>
      <c r="BO472" s="124" t="str">
        <f t="shared" ca="1" si="95"/>
        <v/>
      </c>
      <c r="BP472" s="124" t="str">
        <f t="shared" ca="1" si="91"/>
        <v/>
      </c>
      <c r="BQ472" s="124" t="str">
        <f t="shared" ca="1" si="91"/>
        <v/>
      </c>
      <c r="BR472" s="124" t="str">
        <f t="shared" ca="1" si="91"/>
        <v/>
      </c>
      <c r="BS472" s="124" t="str">
        <f t="shared" ca="1" si="91"/>
        <v/>
      </c>
      <c r="BT472" s="124" t="str">
        <f t="shared" ca="1" si="91"/>
        <v/>
      </c>
      <c r="BU472" s="124" t="str">
        <f t="shared" ca="1" si="91"/>
        <v/>
      </c>
    </row>
    <row r="473" spans="1:73" x14ac:dyDescent="0.15">
      <c r="A473">
        <v>53</v>
      </c>
      <c r="B473" s="124" t="str">
        <f t="shared" ca="1" si="49"/>
        <v/>
      </c>
      <c r="C473" s="123" t="str">
        <f ca="1">IF(A473&lt;=①簡易状況入力!$AC$5,INDIRECT("A"&amp;VLOOKUP($A473,①簡易状況入力!$Y$5:$AB$104,4,FALSE)),"")</f>
        <v/>
      </c>
      <c r="D473" s="125" t="str">
        <f t="shared" ca="1" si="50"/>
        <v/>
      </c>
      <c r="E473" s="125" t="str">
        <f t="shared" ca="1" si="51"/>
        <v/>
      </c>
      <c r="F473" s="125" t="str">
        <f t="shared" ca="1" si="52"/>
        <v/>
      </c>
      <c r="G473" s="125" t="str">
        <f t="shared" ca="1" si="53"/>
        <v/>
      </c>
      <c r="H473" s="125" t="str">
        <f t="shared" ca="1" si="54"/>
        <v/>
      </c>
      <c r="I473" s="125" t="str">
        <f t="shared" ca="1" si="55"/>
        <v/>
      </c>
      <c r="J473" s="125" t="str">
        <f t="shared" ca="1" si="56"/>
        <v/>
      </c>
      <c r="K473" s="125" t="str">
        <f t="shared" ca="1" si="57"/>
        <v/>
      </c>
      <c r="L473" s="125" t="str">
        <f t="shared" ca="1" si="58"/>
        <v/>
      </c>
      <c r="M473" s="125" t="str">
        <f t="shared" ca="1" si="59"/>
        <v/>
      </c>
      <c r="N473" s="125" t="str">
        <f t="shared" ca="1" si="60"/>
        <v/>
      </c>
      <c r="O473" s="125" t="str">
        <f t="shared" ca="1" si="61"/>
        <v/>
      </c>
      <c r="P473" s="125" t="str">
        <f t="shared" ca="1" si="62"/>
        <v/>
      </c>
      <c r="Q473" s="125" t="str">
        <f t="shared" ca="1" si="63"/>
        <v/>
      </c>
      <c r="R473" s="125" t="str">
        <f t="shared" ca="1" si="64"/>
        <v/>
      </c>
      <c r="S473" s="125" t="str">
        <f t="shared" ca="1" si="65"/>
        <v/>
      </c>
      <c r="T473" s="125" t="str">
        <f t="shared" ca="1" si="66"/>
        <v/>
      </c>
      <c r="U473" s="125" t="str">
        <f t="shared" ca="1" si="67"/>
        <v/>
      </c>
      <c r="V473" s="125" t="str">
        <f t="shared" ca="1" si="68"/>
        <v/>
      </c>
      <c r="W473" s="125" t="str">
        <f t="shared" ca="1" si="69"/>
        <v/>
      </c>
      <c r="X473" s="125" t="str">
        <f t="shared" ca="1" si="70"/>
        <v/>
      </c>
      <c r="Y473" s="125" t="str">
        <f t="shared" ca="1" si="71"/>
        <v/>
      </c>
      <c r="Z473" s="125" t="str">
        <f t="shared" ca="1" si="72"/>
        <v/>
      </c>
      <c r="AA473" s="125" t="str">
        <f t="shared" ca="1" si="73"/>
        <v/>
      </c>
      <c r="AB473" s="125" t="str">
        <f t="shared" ca="1" si="74"/>
        <v/>
      </c>
      <c r="AC473" s="125" t="str">
        <f t="shared" ca="1" si="75"/>
        <v/>
      </c>
      <c r="AD473" s="125" t="str">
        <f t="shared" ca="1" si="76"/>
        <v/>
      </c>
      <c r="AE473" s="125" t="str">
        <f t="shared" ca="1" si="77"/>
        <v/>
      </c>
      <c r="AF473" s="125" t="str">
        <f t="shared" ca="1" si="78"/>
        <v/>
      </c>
      <c r="AG473" s="125" t="str">
        <f t="shared" ca="1" si="79"/>
        <v/>
      </c>
      <c r="AH473" s="125" t="str">
        <f t="shared" ca="1" si="80"/>
        <v/>
      </c>
      <c r="AI473" s="125" t="str">
        <f t="shared" ca="1" si="81"/>
        <v/>
      </c>
      <c r="AJ473" s="125" t="str">
        <f t="shared" ca="1" si="82"/>
        <v/>
      </c>
      <c r="AK473" s="125" t="str">
        <f t="shared" ca="1" si="83"/>
        <v/>
      </c>
      <c r="AL473" s="125" t="str">
        <f t="shared" ca="1" si="84"/>
        <v/>
      </c>
      <c r="AM473" s="124" t="str">
        <f t="shared" ca="1" si="94"/>
        <v/>
      </c>
      <c r="AN473" s="124" t="str">
        <f t="shared" ca="1" si="94"/>
        <v/>
      </c>
      <c r="AO473" s="124" t="str">
        <f t="shared" ca="1" si="94"/>
        <v/>
      </c>
      <c r="AP473" s="124" t="str">
        <f t="shared" ca="1" si="94"/>
        <v/>
      </c>
      <c r="AQ473" s="124" t="str">
        <f t="shared" ca="1" si="94"/>
        <v/>
      </c>
      <c r="AR473" s="124" t="str">
        <f t="shared" ca="1" si="94"/>
        <v/>
      </c>
      <c r="AS473" s="124" t="str">
        <f t="shared" ca="1" si="94"/>
        <v/>
      </c>
      <c r="AT473" s="124" t="str">
        <f t="shared" ca="1" si="94"/>
        <v/>
      </c>
      <c r="AU473" s="124" t="str">
        <f t="shared" ca="1" si="94"/>
        <v/>
      </c>
      <c r="AV473" s="124" t="str">
        <f t="shared" ca="1" si="94"/>
        <v/>
      </c>
      <c r="AW473" s="124" t="str">
        <f t="shared" ca="1" si="94"/>
        <v/>
      </c>
      <c r="AX473" s="124" t="str">
        <f t="shared" ca="1" si="94"/>
        <v/>
      </c>
      <c r="AY473" s="124" t="str">
        <f t="shared" ca="1" si="94"/>
        <v/>
      </c>
      <c r="AZ473" s="124" t="str">
        <f t="shared" ca="1" si="94"/>
        <v/>
      </c>
      <c r="BA473" s="124" t="str">
        <f t="shared" ca="1" si="94"/>
        <v/>
      </c>
      <c r="BB473" s="124" t="str">
        <f t="shared" ca="1" si="94"/>
        <v/>
      </c>
      <c r="BC473" s="124" t="str">
        <f t="shared" ref="BC473:BR505" ca="1" si="96">IF($C473&lt;&gt;"",SUMIFS(BC$4:BC$413,$A$4:$A$413,$C473,$B$4:$B$413,"合計"),"")</f>
        <v/>
      </c>
      <c r="BD473" s="124" t="str">
        <f t="shared" ca="1" si="96"/>
        <v/>
      </c>
      <c r="BE473" s="124" t="str">
        <f t="shared" ca="1" si="95"/>
        <v/>
      </c>
      <c r="BF473" s="124" t="str">
        <f t="shared" ca="1" si="95"/>
        <v/>
      </c>
      <c r="BG473" s="124" t="str">
        <f t="shared" ca="1" si="95"/>
        <v/>
      </c>
      <c r="BH473" s="124" t="str">
        <f t="shared" ca="1" si="95"/>
        <v/>
      </c>
      <c r="BI473" s="124" t="str">
        <f t="shared" ca="1" si="95"/>
        <v/>
      </c>
      <c r="BJ473" s="124" t="str">
        <f t="shared" ca="1" si="95"/>
        <v/>
      </c>
      <c r="BK473" s="124" t="str">
        <f t="shared" ca="1" si="95"/>
        <v/>
      </c>
      <c r="BL473" s="124" t="str">
        <f t="shared" ca="1" si="95"/>
        <v/>
      </c>
      <c r="BM473" s="124" t="str">
        <f t="shared" ca="1" si="95"/>
        <v/>
      </c>
      <c r="BN473" s="124" t="str">
        <f t="shared" ca="1" si="95"/>
        <v/>
      </c>
      <c r="BO473" s="124" t="str">
        <f t="shared" ca="1" si="95"/>
        <v/>
      </c>
      <c r="BP473" s="124" t="str">
        <f t="shared" ca="1" si="91"/>
        <v/>
      </c>
      <c r="BQ473" s="124" t="str">
        <f t="shared" ca="1" si="91"/>
        <v/>
      </c>
      <c r="BR473" s="124" t="str">
        <f t="shared" ca="1" si="91"/>
        <v/>
      </c>
      <c r="BS473" s="124" t="str">
        <f t="shared" ca="1" si="91"/>
        <v/>
      </c>
      <c r="BT473" s="124" t="str">
        <f t="shared" ca="1" si="91"/>
        <v/>
      </c>
      <c r="BU473" s="124" t="str">
        <f t="shared" ca="1" si="91"/>
        <v/>
      </c>
    </row>
    <row r="474" spans="1:73" x14ac:dyDescent="0.15">
      <c r="A474">
        <v>54</v>
      </c>
      <c r="B474" s="124" t="str">
        <f t="shared" ca="1" si="49"/>
        <v/>
      </c>
      <c r="C474" s="123" t="str">
        <f ca="1">IF(A474&lt;=①簡易状況入力!$AC$5,INDIRECT("A"&amp;VLOOKUP($A474,①簡易状況入力!$Y$5:$AB$104,4,FALSE)),"")</f>
        <v/>
      </c>
      <c r="D474" s="125" t="str">
        <f t="shared" ca="1" si="50"/>
        <v/>
      </c>
      <c r="E474" s="125" t="str">
        <f t="shared" ca="1" si="51"/>
        <v/>
      </c>
      <c r="F474" s="125" t="str">
        <f t="shared" ca="1" si="52"/>
        <v/>
      </c>
      <c r="G474" s="125" t="str">
        <f t="shared" ca="1" si="53"/>
        <v/>
      </c>
      <c r="H474" s="125" t="str">
        <f t="shared" ca="1" si="54"/>
        <v/>
      </c>
      <c r="I474" s="125" t="str">
        <f t="shared" ca="1" si="55"/>
        <v/>
      </c>
      <c r="J474" s="125" t="str">
        <f t="shared" ca="1" si="56"/>
        <v/>
      </c>
      <c r="K474" s="125" t="str">
        <f t="shared" ca="1" si="57"/>
        <v/>
      </c>
      <c r="L474" s="125" t="str">
        <f t="shared" ca="1" si="58"/>
        <v/>
      </c>
      <c r="M474" s="125" t="str">
        <f t="shared" ca="1" si="59"/>
        <v/>
      </c>
      <c r="N474" s="125" t="str">
        <f t="shared" ca="1" si="60"/>
        <v/>
      </c>
      <c r="O474" s="125" t="str">
        <f t="shared" ca="1" si="61"/>
        <v/>
      </c>
      <c r="P474" s="125" t="str">
        <f t="shared" ca="1" si="62"/>
        <v/>
      </c>
      <c r="Q474" s="125" t="str">
        <f t="shared" ca="1" si="63"/>
        <v/>
      </c>
      <c r="R474" s="125" t="str">
        <f t="shared" ca="1" si="64"/>
        <v/>
      </c>
      <c r="S474" s="125" t="str">
        <f t="shared" ca="1" si="65"/>
        <v/>
      </c>
      <c r="T474" s="125" t="str">
        <f t="shared" ca="1" si="66"/>
        <v/>
      </c>
      <c r="U474" s="125" t="str">
        <f t="shared" ca="1" si="67"/>
        <v/>
      </c>
      <c r="V474" s="125" t="str">
        <f t="shared" ca="1" si="68"/>
        <v/>
      </c>
      <c r="W474" s="125" t="str">
        <f t="shared" ca="1" si="69"/>
        <v/>
      </c>
      <c r="X474" s="125" t="str">
        <f t="shared" ca="1" si="70"/>
        <v/>
      </c>
      <c r="Y474" s="125" t="str">
        <f t="shared" ca="1" si="71"/>
        <v/>
      </c>
      <c r="Z474" s="125" t="str">
        <f t="shared" ca="1" si="72"/>
        <v/>
      </c>
      <c r="AA474" s="125" t="str">
        <f t="shared" ca="1" si="73"/>
        <v/>
      </c>
      <c r="AB474" s="125" t="str">
        <f t="shared" ca="1" si="74"/>
        <v/>
      </c>
      <c r="AC474" s="125" t="str">
        <f t="shared" ca="1" si="75"/>
        <v/>
      </c>
      <c r="AD474" s="125" t="str">
        <f t="shared" ca="1" si="76"/>
        <v/>
      </c>
      <c r="AE474" s="125" t="str">
        <f t="shared" ca="1" si="77"/>
        <v/>
      </c>
      <c r="AF474" s="125" t="str">
        <f t="shared" ca="1" si="78"/>
        <v/>
      </c>
      <c r="AG474" s="125" t="str">
        <f t="shared" ca="1" si="79"/>
        <v/>
      </c>
      <c r="AH474" s="125" t="str">
        <f t="shared" ca="1" si="80"/>
        <v/>
      </c>
      <c r="AI474" s="125" t="str">
        <f t="shared" ca="1" si="81"/>
        <v/>
      </c>
      <c r="AJ474" s="125" t="str">
        <f t="shared" ca="1" si="82"/>
        <v/>
      </c>
      <c r="AK474" s="125" t="str">
        <f t="shared" ca="1" si="83"/>
        <v/>
      </c>
      <c r="AL474" s="125" t="str">
        <f t="shared" ca="1" si="84"/>
        <v/>
      </c>
      <c r="AM474" s="124" t="str">
        <f t="shared" ca="1" si="94"/>
        <v/>
      </c>
      <c r="AN474" s="124" t="str">
        <f t="shared" ca="1" si="94"/>
        <v/>
      </c>
      <c r="AO474" s="124" t="str">
        <f t="shared" ca="1" si="94"/>
        <v/>
      </c>
      <c r="AP474" s="124" t="str">
        <f t="shared" ca="1" si="94"/>
        <v/>
      </c>
      <c r="AQ474" s="124" t="str">
        <f t="shared" ca="1" si="94"/>
        <v/>
      </c>
      <c r="AR474" s="124" t="str">
        <f t="shared" ca="1" si="94"/>
        <v/>
      </c>
      <c r="AS474" s="124" t="str">
        <f t="shared" ca="1" si="94"/>
        <v/>
      </c>
      <c r="AT474" s="124" t="str">
        <f t="shared" ca="1" si="94"/>
        <v/>
      </c>
      <c r="AU474" s="124" t="str">
        <f t="shared" ca="1" si="94"/>
        <v/>
      </c>
      <c r="AV474" s="124" t="str">
        <f t="shared" ca="1" si="94"/>
        <v/>
      </c>
      <c r="AW474" s="124" t="str">
        <f t="shared" ca="1" si="94"/>
        <v/>
      </c>
      <c r="AX474" s="124" t="str">
        <f t="shared" ca="1" si="94"/>
        <v/>
      </c>
      <c r="AY474" s="124" t="str">
        <f t="shared" ca="1" si="94"/>
        <v/>
      </c>
      <c r="AZ474" s="124" t="str">
        <f t="shared" ca="1" si="94"/>
        <v/>
      </c>
      <c r="BA474" s="124" t="str">
        <f t="shared" ca="1" si="94"/>
        <v/>
      </c>
      <c r="BB474" s="124" t="str">
        <f t="shared" ca="1" si="94"/>
        <v/>
      </c>
      <c r="BC474" s="124" t="str">
        <f t="shared" ca="1" si="96"/>
        <v/>
      </c>
      <c r="BD474" s="124" t="str">
        <f t="shared" ca="1" si="96"/>
        <v/>
      </c>
      <c r="BE474" s="124" t="str">
        <f t="shared" ca="1" si="95"/>
        <v/>
      </c>
      <c r="BF474" s="124" t="str">
        <f t="shared" ca="1" si="95"/>
        <v/>
      </c>
      <c r="BG474" s="124" t="str">
        <f t="shared" ca="1" si="95"/>
        <v/>
      </c>
      <c r="BH474" s="124" t="str">
        <f t="shared" ca="1" si="95"/>
        <v/>
      </c>
      <c r="BI474" s="124" t="str">
        <f t="shared" ca="1" si="95"/>
        <v/>
      </c>
      <c r="BJ474" s="124" t="str">
        <f t="shared" ca="1" si="95"/>
        <v/>
      </c>
      <c r="BK474" s="124" t="str">
        <f t="shared" ca="1" si="95"/>
        <v/>
      </c>
      <c r="BL474" s="124" t="str">
        <f t="shared" ca="1" si="95"/>
        <v/>
      </c>
      <c r="BM474" s="124" t="str">
        <f t="shared" ca="1" si="95"/>
        <v/>
      </c>
      <c r="BN474" s="124" t="str">
        <f t="shared" ca="1" si="95"/>
        <v/>
      </c>
      <c r="BO474" s="124" t="str">
        <f t="shared" ca="1" si="95"/>
        <v/>
      </c>
      <c r="BP474" s="124" t="str">
        <f t="shared" ca="1" si="91"/>
        <v/>
      </c>
      <c r="BQ474" s="124" t="str">
        <f t="shared" ca="1" si="91"/>
        <v/>
      </c>
      <c r="BR474" s="124" t="str">
        <f t="shared" ca="1" si="91"/>
        <v/>
      </c>
      <c r="BS474" s="124" t="str">
        <f t="shared" ca="1" si="91"/>
        <v/>
      </c>
      <c r="BT474" s="124" t="str">
        <f t="shared" ca="1" si="91"/>
        <v/>
      </c>
      <c r="BU474" s="124" t="str">
        <f t="shared" ca="1" si="91"/>
        <v/>
      </c>
    </row>
    <row r="475" spans="1:73" x14ac:dyDescent="0.15">
      <c r="A475">
        <v>55</v>
      </c>
      <c r="B475" s="124" t="str">
        <f t="shared" ca="1" si="49"/>
        <v/>
      </c>
      <c r="C475" s="123" t="str">
        <f ca="1">IF(A475&lt;=①簡易状況入力!$AC$5,INDIRECT("A"&amp;VLOOKUP($A475,①簡易状況入力!$Y$5:$AB$104,4,FALSE)),"")</f>
        <v/>
      </c>
      <c r="D475" s="125" t="str">
        <f t="shared" ca="1" si="50"/>
        <v/>
      </c>
      <c r="E475" s="125" t="str">
        <f t="shared" ca="1" si="51"/>
        <v/>
      </c>
      <c r="F475" s="125" t="str">
        <f t="shared" ca="1" si="52"/>
        <v/>
      </c>
      <c r="G475" s="125" t="str">
        <f t="shared" ca="1" si="53"/>
        <v/>
      </c>
      <c r="H475" s="125" t="str">
        <f t="shared" ca="1" si="54"/>
        <v/>
      </c>
      <c r="I475" s="125" t="str">
        <f t="shared" ca="1" si="55"/>
        <v/>
      </c>
      <c r="J475" s="125" t="str">
        <f t="shared" ca="1" si="56"/>
        <v/>
      </c>
      <c r="K475" s="125" t="str">
        <f t="shared" ca="1" si="57"/>
        <v/>
      </c>
      <c r="L475" s="125" t="str">
        <f t="shared" ca="1" si="58"/>
        <v/>
      </c>
      <c r="M475" s="125" t="str">
        <f t="shared" ca="1" si="59"/>
        <v/>
      </c>
      <c r="N475" s="125" t="str">
        <f t="shared" ca="1" si="60"/>
        <v/>
      </c>
      <c r="O475" s="125" t="str">
        <f t="shared" ca="1" si="61"/>
        <v/>
      </c>
      <c r="P475" s="125" t="str">
        <f t="shared" ca="1" si="62"/>
        <v/>
      </c>
      <c r="Q475" s="125" t="str">
        <f t="shared" ca="1" si="63"/>
        <v/>
      </c>
      <c r="R475" s="125" t="str">
        <f t="shared" ca="1" si="64"/>
        <v/>
      </c>
      <c r="S475" s="125" t="str">
        <f t="shared" ca="1" si="65"/>
        <v/>
      </c>
      <c r="T475" s="125" t="str">
        <f t="shared" ca="1" si="66"/>
        <v/>
      </c>
      <c r="U475" s="125" t="str">
        <f t="shared" ca="1" si="67"/>
        <v/>
      </c>
      <c r="V475" s="125" t="str">
        <f t="shared" ca="1" si="68"/>
        <v/>
      </c>
      <c r="W475" s="125" t="str">
        <f t="shared" ca="1" si="69"/>
        <v/>
      </c>
      <c r="X475" s="125" t="str">
        <f t="shared" ca="1" si="70"/>
        <v/>
      </c>
      <c r="Y475" s="125" t="str">
        <f t="shared" ca="1" si="71"/>
        <v/>
      </c>
      <c r="Z475" s="125" t="str">
        <f t="shared" ca="1" si="72"/>
        <v/>
      </c>
      <c r="AA475" s="125" t="str">
        <f t="shared" ca="1" si="73"/>
        <v/>
      </c>
      <c r="AB475" s="125" t="str">
        <f t="shared" ca="1" si="74"/>
        <v/>
      </c>
      <c r="AC475" s="125" t="str">
        <f t="shared" ca="1" si="75"/>
        <v/>
      </c>
      <c r="AD475" s="125" t="str">
        <f t="shared" ca="1" si="76"/>
        <v/>
      </c>
      <c r="AE475" s="125" t="str">
        <f t="shared" ca="1" si="77"/>
        <v/>
      </c>
      <c r="AF475" s="125" t="str">
        <f t="shared" ca="1" si="78"/>
        <v/>
      </c>
      <c r="AG475" s="125" t="str">
        <f t="shared" ca="1" si="79"/>
        <v/>
      </c>
      <c r="AH475" s="125" t="str">
        <f t="shared" ca="1" si="80"/>
        <v/>
      </c>
      <c r="AI475" s="125" t="str">
        <f t="shared" ca="1" si="81"/>
        <v/>
      </c>
      <c r="AJ475" s="125" t="str">
        <f t="shared" ca="1" si="82"/>
        <v/>
      </c>
      <c r="AK475" s="125" t="str">
        <f t="shared" ca="1" si="83"/>
        <v/>
      </c>
      <c r="AL475" s="125" t="str">
        <f t="shared" ca="1" si="84"/>
        <v/>
      </c>
      <c r="AM475" s="124" t="str">
        <f t="shared" ca="1" si="94"/>
        <v/>
      </c>
      <c r="AN475" s="124" t="str">
        <f t="shared" ca="1" si="94"/>
        <v/>
      </c>
      <c r="AO475" s="124" t="str">
        <f t="shared" ca="1" si="94"/>
        <v/>
      </c>
      <c r="AP475" s="124" t="str">
        <f t="shared" ca="1" si="94"/>
        <v/>
      </c>
      <c r="AQ475" s="124" t="str">
        <f t="shared" ca="1" si="94"/>
        <v/>
      </c>
      <c r="AR475" s="124" t="str">
        <f t="shared" ca="1" si="94"/>
        <v/>
      </c>
      <c r="AS475" s="124" t="str">
        <f t="shared" ca="1" si="94"/>
        <v/>
      </c>
      <c r="AT475" s="124" t="str">
        <f t="shared" ca="1" si="94"/>
        <v/>
      </c>
      <c r="AU475" s="124" t="str">
        <f t="shared" ca="1" si="94"/>
        <v/>
      </c>
      <c r="AV475" s="124" t="str">
        <f t="shared" ca="1" si="94"/>
        <v/>
      </c>
      <c r="AW475" s="124" t="str">
        <f t="shared" ca="1" si="94"/>
        <v/>
      </c>
      <c r="AX475" s="124" t="str">
        <f t="shared" ca="1" si="94"/>
        <v/>
      </c>
      <c r="AY475" s="124" t="str">
        <f t="shared" ca="1" si="94"/>
        <v/>
      </c>
      <c r="AZ475" s="124" t="str">
        <f t="shared" ca="1" si="94"/>
        <v/>
      </c>
      <c r="BA475" s="124" t="str">
        <f t="shared" ca="1" si="94"/>
        <v/>
      </c>
      <c r="BB475" s="124" t="str">
        <f t="shared" ca="1" si="94"/>
        <v/>
      </c>
      <c r="BC475" s="124" t="str">
        <f t="shared" ca="1" si="96"/>
        <v/>
      </c>
      <c r="BD475" s="124" t="str">
        <f t="shared" ca="1" si="96"/>
        <v/>
      </c>
      <c r="BE475" s="124" t="str">
        <f t="shared" ca="1" si="95"/>
        <v/>
      </c>
      <c r="BF475" s="124" t="str">
        <f t="shared" ca="1" si="95"/>
        <v/>
      </c>
      <c r="BG475" s="124" t="str">
        <f t="shared" ca="1" si="95"/>
        <v/>
      </c>
      <c r="BH475" s="124" t="str">
        <f t="shared" ca="1" si="95"/>
        <v/>
      </c>
      <c r="BI475" s="124" t="str">
        <f t="shared" ca="1" si="95"/>
        <v/>
      </c>
      <c r="BJ475" s="124" t="str">
        <f t="shared" ca="1" si="95"/>
        <v/>
      </c>
      <c r="BK475" s="124" t="str">
        <f t="shared" ca="1" si="95"/>
        <v/>
      </c>
      <c r="BL475" s="124" t="str">
        <f t="shared" ca="1" si="95"/>
        <v/>
      </c>
      <c r="BM475" s="124" t="str">
        <f t="shared" ca="1" si="95"/>
        <v/>
      </c>
      <c r="BN475" s="124" t="str">
        <f t="shared" ca="1" si="95"/>
        <v/>
      </c>
      <c r="BO475" s="124" t="str">
        <f t="shared" ca="1" si="95"/>
        <v/>
      </c>
      <c r="BP475" s="124" t="str">
        <f t="shared" ca="1" si="91"/>
        <v/>
      </c>
      <c r="BQ475" s="124" t="str">
        <f t="shared" ca="1" si="91"/>
        <v/>
      </c>
      <c r="BR475" s="124" t="str">
        <f t="shared" ca="1" si="91"/>
        <v/>
      </c>
      <c r="BS475" s="124" t="str">
        <f t="shared" ca="1" si="91"/>
        <v/>
      </c>
      <c r="BT475" s="124" t="str">
        <f t="shared" ca="1" si="91"/>
        <v/>
      </c>
      <c r="BU475" s="124" t="str">
        <f t="shared" ca="1" si="91"/>
        <v/>
      </c>
    </row>
    <row r="476" spans="1:73" x14ac:dyDescent="0.15">
      <c r="A476">
        <v>56</v>
      </c>
      <c r="B476" s="124" t="str">
        <f t="shared" ca="1" si="49"/>
        <v/>
      </c>
      <c r="C476" s="123" t="str">
        <f ca="1">IF(A476&lt;=①簡易状況入力!$AC$5,INDIRECT("A"&amp;VLOOKUP($A476,①簡易状況入力!$Y$5:$AB$104,4,FALSE)),"")</f>
        <v/>
      </c>
      <c r="D476" s="125" t="str">
        <f t="shared" ca="1" si="50"/>
        <v/>
      </c>
      <c r="E476" s="125" t="str">
        <f t="shared" ca="1" si="51"/>
        <v/>
      </c>
      <c r="F476" s="125" t="str">
        <f t="shared" ca="1" si="52"/>
        <v/>
      </c>
      <c r="G476" s="125" t="str">
        <f t="shared" ca="1" si="53"/>
        <v/>
      </c>
      <c r="H476" s="125" t="str">
        <f t="shared" ca="1" si="54"/>
        <v/>
      </c>
      <c r="I476" s="125" t="str">
        <f t="shared" ca="1" si="55"/>
        <v/>
      </c>
      <c r="J476" s="125" t="str">
        <f t="shared" ca="1" si="56"/>
        <v/>
      </c>
      <c r="K476" s="125" t="str">
        <f t="shared" ca="1" si="57"/>
        <v/>
      </c>
      <c r="L476" s="125" t="str">
        <f t="shared" ca="1" si="58"/>
        <v/>
      </c>
      <c r="M476" s="125" t="str">
        <f t="shared" ca="1" si="59"/>
        <v/>
      </c>
      <c r="N476" s="125" t="str">
        <f t="shared" ca="1" si="60"/>
        <v/>
      </c>
      <c r="O476" s="125" t="str">
        <f t="shared" ca="1" si="61"/>
        <v/>
      </c>
      <c r="P476" s="125" t="str">
        <f t="shared" ca="1" si="62"/>
        <v/>
      </c>
      <c r="Q476" s="125" t="str">
        <f t="shared" ca="1" si="63"/>
        <v/>
      </c>
      <c r="R476" s="125" t="str">
        <f t="shared" ca="1" si="64"/>
        <v/>
      </c>
      <c r="S476" s="125" t="str">
        <f t="shared" ca="1" si="65"/>
        <v/>
      </c>
      <c r="T476" s="125" t="str">
        <f t="shared" ca="1" si="66"/>
        <v/>
      </c>
      <c r="U476" s="125" t="str">
        <f t="shared" ca="1" si="67"/>
        <v/>
      </c>
      <c r="V476" s="125" t="str">
        <f t="shared" ca="1" si="68"/>
        <v/>
      </c>
      <c r="W476" s="125" t="str">
        <f t="shared" ca="1" si="69"/>
        <v/>
      </c>
      <c r="X476" s="125" t="str">
        <f t="shared" ca="1" si="70"/>
        <v/>
      </c>
      <c r="Y476" s="125" t="str">
        <f t="shared" ca="1" si="71"/>
        <v/>
      </c>
      <c r="Z476" s="125" t="str">
        <f t="shared" ca="1" si="72"/>
        <v/>
      </c>
      <c r="AA476" s="125" t="str">
        <f t="shared" ca="1" si="73"/>
        <v/>
      </c>
      <c r="AB476" s="125" t="str">
        <f t="shared" ca="1" si="74"/>
        <v/>
      </c>
      <c r="AC476" s="125" t="str">
        <f t="shared" ca="1" si="75"/>
        <v/>
      </c>
      <c r="AD476" s="125" t="str">
        <f t="shared" ca="1" si="76"/>
        <v/>
      </c>
      <c r="AE476" s="125" t="str">
        <f t="shared" ca="1" si="77"/>
        <v/>
      </c>
      <c r="AF476" s="125" t="str">
        <f t="shared" ca="1" si="78"/>
        <v/>
      </c>
      <c r="AG476" s="125" t="str">
        <f t="shared" ca="1" si="79"/>
        <v/>
      </c>
      <c r="AH476" s="125" t="str">
        <f t="shared" ca="1" si="80"/>
        <v/>
      </c>
      <c r="AI476" s="125" t="str">
        <f t="shared" ca="1" si="81"/>
        <v/>
      </c>
      <c r="AJ476" s="125" t="str">
        <f t="shared" ca="1" si="82"/>
        <v/>
      </c>
      <c r="AK476" s="125" t="str">
        <f t="shared" ca="1" si="83"/>
        <v/>
      </c>
      <c r="AL476" s="125" t="str">
        <f t="shared" ca="1" si="84"/>
        <v/>
      </c>
      <c r="AM476" s="124" t="str">
        <f t="shared" ca="1" si="94"/>
        <v/>
      </c>
      <c r="AN476" s="124" t="str">
        <f t="shared" ca="1" si="94"/>
        <v/>
      </c>
      <c r="AO476" s="124" t="str">
        <f t="shared" ca="1" si="94"/>
        <v/>
      </c>
      <c r="AP476" s="124" t="str">
        <f t="shared" ca="1" si="94"/>
        <v/>
      </c>
      <c r="AQ476" s="124" t="str">
        <f t="shared" ca="1" si="94"/>
        <v/>
      </c>
      <c r="AR476" s="124" t="str">
        <f t="shared" ca="1" si="94"/>
        <v/>
      </c>
      <c r="AS476" s="124" t="str">
        <f t="shared" ca="1" si="94"/>
        <v/>
      </c>
      <c r="AT476" s="124" t="str">
        <f t="shared" ca="1" si="94"/>
        <v/>
      </c>
      <c r="AU476" s="124" t="str">
        <f t="shared" ca="1" si="94"/>
        <v/>
      </c>
      <c r="AV476" s="124" t="str">
        <f t="shared" ca="1" si="94"/>
        <v/>
      </c>
      <c r="AW476" s="124" t="str">
        <f t="shared" ca="1" si="94"/>
        <v/>
      </c>
      <c r="AX476" s="124" t="str">
        <f t="shared" ca="1" si="94"/>
        <v/>
      </c>
      <c r="AY476" s="124" t="str">
        <f t="shared" ca="1" si="94"/>
        <v/>
      </c>
      <c r="AZ476" s="124" t="str">
        <f t="shared" ca="1" si="94"/>
        <v/>
      </c>
      <c r="BA476" s="124" t="str">
        <f t="shared" ca="1" si="94"/>
        <v/>
      </c>
      <c r="BB476" s="124" t="str">
        <f t="shared" ca="1" si="94"/>
        <v/>
      </c>
      <c r="BC476" s="124" t="str">
        <f t="shared" ca="1" si="96"/>
        <v/>
      </c>
      <c r="BD476" s="124" t="str">
        <f t="shared" ca="1" si="96"/>
        <v/>
      </c>
      <c r="BE476" s="124" t="str">
        <f t="shared" ca="1" si="95"/>
        <v/>
      </c>
      <c r="BF476" s="124" t="str">
        <f t="shared" ca="1" si="95"/>
        <v/>
      </c>
      <c r="BG476" s="124" t="str">
        <f t="shared" ca="1" si="95"/>
        <v/>
      </c>
      <c r="BH476" s="124" t="str">
        <f t="shared" ca="1" si="95"/>
        <v/>
      </c>
      <c r="BI476" s="124" t="str">
        <f t="shared" ca="1" si="95"/>
        <v/>
      </c>
      <c r="BJ476" s="124" t="str">
        <f t="shared" ca="1" si="95"/>
        <v/>
      </c>
      <c r="BK476" s="124" t="str">
        <f t="shared" ca="1" si="95"/>
        <v/>
      </c>
      <c r="BL476" s="124" t="str">
        <f t="shared" ca="1" si="95"/>
        <v/>
      </c>
      <c r="BM476" s="124" t="str">
        <f t="shared" ca="1" si="95"/>
        <v/>
      </c>
      <c r="BN476" s="124" t="str">
        <f t="shared" ca="1" si="95"/>
        <v/>
      </c>
      <c r="BO476" s="124" t="str">
        <f t="shared" ca="1" si="95"/>
        <v/>
      </c>
      <c r="BP476" s="124" t="str">
        <f t="shared" ca="1" si="91"/>
        <v/>
      </c>
      <c r="BQ476" s="124" t="str">
        <f t="shared" ca="1" si="91"/>
        <v/>
      </c>
      <c r="BR476" s="124" t="str">
        <f t="shared" ca="1" si="91"/>
        <v/>
      </c>
      <c r="BS476" s="124" t="str">
        <f t="shared" ca="1" si="91"/>
        <v/>
      </c>
      <c r="BT476" s="124" t="str">
        <f t="shared" ca="1" si="91"/>
        <v/>
      </c>
      <c r="BU476" s="124" t="str">
        <f t="shared" ca="1" si="91"/>
        <v/>
      </c>
    </row>
    <row r="477" spans="1:73" x14ac:dyDescent="0.15">
      <c r="A477">
        <v>57</v>
      </c>
      <c r="B477" s="124" t="str">
        <f t="shared" ca="1" si="49"/>
        <v/>
      </c>
      <c r="C477" s="123" t="str">
        <f ca="1">IF(A477&lt;=①簡易状況入力!$AC$5,INDIRECT("A"&amp;VLOOKUP($A477,①簡易状況入力!$Y$5:$AB$104,4,FALSE)),"")</f>
        <v/>
      </c>
      <c r="D477" s="125" t="str">
        <f t="shared" ca="1" si="50"/>
        <v/>
      </c>
      <c r="E477" s="125" t="str">
        <f t="shared" ca="1" si="51"/>
        <v/>
      </c>
      <c r="F477" s="125" t="str">
        <f t="shared" ca="1" si="52"/>
        <v/>
      </c>
      <c r="G477" s="125" t="str">
        <f t="shared" ca="1" si="53"/>
        <v/>
      </c>
      <c r="H477" s="125" t="str">
        <f t="shared" ca="1" si="54"/>
        <v/>
      </c>
      <c r="I477" s="125" t="str">
        <f t="shared" ca="1" si="55"/>
        <v/>
      </c>
      <c r="J477" s="125" t="str">
        <f t="shared" ca="1" si="56"/>
        <v/>
      </c>
      <c r="K477" s="125" t="str">
        <f t="shared" ca="1" si="57"/>
        <v/>
      </c>
      <c r="L477" s="125" t="str">
        <f t="shared" ca="1" si="58"/>
        <v/>
      </c>
      <c r="M477" s="125" t="str">
        <f t="shared" ca="1" si="59"/>
        <v/>
      </c>
      <c r="N477" s="125" t="str">
        <f t="shared" ca="1" si="60"/>
        <v/>
      </c>
      <c r="O477" s="125" t="str">
        <f t="shared" ca="1" si="61"/>
        <v/>
      </c>
      <c r="P477" s="125" t="str">
        <f t="shared" ca="1" si="62"/>
        <v/>
      </c>
      <c r="Q477" s="125" t="str">
        <f t="shared" ca="1" si="63"/>
        <v/>
      </c>
      <c r="R477" s="125" t="str">
        <f t="shared" ca="1" si="64"/>
        <v/>
      </c>
      <c r="S477" s="125" t="str">
        <f t="shared" ca="1" si="65"/>
        <v/>
      </c>
      <c r="T477" s="125" t="str">
        <f t="shared" ca="1" si="66"/>
        <v/>
      </c>
      <c r="U477" s="125" t="str">
        <f t="shared" ca="1" si="67"/>
        <v/>
      </c>
      <c r="V477" s="125" t="str">
        <f t="shared" ca="1" si="68"/>
        <v/>
      </c>
      <c r="W477" s="125" t="str">
        <f t="shared" ca="1" si="69"/>
        <v/>
      </c>
      <c r="X477" s="125" t="str">
        <f t="shared" ca="1" si="70"/>
        <v/>
      </c>
      <c r="Y477" s="125" t="str">
        <f t="shared" ca="1" si="71"/>
        <v/>
      </c>
      <c r="Z477" s="125" t="str">
        <f t="shared" ca="1" si="72"/>
        <v/>
      </c>
      <c r="AA477" s="125" t="str">
        <f t="shared" ca="1" si="73"/>
        <v/>
      </c>
      <c r="AB477" s="125" t="str">
        <f t="shared" ca="1" si="74"/>
        <v/>
      </c>
      <c r="AC477" s="125" t="str">
        <f t="shared" ca="1" si="75"/>
        <v/>
      </c>
      <c r="AD477" s="125" t="str">
        <f t="shared" ca="1" si="76"/>
        <v/>
      </c>
      <c r="AE477" s="125" t="str">
        <f t="shared" ca="1" si="77"/>
        <v/>
      </c>
      <c r="AF477" s="125" t="str">
        <f t="shared" ca="1" si="78"/>
        <v/>
      </c>
      <c r="AG477" s="125" t="str">
        <f t="shared" ca="1" si="79"/>
        <v/>
      </c>
      <c r="AH477" s="125" t="str">
        <f t="shared" ca="1" si="80"/>
        <v/>
      </c>
      <c r="AI477" s="125" t="str">
        <f t="shared" ca="1" si="81"/>
        <v/>
      </c>
      <c r="AJ477" s="125" t="str">
        <f t="shared" ca="1" si="82"/>
        <v/>
      </c>
      <c r="AK477" s="125" t="str">
        <f t="shared" ca="1" si="83"/>
        <v/>
      </c>
      <c r="AL477" s="125" t="str">
        <f t="shared" ca="1" si="84"/>
        <v/>
      </c>
      <c r="AM477" s="124" t="str">
        <f t="shared" ca="1" si="94"/>
        <v/>
      </c>
      <c r="AN477" s="124" t="str">
        <f t="shared" ca="1" si="94"/>
        <v/>
      </c>
      <c r="AO477" s="124" t="str">
        <f t="shared" ca="1" si="94"/>
        <v/>
      </c>
      <c r="AP477" s="124" t="str">
        <f t="shared" ca="1" si="94"/>
        <v/>
      </c>
      <c r="AQ477" s="124" t="str">
        <f t="shared" ca="1" si="94"/>
        <v/>
      </c>
      <c r="AR477" s="124" t="str">
        <f t="shared" ca="1" si="94"/>
        <v/>
      </c>
      <c r="AS477" s="124" t="str">
        <f t="shared" ca="1" si="94"/>
        <v/>
      </c>
      <c r="AT477" s="124" t="str">
        <f t="shared" ca="1" si="94"/>
        <v/>
      </c>
      <c r="AU477" s="124" t="str">
        <f t="shared" ca="1" si="94"/>
        <v/>
      </c>
      <c r="AV477" s="124" t="str">
        <f t="shared" ca="1" si="94"/>
        <v/>
      </c>
      <c r="AW477" s="124" t="str">
        <f t="shared" ca="1" si="94"/>
        <v/>
      </c>
      <c r="AX477" s="124" t="str">
        <f t="shared" ca="1" si="94"/>
        <v/>
      </c>
      <c r="AY477" s="124" t="str">
        <f t="shared" ca="1" si="94"/>
        <v/>
      </c>
      <c r="AZ477" s="124" t="str">
        <f t="shared" ca="1" si="94"/>
        <v/>
      </c>
      <c r="BA477" s="124" t="str">
        <f t="shared" ca="1" si="94"/>
        <v/>
      </c>
      <c r="BB477" s="124" t="str">
        <f t="shared" ca="1" si="94"/>
        <v/>
      </c>
      <c r="BC477" s="124" t="str">
        <f t="shared" ca="1" si="96"/>
        <v/>
      </c>
      <c r="BD477" s="124" t="str">
        <f t="shared" ca="1" si="96"/>
        <v/>
      </c>
      <c r="BE477" s="124" t="str">
        <f t="shared" ca="1" si="95"/>
        <v/>
      </c>
      <c r="BF477" s="124" t="str">
        <f t="shared" ca="1" si="95"/>
        <v/>
      </c>
      <c r="BG477" s="124" t="str">
        <f t="shared" ca="1" si="95"/>
        <v/>
      </c>
      <c r="BH477" s="124" t="str">
        <f t="shared" ca="1" si="95"/>
        <v/>
      </c>
      <c r="BI477" s="124" t="str">
        <f t="shared" ca="1" si="95"/>
        <v/>
      </c>
      <c r="BJ477" s="124" t="str">
        <f t="shared" ca="1" si="95"/>
        <v/>
      </c>
      <c r="BK477" s="124" t="str">
        <f t="shared" ca="1" si="95"/>
        <v/>
      </c>
      <c r="BL477" s="124" t="str">
        <f t="shared" ca="1" si="95"/>
        <v/>
      </c>
      <c r="BM477" s="124" t="str">
        <f t="shared" ca="1" si="95"/>
        <v/>
      </c>
      <c r="BN477" s="124" t="str">
        <f t="shared" ca="1" si="95"/>
        <v/>
      </c>
      <c r="BO477" s="124" t="str">
        <f t="shared" ca="1" si="95"/>
        <v/>
      </c>
      <c r="BP477" s="124" t="str">
        <f t="shared" ca="1" si="91"/>
        <v/>
      </c>
      <c r="BQ477" s="124" t="str">
        <f t="shared" ca="1" si="91"/>
        <v/>
      </c>
      <c r="BR477" s="124" t="str">
        <f t="shared" ca="1" si="91"/>
        <v/>
      </c>
      <c r="BS477" s="124" t="str">
        <f t="shared" ca="1" si="91"/>
        <v/>
      </c>
      <c r="BT477" s="124" t="str">
        <f t="shared" ca="1" si="91"/>
        <v/>
      </c>
      <c r="BU477" s="124" t="str">
        <f t="shared" ca="1" si="91"/>
        <v/>
      </c>
    </row>
    <row r="478" spans="1:73" x14ac:dyDescent="0.15">
      <c r="A478">
        <v>58</v>
      </c>
      <c r="B478" s="124" t="str">
        <f t="shared" ca="1" si="49"/>
        <v/>
      </c>
      <c r="C478" s="123" t="str">
        <f ca="1">IF(A478&lt;=①簡易状況入力!$AC$5,INDIRECT("A"&amp;VLOOKUP($A478,①簡易状況入力!$Y$5:$AB$104,4,FALSE)),"")</f>
        <v/>
      </c>
      <c r="D478" s="125" t="str">
        <f t="shared" ca="1" si="50"/>
        <v/>
      </c>
      <c r="E478" s="125" t="str">
        <f t="shared" ca="1" si="51"/>
        <v/>
      </c>
      <c r="F478" s="125" t="str">
        <f t="shared" ca="1" si="52"/>
        <v/>
      </c>
      <c r="G478" s="125" t="str">
        <f t="shared" ca="1" si="53"/>
        <v/>
      </c>
      <c r="H478" s="125" t="str">
        <f t="shared" ca="1" si="54"/>
        <v/>
      </c>
      <c r="I478" s="125" t="str">
        <f t="shared" ca="1" si="55"/>
        <v/>
      </c>
      <c r="J478" s="125" t="str">
        <f t="shared" ca="1" si="56"/>
        <v/>
      </c>
      <c r="K478" s="125" t="str">
        <f t="shared" ca="1" si="57"/>
        <v/>
      </c>
      <c r="L478" s="125" t="str">
        <f t="shared" ca="1" si="58"/>
        <v/>
      </c>
      <c r="M478" s="125" t="str">
        <f t="shared" ca="1" si="59"/>
        <v/>
      </c>
      <c r="N478" s="125" t="str">
        <f t="shared" ca="1" si="60"/>
        <v/>
      </c>
      <c r="O478" s="125" t="str">
        <f t="shared" ca="1" si="61"/>
        <v/>
      </c>
      <c r="P478" s="125" t="str">
        <f t="shared" ca="1" si="62"/>
        <v/>
      </c>
      <c r="Q478" s="125" t="str">
        <f t="shared" ca="1" si="63"/>
        <v/>
      </c>
      <c r="R478" s="125" t="str">
        <f t="shared" ca="1" si="64"/>
        <v/>
      </c>
      <c r="S478" s="125" t="str">
        <f t="shared" ca="1" si="65"/>
        <v/>
      </c>
      <c r="T478" s="125" t="str">
        <f t="shared" ca="1" si="66"/>
        <v/>
      </c>
      <c r="U478" s="125" t="str">
        <f t="shared" ca="1" si="67"/>
        <v/>
      </c>
      <c r="V478" s="125" t="str">
        <f t="shared" ca="1" si="68"/>
        <v/>
      </c>
      <c r="W478" s="125" t="str">
        <f t="shared" ca="1" si="69"/>
        <v/>
      </c>
      <c r="X478" s="125" t="str">
        <f t="shared" ca="1" si="70"/>
        <v/>
      </c>
      <c r="Y478" s="125" t="str">
        <f t="shared" ca="1" si="71"/>
        <v/>
      </c>
      <c r="Z478" s="125" t="str">
        <f t="shared" ca="1" si="72"/>
        <v/>
      </c>
      <c r="AA478" s="125" t="str">
        <f t="shared" ca="1" si="73"/>
        <v/>
      </c>
      <c r="AB478" s="125" t="str">
        <f t="shared" ca="1" si="74"/>
        <v/>
      </c>
      <c r="AC478" s="125" t="str">
        <f t="shared" ca="1" si="75"/>
        <v/>
      </c>
      <c r="AD478" s="125" t="str">
        <f t="shared" ca="1" si="76"/>
        <v/>
      </c>
      <c r="AE478" s="125" t="str">
        <f t="shared" ca="1" si="77"/>
        <v/>
      </c>
      <c r="AF478" s="125" t="str">
        <f t="shared" ca="1" si="78"/>
        <v/>
      </c>
      <c r="AG478" s="125" t="str">
        <f t="shared" ca="1" si="79"/>
        <v/>
      </c>
      <c r="AH478" s="125" t="str">
        <f t="shared" ca="1" si="80"/>
        <v/>
      </c>
      <c r="AI478" s="125" t="str">
        <f t="shared" ca="1" si="81"/>
        <v/>
      </c>
      <c r="AJ478" s="125" t="str">
        <f t="shared" ca="1" si="82"/>
        <v/>
      </c>
      <c r="AK478" s="125" t="str">
        <f t="shared" ca="1" si="83"/>
        <v/>
      </c>
      <c r="AL478" s="125" t="str">
        <f t="shared" ca="1" si="84"/>
        <v/>
      </c>
      <c r="AM478" s="124" t="str">
        <f t="shared" ca="1" si="94"/>
        <v/>
      </c>
      <c r="AN478" s="124" t="str">
        <f t="shared" ca="1" si="94"/>
        <v/>
      </c>
      <c r="AO478" s="124" t="str">
        <f t="shared" ca="1" si="94"/>
        <v/>
      </c>
      <c r="AP478" s="124" t="str">
        <f t="shared" ca="1" si="94"/>
        <v/>
      </c>
      <c r="AQ478" s="124" t="str">
        <f t="shared" ca="1" si="94"/>
        <v/>
      </c>
      <c r="AR478" s="124" t="str">
        <f t="shared" ca="1" si="94"/>
        <v/>
      </c>
      <c r="AS478" s="124" t="str">
        <f t="shared" ca="1" si="94"/>
        <v/>
      </c>
      <c r="AT478" s="124" t="str">
        <f t="shared" ca="1" si="94"/>
        <v/>
      </c>
      <c r="AU478" s="124" t="str">
        <f t="shared" ca="1" si="94"/>
        <v/>
      </c>
      <c r="AV478" s="124" t="str">
        <f t="shared" ca="1" si="94"/>
        <v/>
      </c>
      <c r="AW478" s="124" t="str">
        <f t="shared" ca="1" si="94"/>
        <v/>
      </c>
      <c r="AX478" s="124" t="str">
        <f t="shared" ca="1" si="94"/>
        <v/>
      </c>
      <c r="AY478" s="124" t="str">
        <f t="shared" ca="1" si="94"/>
        <v/>
      </c>
      <c r="AZ478" s="124" t="str">
        <f t="shared" ca="1" si="94"/>
        <v/>
      </c>
      <c r="BA478" s="124" t="str">
        <f t="shared" ca="1" si="94"/>
        <v/>
      </c>
      <c r="BB478" s="124" t="str">
        <f t="shared" ca="1" si="94"/>
        <v/>
      </c>
      <c r="BC478" s="124" t="str">
        <f t="shared" ca="1" si="96"/>
        <v/>
      </c>
      <c r="BD478" s="124" t="str">
        <f t="shared" ca="1" si="96"/>
        <v/>
      </c>
      <c r="BE478" s="124" t="str">
        <f t="shared" ca="1" si="95"/>
        <v/>
      </c>
      <c r="BF478" s="124" t="str">
        <f t="shared" ca="1" si="95"/>
        <v/>
      </c>
      <c r="BG478" s="124" t="str">
        <f t="shared" ca="1" si="95"/>
        <v/>
      </c>
      <c r="BH478" s="124" t="str">
        <f t="shared" ca="1" si="95"/>
        <v/>
      </c>
      <c r="BI478" s="124" t="str">
        <f t="shared" ca="1" si="95"/>
        <v/>
      </c>
      <c r="BJ478" s="124" t="str">
        <f t="shared" ca="1" si="95"/>
        <v/>
      </c>
      <c r="BK478" s="124" t="str">
        <f t="shared" ca="1" si="95"/>
        <v/>
      </c>
      <c r="BL478" s="124" t="str">
        <f t="shared" ca="1" si="95"/>
        <v/>
      </c>
      <c r="BM478" s="124" t="str">
        <f t="shared" ca="1" si="95"/>
        <v/>
      </c>
      <c r="BN478" s="124" t="str">
        <f t="shared" ca="1" si="95"/>
        <v/>
      </c>
      <c r="BO478" s="124" t="str">
        <f t="shared" ca="1" si="95"/>
        <v/>
      </c>
      <c r="BP478" s="124" t="str">
        <f t="shared" ca="1" si="91"/>
        <v/>
      </c>
      <c r="BQ478" s="124" t="str">
        <f t="shared" ca="1" si="91"/>
        <v/>
      </c>
      <c r="BR478" s="124" t="str">
        <f t="shared" ca="1" si="91"/>
        <v/>
      </c>
      <c r="BS478" s="124" t="str">
        <f t="shared" ca="1" si="91"/>
        <v/>
      </c>
      <c r="BT478" s="124" t="str">
        <f t="shared" ca="1" si="91"/>
        <v/>
      </c>
      <c r="BU478" s="124" t="str">
        <f t="shared" ca="1" si="91"/>
        <v/>
      </c>
    </row>
    <row r="479" spans="1:73" x14ac:dyDescent="0.15">
      <c r="A479">
        <v>59</v>
      </c>
      <c r="B479" s="124" t="str">
        <f t="shared" ca="1" si="49"/>
        <v/>
      </c>
      <c r="C479" s="123" t="str">
        <f ca="1">IF(A479&lt;=①簡易状況入力!$AC$5,INDIRECT("A"&amp;VLOOKUP($A479,①簡易状況入力!$Y$5:$AB$104,4,FALSE)),"")</f>
        <v/>
      </c>
      <c r="D479" s="125" t="str">
        <f t="shared" ca="1" si="50"/>
        <v/>
      </c>
      <c r="E479" s="125" t="str">
        <f t="shared" ca="1" si="51"/>
        <v/>
      </c>
      <c r="F479" s="125" t="str">
        <f t="shared" ca="1" si="52"/>
        <v/>
      </c>
      <c r="G479" s="125" t="str">
        <f t="shared" ca="1" si="53"/>
        <v/>
      </c>
      <c r="H479" s="125" t="str">
        <f t="shared" ca="1" si="54"/>
        <v/>
      </c>
      <c r="I479" s="125" t="str">
        <f t="shared" ca="1" si="55"/>
        <v/>
      </c>
      <c r="J479" s="125" t="str">
        <f t="shared" ca="1" si="56"/>
        <v/>
      </c>
      <c r="K479" s="125" t="str">
        <f t="shared" ca="1" si="57"/>
        <v/>
      </c>
      <c r="L479" s="125" t="str">
        <f t="shared" ca="1" si="58"/>
        <v/>
      </c>
      <c r="M479" s="125" t="str">
        <f t="shared" ca="1" si="59"/>
        <v/>
      </c>
      <c r="N479" s="125" t="str">
        <f t="shared" ca="1" si="60"/>
        <v/>
      </c>
      <c r="O479" s="125" t="str">
        <f t="shared" ca="1" si="61"/>
        <v/>
      </c>
      <c r="P479" s="125" t="str">
        <f t="shared" ca="1" si="62"/>
        <v/>
      </c>
      <c r="Q479" s="125" t="str">
        <f t="shared" ca="1" si="63"/>
        <v/>
      </c>
      <c r="R479" s="125" t="str">
        <f t="shared" ca="1" si="64"/>
        <v/>
      </c>
      <c r="S479" s="125" t="str">
        <f t="shared" ca="1" si="65"/>
        <v/>
      </c>
      <c r="T479" s="125" t="str">
        <f t="shared" ca="1" si="66"/>
        <v/>
      </c>
      <c r="U479" s="125" t="str">
        <f t="shared" ca="1" si="67"/>
        <v/>
      </c>
      <c r="V479" s="125" t="str">
        <f t="shared" ca="1" si="68"/>
        <v/>
      </c>
      <c r="W479" s="125" t="str">
        <f t="shared" ca="1" si="69"/>
        <v/>
      </c>
      <c r="X479" s="125" t="str">
        <f t="shared" ca="1" si="70"/>
        <v/>
      </c>
      <c r="Y479" s="125" t="str">
        <f t="shared" ca="1" si="71"/>
        <v/>
      </c>
      <c r="Z479" s="125" t="str">
        <f t="shared" ca="1" si="72"/>
        <v/>
      </c>
      <c r="AA479" s="125" t="str">
        <f t="shared" ca="1" si="73"/>
        <v/>
      </c>
      <c r="AB479" s="125" t="str">
        <f t="shared" ca="1" si="74"/>
        <v/>
      </c>
      <c r="AC479" s="125" t="str">
        <f t="shared" ca="1" si="75"/>
        <v/>
      </c>
      <c r="AD479" s="125" t="str">
        <f t="shared" ca="1" si="76"/>
        <v/>
      </c>
      <c r="AE479" s="125" t="str">
        <f t="shared" ca="1" si="77"/>
        <v/>
      </c>
      <c r="AF479" s="125" t="str">
        <f t="shared" ca="1" si="78"/>
        <v/>
      </c>
      <c r="AG479" s="125" t="str">
        <f t="shared" ca="1" si="79"/>
        <v/>
      </c>
      <c r="AH479" s="125" t="str">
        <f t="shared" ca="1" si="80"/>
        <v/>
      </c>
      <c r="AI479" s="125" t="str">
        <f t="shared" ca="1" si="81"/>
        <v/>
      </c>
      <c r="AJ479" s="125" t="str">
        <f t="shared" ca="1" si="82"/>
        <v/>
      </c>
      <c r="AK479" s="125" t="str">
        <f t="shared" ca="1" si="83"/>
        <v/>
      </c>
      <c r="AL479" s="125" t="str">
        <f t="shared" ca="1" si="84"/>
        <v/>
      </c>
      <c r="AM479" s="124" t="str">
        <f t="shared" ca="1" si="94"/>
        <v/>
      </c>
      <c r="AN479" s="124" t="str">
        <f t="shared" ca="1" si="94"/>
        <v/>
      </c>
      <c r="AO479" s="124" t="str">
        <f t="shared" ca="1" si="94"/>
        <v/>
      </c>
      <c r="AP479" s="124" t="str">
        <f t="shared" ca="1" si="94"/>
        <v/>
      </c>
      <c r="AQ479" s="124" t="str">
        <f t="shared" ca="1" si="94"/>
        <v/>
      </c>
      <c r="AR479" s="124" t="str">
        <f t="shared" ca="1" si="94"/>
        <v/>
      </c>
      <c r="AS479" s="124" t="str">
        <f t="shared" ca="1" si="94"/>
        <v/>
      </c>
      <c r="AT479" s="124" t="str">
        <f t="shared" ca="1" si="94"/>
        <v/>
      </c>
      <c r="AU479" s="124" t="str">
        <f t="shared" ca="1" si="94"/>
        <v/>
      </c>
      <c r="AV479" s="124" t="str">
        <f t="shared" ca="1" si="94"/>
        <v/>
      </c>
      <c r="AW479" s="124" t="str">
        <f t="shared" ca="1" si="94"/>
        <v/>
      </c>
      <c r="AX479" s="124" t="str">
        <f t="shared" ca="1" si="94"/>
        <v/>
      </c>
      <c r="AY479" s="124" t="str">
        <f t="shared" ca="1" si="94"/>
        <v/>
      </c>
      <c r="AZ479" s="124" t="str">
        <f t="shared" ca="1" si="94"/>
        <v/>
      </c>
      <c r="BA479" s="124" t="str">
        <f t="shared" ca="1" si="94"/>
        <v/>
      </c>
      <c r="BB479" s="124" t="str">
        <f t="shared" ca="1" si="94"/>
        <v/>
      </c>
      <c r="BC479" s="124" t="str">
        <f t="shared" ca="1" si="96"/>
        <v/>
      </c>
      <c r="BD479" s="124" t="str">
        <f t="shared" ca="1" si="96"/>
        <v/>
      </c>
      <c r="BE479" s="124" t="str">
        <f t="shared" ca="1" si="95"/>
        <v/>
      </c>
      <c r="BF479" s="124" t="str">
        <f t="shared" ca="1" si="95"/>
        <v/>
      </c>
      <c r="BG479" s="124" t="str">
        <f t="shared" ca="1" si="95"/>
        <v/>
      </c>
      <c r="BH479" s="124" t="str">
        <f t="shared" ca="1" si="95"/>
        <v/>
      </c>
      <c r="BI479" s="124" t="str">
        <f t="shared" ca="1" si="95"/>
        <v/>
      </c>
      <c r="BJ479" s="124" t="str">
        <f t="shared" ca="1" si="95"/>
        <v/>
      </c>
      <c r="BK479" s="124" t="str">
        <f t="shared" ca="1" si="95"/>
        <v/>
      </c>
      <c r="BL479" s="124" t="str">
        <f t="shared" ca="1" si="95"/>
        <v/>
      </c>
      <c r="BM479" s="124" t="str">
        <f t="shared" ca="1" si="95"/>
        <v/>
      </c>
      <c r="BN479" s="124" t="str">
        <f t="shared" ca="1" si="95"/>
        <v/>
      </c>
      <c r="BO479" s="124" t="str">
        <f t="shared" ca="1" si="95"/>
        <v/>
      </c>
      <c r="BP479" s="124" t="str">
        <f t="shared" ca="1" si="91"/>
        <v/>
      </c>
      <c r="BQ479" s="124" t="str">
        <f t="shared" ca="1" si="91"/>
        <v/>
      </c>
      <c r="BR479" s="124" t="str">
        <f t="shared" ca="1" si="91"/>
        <v/>
      </c>
      <c r="BS479" s="124" t="str">
        <f t="shared" ca="1" si="91"/>
        <v/>
      </c>
      <c r="BT479" s="124" t="str">
        <f t="shared" ca="1" si="91"/>
        <v/>
      </c>
      <c r="BU479" s="124" t="str">
        <f t="shared" ca="1" si="91"/>
        <v/>
      </c>
    </row>
    <row r="480" spans="1:73" x14ac:dyDescent="0.15">
      <c r="A480">
        <v>60</v>
      </c>
      <c r="B480" s="124" t="str">
        <f t="shared" ca="1" si="49"/>
        <v/>
      </c>
      <c r="C480" s="123" t="str">
        <f ca="1">IF(A480&lt;=①簡易状況入力!$AC$5,INDIRECT("A"&amp;VLOOKUP($A480,①簡易状況入力!$Y$5:$AB$104,4,FALSE)),"")</f>
        <v/>
      </c>
      <c r="D480" s="125" t="str">
        <f t="shared" ca="1" si="50"/>
        <v/>
      </c>
      <c r="E480" s="125" t="str">
        <f t="shared" ca="1" si="51"/>
        <v/>
      </c>
      <c r="F480" s="125" t="str">
        <f t="shared" ca="1" si="52"/>
        <v/>
      </c>
      <c r="G480" s="125" t="str">
        <f t="shared" ca="1" si="53"/>
        <v/>
      </c>
      <c r="H480" s="125" t="str">
        <f t="shared" ca="1" si="54"/>
        <v/>
      </c>
      <c r="I480" s="125" t="str">
        <f t="shared" ca="1" si="55"/>
        <v/>
      </c>
      <c r="J480" s="125" t="str">
        <f t="shared" ca="1" si="56"/>
        <v/>
      </c>
      <c r="K480" s="125" t="str">
        <f t="shared" ca="1" si="57"/>
        <v/>
      </c>
      <c r="L480" s="125" t="str">
        <f t="shared" ca="1" si="58"/>
        <v/>
      </c>
      <c r="M480" s="125" t="str">
        <f t="shared" ca="1" si="59"/>
        <v/>
      </c>
      <c r="N480" s="125" t="str">
        <f t="shared" ca="1" si="60"/>
        <v/>
      </c>
      <c r="O480" s="125" t="str">
        <f t="shared" ca="1" si="61"/>
        <v/>
      </c>
      <c r="P480" s="125" t="str">
        <f t="shared" ca="1" si="62"/>
        <v/>
      </c>
      <c r="Q480" s="125" t="str">
        <f t="shared" ca="1" si="63"/>
        <v/>
      </c>
      <c r="R480" s="125" t="str">
        <f t="shared" ca="1" si="64"/>
        <v/>
      </c>
      <c r="S480" s="125" t="str">
        <f t="shared" ca="1" si="65"/>
        <v/>
      </c>
      <c r="T480" s="125" t="str">
        <f t="shared" ca="1" si="66"/>
        <v/>
      </c>
      <c r="U480" s="125" t="str">
        <f t="shared" ca="1" si="67"/>
        <v/>
      </c>
      <c r="V480" s="125" t="str">
        <f t="shared" ca="1" si="68"/>
        <v/>
      </c>
      <c r="W480" s="125" t="str">
        <f t="shared" ca="1" si="69"/>
        <v/>
      </c>
      <c r="X480" s="125" t="str">
        <f t="shared" ca="1" si="70"/>
        <v/>
      </c>
      <c r="Y480" s="125" t="str">
        <f t="shared" ca="1" si="71"/>
        <v/>
      </c>
      <c r="Z480" s="125" t="str">
        <f t="shared" ca="1" si="72"/>
        <v/>
      </c>
      <c r="AA480" s="125" t="str">
        <f t="shared" ca="1" si="73"/>
        <v/>
      </c>
      <c r="AB480" s="125" t="str">
        <f t="shared" ca="1" si="74"/>
        <v/>
      </c>
      <c r="AC480" s="125" t="str">
        <f t="shared" ca="1" si="75"/>
        <v/>
      </c>
      <c r="AD480" s="125" t="str">
        <f t="shared" ca="1" si="76"/>
        <v/>
      </c>
      <c r="AE480" s="125" t="str">
        <f t="shared" ca="1" si="77"/>
        <v/>
      </c>
      <c r="AF480" s="125" t="str">
        <f t="shared" ca="1" si="78"/>
        <v/>
      </c>
      <c r="AG480" s="125" t="str">
        <f t="shared" ca="1" si="79"/>
        <v/>
      </c>
      <c r="AH480" s="125" t="str">
        <f t="shared" ca="1" si="80"/>
        <v/>
      </c>
      <c r="AI480" s="125" t="str">
        <f t="shared" ca="1" si="81"/>
        <v/>
      </c>
      <c r="AJ480" s="125" t="str">
        <f t="shared" ca="1" si="82"/>
        <v/>
      </c>
      <c r="AK480" s="125" t="str">
        <f t="shared" ca="1" si="83"/>
        <v/>
      </c>
      <c r="AL480" s="125" t="str">
        <f t="shared" ca="1" si="84"/>
        <v/>
      </c>
      <c r="AM480" s="124" t="str">
        <f t="shared" ca="1" si="94"/>
        <v/>
      </c>
      <c r="AN480" s="124" t="str">
        <f t="shared" ca="1" si="94"/>
        <v/>
      </c>
      <c r="AO480" s="124" t="str">
        <f t="shared" ca="1" si="94"/>
        <v/>
      </c>
      <c r="AP480" s="124" t="str">
        <f t="shared" ca="1" si="94"/>
        <v/>
      </c>
      <c r="AQ480" s="124" t="str">
        <f t="shared" ca="1" si="94"/>
        <v/>
      </c>
      <c r="AR480" s="124" t="str">
        <f t="shared" ca="1" si="94"/>
        <v/>
      </c>
      <c r="AS480" s="124" t="str">
        <f t="shared" ca="1" si="94"/>
        <v/>
      </c>
      <c r="AT480" s="124" t="str">
        <f t="shared" ca="1" si="94"/>
        <v/>
      </c>
      <c r="AU480" s="124" t="str">
        <f t="shared" ca="1" si="94"/>
        <v/>
      </c>
      <c r="AV480" s="124" t="str">
        <f t="shared" ca="1" si="94"/>
        <v/>
      </c>
      <c r="AW480" s="124" t="str">
        <f t="shared" ca="1" si="94"/>
        <v/>
      </c>
      <c r="AX480" s="124" t="str">
        <f t="shared" ca="1" si="94"/>
        <v/>
      </c>
      <c r="AY480" s="124" t="str">
        <f t="shared" ca="1" si="94"/>
        <v/>
      </c>
      <c r="AZ480" s="124" t="str">
        <f t="shared" ca="1" si="94"/>
        <v/>
      </c>
      <c r="BA480" s="124" t="str">
        <f t="shared" ca="1" si="94"/>
        <v/>
      </c>
      <c r="BB480" s="124" t="str">
        <f t="shared" ca="1" si="94"/>
        <v/>
      </c>
      <c r="BC480" s="124" t="str">
        <f t="shared" ca="1" si="96"/>
        <v/>
      </c>
      <c r="BD480" s="124" t="str">
        <f t="shared" ca="1" si="96"/>
        <v/>
      </c>
      <c r="BE480" s="124" t="str">
        <f t="shared" ca="1" si="95"/>
        <v/>
      </c>
      <c r="BF480" s="124" t="str">
        <f t="shared" ca="1" si="95"/>
        <v/>
      </c>
      <c r="BG480" s="124" t="str">
        <f t="shared" ca="1" si="95"/>
        <v/>
      </c>
      <c r="BH480" s="124" t="str">
        <f t="shared" ca="1" si="95"/>
        <v/>
      </c>
      <c r="BI480" s="124" t="str">
        <f t="shared" ca="1" si="95"/>
        <v/>
      </c>
      <c r="BJ480" s="124" t="str">
        <f t="shared" ca="1" si="95"/>
        <v/>
      </c>
      <c r="BK480" s="124" t="str">
        <f t="shared" ca="1" si="95"/>
        <v/>
      </c>
      <c r="BL480" s="124" t="str">
        <f t="shared" ca="1" si="95"/>
        <v/>
      </c>
      <c r="BM480" s="124" t="str">
        <f t="shared" ca="1" si="95"/>
        <v/>
      </c>
      <c r="BN480" s="124" t="str">
        <f t="shared" ca="1" si="95"/>
        <v/>
      </c>
      <c r="BO480" s="124" t="str">
        <f t="shared" ca="1" si="95"/>
        <v/>
      </c>
      <c r="BP480" s="124" t="str">
        <f t="shared" ca="1" si="91"/>
        <v/>
      </c>
      <c r="BQ480" s="124" t="str">
        <f t="shared" ca="1" si="91"/>
        <v/>
      </c>
      <c r="BR480" s="124" t="str">
        <f t="shared" ca="1" si="91"/>
        <v/>
      </c>
      <c r="BS480" s="124" t="str">
        <f t="shared" ca="1" si="91"/>
        <v/>
      </c>
      <c r="BT480" s="124" t="str">
        <f t="shared" ca="1" si="91"/>
        <v/>
      </c>
      <c r="BU480" s="124" t="str">
        <f t="shared" ca="1" si="91"/>
        <v/>
      </c>
    </row>
    <row r="481" spans="1:73" x14ac:dyDescent="0.15">
      <c r="A481">
        <v>61</v>
      </c>
      <c r="B481" s="124" t="str">
        <f t="shared" ca="1" si="49"/>
        <v/>
      </c>
      <c r="C481" s="123" t="str">
        <f ca="1">IF(A481&lt;=①簡易状況入力!$AC$5,INDIRECT("A"&amp;VLOOKUP($A481,①簡易状況入力!$Y$5:$AB$104,4,FALSE)),"")</f>
        <v/>
      </c>
      <c r="D481" s="125" t="str">
        <f t="shared" ca="1" si="50"/>
        <v/>
      </c>
      <c r="E481" s="125" t="str">
        <f t="shared" ca="1" si="51"/>
        <v/>
      </c>
      <c r="F481" s="125" t="str">
        <f t="shared" ca="1" si="52"/>
        <v/>
      </c>
      <c r="G481" s="125" t="str">
        <f t="shared" ca="1" si="53"/>
        <v/>
      </c>
      <c r="H481" s="125" t="str">
        <f t="shared" ca="1" si="54"/>
        <v/>
      </c>
      <c r="I481" s="125" t="str">
        <f t="shared" ca="1" si="55"/>
        <v/>
      </c>
      <c r="J481" s="125" t="str">
        <f t="shared" ca="1" si="56"/>
        <v/>
      </c>
      <c r="K481" s="125" t="str">
        <f t="shared" ca="1" si="57"/>
        <v/>
      </c>
      <c r="L481" s="125" t="str">
        <f t="shared" ca="1" si="58"/>
        <v/>
      </c>
      <c r="M481" s="125" t="str">
        <f t="shared" ca="1" si="59"/>
        <v/>
      </c>
      <c r="N481" s="125" t="str">
        <f t="shared" ca="1" si="60"/>
        <v/>
      </c>
      <c r="O481" s="125" t="str">
        <f t="shared" ca="1" si="61"/>
        <v/>
      </c>
      <c r="P481" s="125" t="str">
        <f t="shared" ca="1" si="62"/>
        <v/>
      </c>
      <c r="Q481" s="125" t="str">
        <f t="shared" ca="1" si="63"/>
        <v/>
      </c>
      <c r="R481" s="125" t="str">
        <f t="shared" ca="1" si="64"/>
        <v/>
      </c>
      <c r="S481" s="125" t="str">
        <f t="shared" ca="1" si="65"/>
        <v/>
      </c>
      <c r="T481" s="125" t="str">
        <f t="shared" ca="1" si="66"/>
        <v/>
      </c>
      <c r="U481" s="125" t="str">
        <f t="shared" ca="1" si="67"/>
        <v/>
      </c>
      <c r="V481" s="125" t="str">
        <f t="shared" ca="1" si="68"/>
        <v/>
      </c>
      <c r="W481" s="125" t="str">
        <f t="shared" ca="1" si="69"/>
        <v/>
      </c>
      <c r="X481" s="125" t="str">
        <f t="shared" ca="1" si="70"/>
        <v/>
      </c>
      <c r="Y481" s="125" t="str">
        <f t="shared" ca="1" si="71"/>
        <v/>
      </c>
      <c r="Z481" s="125" t="str">
        <f t="shared" ca="1" si="72"/>
        <v/>
      </c>
      <c r="AA481" s="125" t="str">
        <f t="shared" ca="1" si="73"/>
        <v/>
      </c>
      <c r="AB481" s="125" t="str">
        <f t="shared" ca="1" si="74"/>
        <v/>
      </c>
      <c r="AC481" s="125" t="str">
        <f t="shared" ca="1" si="75"/>
        <v/>
      </c>
      <c r="AD481" s="125" t="str">
        <f t="shared" ca="1" si="76"/>
        <v/>
      </c>
      <c r="AE481" s="125" t="str">
        <f t="shared" ca="1" si="77"/>
        <v/>
      </c>
      <c r="AF481" s="125" t="str">
        <f t="shared" ca="1" si="78"/>
        <v/>
      </c>
      <c r="AG481" s="125" t="str">
        <f t="shared" ca="1" si="79"/>
        <v/>
      </c>
      <c r="AH481" s="125" t="str">
        <f t="shared" ca="1" si="80"/>
        <v/>
      </c>
      <c r="AI481" s="125" t="str">
        <f t="shared" ca="1" si="81"/>
        <v/>
      </c>
      <c r="AJ481" s="125" t="str">
        <f t="shared" ca="1" si="82"/>
        <v/>
      </c>
      <c r="AK481" s="125" t="str">
        <f t="shared" ca="1" si="83"/>
        <v/>
      </c>
      <c r="AL481" s="125" t="str">
        <f t="shared" ca="1" si="84"/>
        <v/>
      </c>
      <c r="AM481" s="124" t="str">
        <f t="shared" ca="1" si="94"/>
        <v/>
      </c>
      <c r="AN481" s="124" t="str">
        <f t="shared" ca="1" si="94"/>
        <v/>
      </c>
      <c r="AO481" s="124" t="str">
        <f t="shared" ca="1" si="94"/>
        <v/>
      </c>
      <c r="AP481" s="124" t="str">
        <f t="shared" ca="1" si="94"/>
        <v/>
      </c>
      <c r="AQ481" s="124" t="str">
        <f t="shared" ca="1" si="94"/>
        <v/>
      </c>
      <c r="AR481" s="124" t="str">
        <f t="shared" ca="1" si="94"/>
        <v/>
      </c>
      <c r="AS481" s="124" t="str">
        <f t="shared" ca="1" si="94"/>
        <v/>
      </c>
      <c r="AT481" s="124" t="str">
        <f t="shared" ca="1" si="94"/>
        <v/>
      </c>
      <c r="AU481" s="124" t="str">
        <f t="shared" ca="1" si="94"/>
        <v/>
      </c>
      <c r="AV481" s="124" t="str">
        <f t="shared" ca="1" si="94"/>
        <v/>
      </c>
      <c r="AW481" s="124" t="str">
        <f t="shared" ca="1" si="94"/>
        <v/>
      </c>
      <c r="AX481" s="124" t="str">
        <f t="shared" ca="1" si="94"/>
        <v/>
      </c>
      <c r="AY481" s="124" t="str">
        <f t="shared" ca="1" si="94"/>
        <v/>
      </c>
      <c r="AZ481" s="124" t="str">
        <f t="shared" ca="1" si="94"/>
        <v/>
      </c>
      <c r="BA481" s="124" t="str">
        <f t="shared" ca="1" si="94"/>
        <v/>
      </c>
      <c r="BB481" s="124" t="str">
        <f t="shared" ca="1" si="94"/>
        <v/>
      </c>
      <c r="BC481" s="124" t="str">
        <f t="shared" ca="1" si="96"/>
        <v/>
      </c>
      <c r="BD481" s="124" t="str">
        <f t="shared" ca="1" si="96"/>
        <v/>
      </c>
      <c r="BE481" s="124" t="str">
        <f t="shared" ca="1" si="95"/>
        <v/>
      </c>
      <c r="BF481" s="124" t="str">
        <f t="shared" ca="1" si="95"/>
        <v/>
      </c>
      <c r="BG481" s="124" t="str">
        <f t="shared" ca="1" si="95"/>
        <v/>
      </c>
      <c r="BH481" s="124" t="str">
        <f t="shared" ca="1" si="95"/>
        <v/>
      </c>
      <c r="BI481" s="124" t="str">
        <f t="shared" ca="1" si="95"/>
        <v/>
      </c>
      <c r="BJ481" s="124" t="str">
        <f t="shared" ca="1" si="95"/>
        <v/>
      </c>
      <c r="BK481" s="124" t="str">
        <f t="shared" ca="1" si="95"/>
        <v/>
      </c>
      <c r="BL481" s="124" t="str">
        <f t="shared" ca="1" si="95"/>
        <v/>
      </c>
      <c r="BM481" s="124" t="str">
        <f t="shared" ca="1" si="95"/>
        <v/>
      </c>
      <c r="BN481" s="124" t="str">
        <f t="shared" ca="1" si="95"/>
        <v/>
      </c>
      <c r="BO481" s="124" t="str">
        <f t="shared" ca="1" si="95"/>
        <v/>
      </c>
      <c r="BP481" s="124" t="str">
        <f t="shared" ca="1" si="91"/>
        <v/>
      </c>
      <c r="BQ481" s="124" t="str">
        <f t="shared" ca="1" si="91"/>
        <v/>
      </c>
      <c r="BR481" s="124" t="str">
        <f t="shared" ca="1" si="91"/>
        <v/>
      </c>
      <c r="BS481" s="124" t="str">
        <f t="shared" ca="1" si="91"/>
        <v/>
      </c>
      <c r="BT481" s="124" t="str">
        <f t="shared" ca="1" si="91"/>
        <v/>
      </c>
      <c r="BU481" s="124" t="str">
        <f t="shared" ca="1" si="91"/>
        <v/>
      </c>
    </row>
    <row r="482" spans="1:73" x14ac:dyDescent="0.15">
      <c r="A482">
        <v>62</v>
      </c>
      <c r="B482" s="124" t="str">
        <f t="shared" ca="1" si="49"/>
        <v/>
      </c>
      <c r="C482" s="123" t="str">
        <f ca="1">IF(A482&lt;=①簡易状況入力!$AC$5,INDIRECT("A"&amp;VLOOKUP($A482,①簡易状況入力!$Y$5:$AB$104,4,FALSE)),"")</f>
        <v/>
      </c>
      <c r="D482" s="125" t="str">
        <f t="shared" ca="1" si="50"/>
        <v/>
      </c>
      <c r="E482" s="125" t="str">
        <f t="shared" ca="1" si="51"/>
        <v/>
      </c>
      <c r="F482" s="125" t="str">
        <f t="shared" ca="1" si="52"/>
        <v/>
      </c>
      <c r="G482" s="125" t="str">
        <f t="shared" ca="1" si="53"/>
        <v/>
      </c>
      <c r="H482" s="125" t="str">
        <f t="shared" ca="1" si="54"/>
        <v/>
      </c>
      <c r="I482" s="125" t="str">
        <f t="shared" ca="1" si="55"/>
        <v/>
      </c>
      <c r="J482" s="125" t="str">
        <f t="shared" ca="1" si="56"/>
        <v/>
      </c>
      <c r="K482" s="125" t="str">
        <f t="shared" ca="1" si="57"/>
        <v/>
      </c>
      <c r="L482" s="125" t="str">
        <f t="shared" ca="1" si="58"/>
        <v/>
      </c>
      <c r="M482" s="125" t="str">
        <f t="shared" ca="1" si="59"/>
        <v/>
      </c>
      <c r="N482" s="125" t="str">
        <f t="shared" ca="1" si="60"/>
        <v/>
      </c>
      <c r="O482" s="125" t="str">
        <f t="shared" ca="1" si="61"/>
        <v/>
      </c>
      <c r="P482" s="125" t="str">
        <f t="shared" ca="1" si="62"/>
        <v/>
      </c>
      <c r="Q482" s="125" t="str">
        <f t="shared" ca="1" si="63"/>
        <v/>
      </c>
      <c r="R482" s="125" t="str">
        <f t="shared" ca="1" si="64"/>
        <v/>
      </c>
      <c r="S482" s="125" t="str">
        <f t="shared" ca="1" si="65"/>
        <v/>
      </c>
      <c r="T482" s="125" t="str">
        <f t="shared" ca="1" si="66"/>
        <v/>
      </c>
      <c r="U482" s="125" t="str">
        <f t="shared" ca="1" si="67"/>
        <v/>
      </c>
      <c r="V482" s="125" t="str">
        <f t="shared" ca="1" si="68"/>
        <v/>
      </c>
      <c r="W482" s="125" t="str">
        <f t="shared" ca="1" si="69"/>
        <v/>
      </c>
      <c r="X482" s="125" t="str">
        <f t="shared" ca="1" si="70"/>
        <v/>
      </c>
      <c r="Y482" s="125" t="str">
        <f t="shared" ca="1" si="71"/>
        <v/>
      </c>
      <c r="Z482" s="125" t="str">
        <f t="shared" ca="1" si="72"/>
        <v/>
      </c>
      <c r="AA482" s="125" t="str">
        <f t="shared" ca="1" si="73"/>
        <v/>
      </c>
      <c r="AB482" s="125" t="str">
        <f t="shared" ca="1" si="74"/>
        <v/>
      </c>
      <c r="AC482" s="125" t="str">
        <f t="shared" ca="1" si="75"/>
        <v/>
      </c>
      <c r="AD482" s="125" t="str">
        <f t="shared" ca="1" si="76"/>
        <v/>
      </c>
      <c r="AE482" s="125" t="str">
        <f t="shared" ca="1" si="77"/>
        <v/>
      </c>
      <c r="AF482" s="125" t="str">
        <f t="shared" ca="1" si="78"/>
        <v/>
      </c>
      <c r="AG482" s="125" t="str">
        <f t="shared" ca="1" si="79"/>
        <v/>
      </c>
      <c r="AH482" s="125" t="str">
        <f t="shared" ca="1" si="80"/>
        <v/>
      </c>
      <c r="AI482" s="125" t="str">
        <f t="shared" ca="1" si="81"/>
        <v/>
      </c>
      <c r="AJ482" s="125" t="str">
        <f t="shared" ca="1" si="82"/>
        <v/>
      </c>
      <c r="AK482" s="125" t="str">
        <f t="shared" ca="1" si="83"/>
        <v/>
      </c>
      <c r="AL482" s="125" t="str">
        <f t="shared" ca="1" si="84"/>
        <v/>
      </c>
      <c r="AM482" s="124" t="str">
        <f t="shared" ca="1" si="94"/>
        <v/>
      </c>
      <c r="AN482" s="124" t="str">
        <f t="shared" ca="1" si="94"/>
        <v/>
      </c>
      <c r="AO482" s="124" t="str">
        <f t="shared" ca="1" si="94"/>
        <v/>
      </c>
      <c r="AP482" s="124" t="str">
        <f t="shared" ca="1" si="94"/>
        <v/>
      </c>
      <c r="AQ482" s="124" t="str">
        <f t="shared" ca="1" si="94"/>
        <v/>
      </c>
      <c r="AR482" s="124" t="str">
        <f t="shared" ca="1" si="94"/>
        <v/>
      </c>
      <c r="AS482" s="124" t="str">
        <f t="shared" ca="1" si="94"/>
        <v/>
      </c>
      <c r="AT482" s="124" t="str">
        <f t="shared" ca="1" si="94"/>
        <v/>
      </c>
      <c r="AU482" s="124" t="str">
        <f t="shared" ca="1" si="94"/>
        <v/>
      </c>
      <c r="AV482" s="124" t="str">
        <f t="shared" ca="1" si="94"/>
        <v/>
      </c>
      <c r="AW482" s="124" t="str">
        <f t="shared" ca="1" si="94"/>
        <v/>
      </c>
      <c r="AX482" s="124" t="str">
        <f t="shared" ca="1" si="94"/>
        <v/>
      </c>
      <c r="AY482" s="124" t="str">
        <f t="shared" ca="1" si="94"/>
        <v/>
      </c>
      <c r="AZ482" s="124" t="str">
        <f t="shared" ca="1" si="94"/>
        <v/>
      </c>
      <c r="BA482" s="124" t="str">
        <f t="shared" ca="1" si="94"/>
        <v/>
      </c>
      <c r="BB482" s="124" t="str">
        <f t="shared" ca="1" si="94"/>
        <v/>
      </c>
      <c r="BC482" s="124" t="str">
        <f t="shared" ca="1" si="96"/>
        <v/>
      </c>
      <c r="BD482" s="124" t="str">
        <f t="shared" ca="1" si="96"/>
        <v/>
      </c>
      <c r="BE482" s="124" t="str">
        <f t="shared" ca="1" si="95"/>
        <v/>
      </c>
      <c r="BF482" s="124" t="str">
        <f t="shared" ca="1" si="95"/>
        <v/>
      </c>
      <c r="BG482" s="124" t="str">
        <f t="shared" ca="1" si="95"/>
        <v/>
      </c>
      <c r="BH482" s="124" t="str">
        <f t="shared" ca="1" si="95"/>
        <v/>
      </c>
      <c r="BI482" s="124" t="str">
        <f t="shared" ca="1" si="95"/>
        <v/>
      </c>
      <c r="BJ482" s="124" t="str">
        <f t="shared" ca="1" si="95"/>
        <v/>
      </c>
      <c r="BK482" s="124" t="str">
        <f t="shared" ca="1" si="95"/>
        <v/>
      </c>
      <c r="BL482" s="124" t="str">
        <f t="shared" ca="1" si="95"/>
        <v/>
      </c>
      <c r="BM482" s="124" t="str">
        <f t="shared" ca="1" si="95"/>
        <v/>
      </c>
      <c r="BN482" s="124" t="str">
        <f t="shared" ca="1" si="95"/>
        <v/>
      </c>
      <c r="BO482" s="124" t="str">
        <f t="shared" ca="1" si="95"/>
        <v/>
      </c>
      <c r="BP482" s="124" t="str">
        <f t="shared" ca="1" si="91"/>
        <v/>
      </c>
      <c r="BQ482" s="124" t="str">
        <f t="shared" ca="1" si="91"/>
        <v/>
      </c>
      <c r="BR482" s="124" t="str">
        <f t="shared" ca="1" si="91"/>
        <v/>
      </c>
      <c r="BS482" s="124" t="str">
        <f t="shared" ca="1" si="91"/>
        <v/>
      </c>
      <c r="BT482" s="124" t="str">
        <f t="shared" ca="1" si="91"/>
        <v/>
      </c>
      <c r="BU482" s="124" t="str">
        <f t="shared" ca="1" si="91"/>
        <v/>
      </c>
    </row>
    <row r="483" spans="1:73" x14ac:dyDescent="0.15">
      <c r="A483">
        <v>63</v>
      </c>
      <c r="B483" s="124" t="str">
        <f t="shared" ca="1" si="49"/>
        <v/>
      </c>
      <c r="C483" s="123" t="str">
        <f ca="1">IF(A483&lt;=①簡易状況入力!$AC$5,INDIRECT("A"&amp;VLOOKUP($A483,①簡易状況入力!$Y$5:$AB$104,4,FALSE)),"")</f>
        <v/>
      </c>
      <c r="D483" s="125" t="str">
        <f t="shared" ca="1" si="50"/>
        <v/>
      </c>
      <c r="E483" s="125" t="str">
        <f t="shared" ca="1" si="51"/>
        <v/>
      </c>
      <c r="F483" s="125" t="str">
        <f t="shared" ca="1" si="52"/>
        <v/>
      </c>
      <c r="G483" s="125" t="str">
        <f t="shared" ca="1" si="53"/>
        <v/>
      </c>
      <c r="H483" s="125" t="str">
        <f t="shared" ca="1" si="54"/>
        <v/>
      </c>
      <c r="I483" s="125" t="str">
        <f t="shared" ca="1" si="55"/>
        <v/>
      </c>
      <c r="J483" s="125" t="str">
        <f t="shared" ca="1" si="56"/>
        <v/>
      </c>
      <c r="K483" s="125" t="str">
        <f t="shared" ca="1" si="57"/>
        <v/>
      </c>
      <c r="L483" s="125" t="str">
        <f t="shared" ca="1" si="58"/>
        <v/>
      </c>
      <c r="M483" s="125" t="str">
        <f t="shared" ca="1" si="59"/>
        <v/>
      </c>
      <c r="N483" s="125" t="str">
        <f t="shared" ca="1" si="60"/>
        <v/>
      </c>
      <c r="O483" s="125" t="str">
        <f t="shared" ca="1" si="61"/>
        <v/>
      </c>
      <c r="P483" s="125" t="str">
        <f t="shared" ca="1" si="62"/>
        <v/>
      </c>
      <c r="Q483" s="125" t="str">
        <f t="shared" ca="1" si="63"/>
        <v/>
      </c>
      <c r="R483" s="125" t="str">
        <f t="shared" ca="1" si="64"/>
        <v/>
      </c>
      <c r="S483" s="125" t="str">
        <f t="shared" ca="1" si="65"/>
        <v/>
      </c>
      <c r="T483" s="125" t="str">
        <f t="shared" ca="1" si="66"/>
        <v/>
      </c>
      <c r="U483" s="125" t="str">
        <f t="shared" ca="1" si="67"/>
        <v/>
      </c>
      <c r="V483" s="125" t="str">
        <f t="shared" ca="1" si="68"/>
        <v/>
      </c>
      <c r="W483" s="125" t="str">
        <f t="shared" ca="1" si="69"/>
        <v/>
      </c>
      <c r="X483" s="125" t="str">
        <f t="shared" ca="1" si="70"/>
        <v/>
      </c>
      <c r="Y483" s="125" t="str">
        <f t="shared" ca="1" si="71"/>
        <v/>
      </c>
      <c r="Z483" s="125" t="str">
        <f t="shared" ca="1" si="72"/>
        <v/>
      </c>
      <c r="AA483" s="125" t="str">
        <f t="shared" ca="1" si="73"/>
        <v/>
      </c>
      <c r="AB483" s="125" t="str">
        <f t="shared" ca="1" si="74"/>
        <v/>
      </c>
      <c r="AC483" s="125" t="str">
        <f t="shared" ca="1" si="75"/>
        <v/>
      </c>
      <c r="AD483" s="125" t="str">
        <f t="shared" ca="1" si="76"/>
        <v/>
      </c>
      <c r="AE483" s="125" t="str">
        <f t="shared" ca="1" si="77"/>
        <v/>
      </c>
      <c r="AF483" s="125" t="str">
        <f t="shared" ca="1" si="78"/>
        <v/>
      </c>
      <c r="AG483" s="125" t="str">
        <f t="shared" ca="1" si="79"/>
        <v/>
      </c>
      <c r="AH483" s="125" t="str">
        <f t="shared" ca="1" si="80"/>
        <v/>
      </c>
      <c r="AI483" s="125" t="str">
        <f t="shared" ca="1" si="81"/>
        <v/>
      </c>
      <c r="AJ483" s="125" t="str">
        <f t="shared" ca="1" si="82"/>
        <v/>
      </c>
      <c r="AK483" s="125" t="str">
        <f t="shared" ca="1" si="83"/>
        <v/>
      </c>
      <c r="AL483" s="125" t="str">
        <f t="shared" ca="1" si="84"/>
        <v/>
      </c>
      <c r="AM483" s="124" t="str">
        <f t="shared" ca="1" si="94"/>
        <v/>
      </c>
      <c r="AN483" s="124" t="str">
        <f t="shared" ca="1" si="94"/>
        <v/>
      </c>
      <c r="AO483" s="124" t="str">
        <f t="shared" ca="1" si="94"/>
        <v/>
      </c>
      <c r="AP483" s="124" t="str">
        <f t="shared" ca="1" si="94"/>
        <v/>
      </c>
      <c r="AQ483" s="124" t="str">
        <f t="shared" ca="1" si="94"/>
        <v/>
      </c>
      <c r="AR483" s="124" t="str">
        <f t="shared" ca="1" si="94"/>
        <v/>
      </c>
      <c r="AS483" s="124" t="str">
        <f t="shared" ca="1" si="94"/>
        <v/>
      </c>
      <c r="AT483" s="124" t="str">
        <f t="shared" ca="1" si="94"/>
        <v/>
      </c>
      <c r="AU483" s="124" t="str">
        <f t="shared" ca="1" si="94"/>
        <v/>
      </c>
      <c r="AV483" s="124" t="str">
        <f t="shared" ca="1" si="94"/>
        <v/>
      </c>
      <c r="AW483" s="124" t="str">
        <f t="shared" ca="1" si="94"/>
        <v/>
      </c>
      <c r="AX483" s="124" t="str">
        <f t="shared" ca="1" si="94"/>
        <v/>
      </c>
      <c r="AY483" s="124" t="str">
        <f t="shared" ca="1" si="94"/>
        <v/>
      </c>
      <c r="AZ483" s="124" t="str">
        <f t="shared" ca="1" si="94"/>
        <v/>
      </c>
      <c r="BA483" s="124" t="str">
        <f t="shared" ca="1" si="94"/>
        <v/>
      </c>
      <c r="BB483" s="124" t="str">
        <f t="shared" ca="1" si="94"/>
        <v/>
      </c>
      <c r="BC483" s="124" t="str">
        <f t="shared" ca="1" si="96"/>
        <v/>
      </c>
      <c r="BD483" s="124" t="str">
        <f t="shared" ca="1" si="96"/>
        <v/>
      </c>
      <c r="BE483" s="124" t="str">
        <f t="shared" ca="1" si="95"/>
        <v/>
      </c>
      <c r="BF483" s="124" t="str">
        <f t="shared" ca="1" si="95"/>
        <v/>
      </c>
      <c r="BG483" s="124" t="str">
        <f t="shared" ca="1" si="95"/>
        <v/>
      </c>
      <c r="BH483" s="124" t="str">
        <f t="shared" ca="1" si="95"/>
        <v/>
      </c>
      <c r="BI483" s="124" t="str">
        <f t="shared" ca="1" si="95"/>
        <v/>
      </c>
      <c r="BJ483" s="124" t="str">
        <f t="shared" ca="1" si="95"/>
        <v/>
      </c>
      <c r="BK483" s="124" t="str">
        <f t="shared" ca="1" si="95"/>
        <v/>
      </c>
      <c r="BL483" s="124" t="str">
        <f t="shared" ca="1" si="95"/>
        <v/>
      </c>
      <c r="BM483" s="124" t="str">
        <f t="shared" ca="1" si="95"/>
        <v/>
      </c>
      <c r="BN483" s="124" t="str">
        <f t="shared" ca="1" si="95"/>
        <v/>
      </c>
      <c r="BO483" s="124" t="str">
        <f t="shared" ca="1" si="95"/>
        <v/>
      </c>
      <c r="BP483" s="124" t="str">
        <f t="shared" ca="1" si="91"/>
        <v/>
      </c>
      <c r="BQ483" s="124" t="str">
        <f t="shared" ca="1" si="91"/>
        <v/>
      </c>
      <c r="BR483" s="124" t="str">
        <f t="shared" ca="1" si="91"/>
        <v/>
      </c>
      <c r="BS483" s="124" t="str">
        <f t="shared" ca="1" si="91"/>
        <v/>
      </c>
      <c r="BT483" s="124" t="str">
        <f t="shared" ca="1" si="91"/>
        <v/>
      </c>
      <c r="BU483" s="124" t="str">
        <f t="shared" ca="1" si="91"/>
        <v/>
      </c>
    </row>
    <row r="484" spans="1:73" x14ac:dyDescent="0.15">
      <c r="A484">
        <v>64</v>
      </c>
      <c r="B484" s="124" t="str">
        <f t="shared" ca="1" si="49"/>
        <v/>
      </c>
      <c r="C484" s="123" t="str">
        <f ca="1">IF(A484&lt;=①簡易状況入力!$AC$5,INDIRECT("A"&amp;VLOOKUP($A484,①簡易状況入力!$Y$5:$AB$104,4,FALSE)),"")</f>
        <v/>
      </c>
      <c r="D484" s="125" t="str">
        <f t="shared" ca="1" si="50"/>
        <v/>
      </c>
      <c r="E484" s="125" t="str">
        <f t="shared" ca="1" si="51"/>
        <v/>
      </c>
      <c r="F484" s="125" t="str">
        <f t="shared" ca="1" si="52"/>
        <v/>
      </c>
      <c r="G484" s="125" t="str">
        <f t="shared" ca="1" si="53"/>
        <v/>
      </c>
      <c r="H484" s="125" t="str">
        <f t="shared" ca="1" si="54"/>
        <v/>
      </c>
      <c r="I484" s="125" t="str">
        <f t="shared" ca="1" si="55"/>
        <v/>
      </c>
      <c r="J484" s="125" t="str">
        <f t="shared" ca="1" si="56"/>
        <v/>
      </c>
      <c r="K484" s="125" t="str">
        <f t="shared" ca="1" si="57"/>
        <v/>
      </c>
      <c r="L484" s="125" t="str">
        <f t="shared" ca="1" si="58"/>
        <v/>
      </c>
      <c r="M484" s="125" t="str">
        <f t="shared" ca="1" si="59"/>
        <v/>
      </c>
      <c r="N484" s="125" t="str">
        <f t="shared" ca="1" si="60"/>
        <v/>
      </c>
      <c r="O484" s="125" t="str">
        <f t="shared" ca="1" si="61"/>
        <v/>
      </c>
      <c r="P484" s="125" t="str">
        <f t="shared" ca="1" si="62"/>
        <v/>
      </c>
      <c r="Q484" s="125" t="str">
        <f t="shared" ca="1" si="63"/>
        <v/>
      </c>
      <c r="R484" s="125" t="str">
        <f t="shared" ca="1" si="64"/>
        <v/>
      </c>
      <c r="S484" s="125" t="str">
        <f t="shared" ca="1" si="65"/>
        <v/>
      </c>
      <c r="T484" s="125" t="str">
        <f t="shared" ca="1" si="66"/>
        <v/>
      </c>
      <c r="U484" s="125" t="str">
        <f t="shared" ca="1" si="67"/>
        <v/>
      </c>
      <c r="V484" s="125" t="str">
        <f t="shared" ca="1" si="68"/>
        <v/>
      </c>
      <c r="W484" s="125" t="str">
        <f t="shared" ca="1" si="69"/>
        <v/>
      </c>
      <c r="X484" s="125" t="str">
        <f t="shared" ca="1" si="70"/>
        <v/>
      </c>
      <c r="Y484" s="125" t="str">
        <f t="shared" ca="1" si="71"/>
        <v/>
      </c>
      <c r="Z484" s="125" t="str">
        <f t="shared" ca="1" si="72"/>
        <v/>
      </c>
      <c r="AA484" s="125" t="str">
        <f t="shared" ca="1" si="73"/>
        <v/>
      </c>
      <c r="AB484" s="125" t="str">
        <f t="shared" ca="1" si="74"/>
        <v/>
      </c>
      <c r="AC484" s="125" t="str">
        <f t="shared" ca="1" si="75"/>
        <v/>
      </c>
      <c r="AD484" s="125" t="str">
        <f t="shared" ca="1" si="76"/>
        <v/>
      </c>
      <c r="AE484" s="125" t="str">
        <f t="shared" ca="1" si="77"/>
        <v/>
      </c>
      <c r="AF484" s="125" t="str">
        <f t="shared" ca="1" si="78"/>
        <v/>
      </c>
      <c r="AG484" s="125" t="str">
        <f t="shared" ca="1" si="79"/>
        <v/>
      </c>
      <c r="AH484" s="125" t="str">
        <f t="shared" ca="1" si="80"/>
        <v/>
      </c>
      <c r="AI484" s="125" t="str">
        <f t="shared" ca="1" si="81"/>
        <v/>
      </c>
      <c r="AJ484" s="125" t="str">
        <f t="shared" ca="1" si="82"/>
        <v/>
      </c>
      <c r="AK484" s="125" t="str">
        <f t="shared" ca="1" si="83"/>
        <v/>
      </c>
      <c r="AL484" s="125" t="str">
        <f t="shared" ca="1" si="84"/>
        <v/>
      </c>
      <c r="AM484" s="124" t="str">
        <f t="shared" ca="1" si="94"/>
        <v/>
      </c>
      <c r="AN484" s="124" t="str">
        <f t="shared" ca="1" si="94"/>
        <v/>
      </c>
      <c r="AO484" s="124" t="str">
        <f t="shared" ca="1" si="94"/>
        <v/>
      </c>
      <c r="AP484" s="124" t="str">
        <f t="shared" ca="1" si="94"/>
        <v/>
      </c>
      <c r="AQ484" s="124" t="str">
        <f t="shared" ca="1" si="94"/>
        <v/>
      </c>
      <c r="AR484" s="124" t="str">
        <f t="shared" ca="1" si="94"/>
        <v/>
      </c>
      <c r="AS484" s="124" t="str">
        <f t="shared" ca="1" si="94"/>
        <v/>
      </c>
      <c r="AT484" s="124" t="str">
        <f t="shared" ca="1" si="94"/>
        <v/>
      </c>
      <c r="AU484" s="124" t="str">
        <f t="shared" ca="1" si="94"/>
        <v/>
      </c>
      <c r="AV484" s="124" t="str">
        <f t="shared" ca="1" si="94"/>
        <v/>
      </c>
      <c r="AW484" s="124" t="str">
        <f t="shared" ca="1" si="94"/>
        <v/>
      </c>
      <c r="AX484" s="124" t="str">
        <f t="shared" ca="1" si="94"/>
        <v/>
      </c>
      <c r="AY484" s="124" t="str">
        <f t="shared" ca="1" si="94"/>
        <v/>
      </c>
      <c r="AZ484" s="124" t="str">
        <f t="shared" ca="1" si="94"/>
        <v/>
      </c>
      <c r="BA484" s="124" t="str">
        <f t="shared" ca="1" si="94"/>
        <v/>
      </c>
      <c r="BB484" s="124" t="str">
        <f t="shared" ca="1" si="94"/>
        <v/>
      </c>
      <c r="BC484" s="124" t="str">
        <f t="shared" ca="1" si="96"/>
        <v/>
      </c>
      <c r="BD484" s="124" t="str">
        <f t="shared" ca="1" si="96"/>
        <v/>
      </c>
      <c r="BE484" s="124" t="str">
        <f t="shared" ca="1" si="95"/>
        <v/>
      </c>
      <c r="BF484" s="124" t="str">
        <f t="shared" ca="1" si="95"/>
        <v/>
      </c>
      <c r="BG484" s="124" t="str">
        <f t="shared" ca="1" si="95"/>
        <v/>
      </c>
      <c r="BH484" s="124" t="str">
        <f t="shared" ca="1" si="95"/>
        <v/>
      </c>
      <c r="BI484" s="124" t="str">
        <f t="shared" ca="1" si="95"/>
        <v/>
      </c>
      <c r="BJ484" s="124" t="str">
        <f t="shared" ca="1" si="95"/>
        <v/>
      </c>
      <c r="BK484" s="124" t="str">
        <f t="shared" ca="1" si="95"/>
        <v/>
      </c>
      <c r="BL484" s="124" t="str">
        <f t="shared" ca="1" si="95"/>
        <v/>
      </c>
      <c r="BM484" s="124" t="str">
        <f t="shared" ca="1" si="95"/>
        <v/>
      </c>
      <c r="BN484" s="124" t="str">
        <f t="shared" ca="1" si="95"/>
        <v/>
      </c>
      <c r="BO484" s="124" t="str">
        <f t="shared" ca="1" si="95"/>
        <v/>
      </c>
      <c r="BP484" s="124" t="str">
        <f t="shared" ca="1" si="91"/>
        <v/>
      </c>
      <c r="BQ484" s="124" t="str">
        <f t="shared" ca="1" si="91"/>
        <v/>
      </c>
      <c r="BR484" s="124" t="str">
        <f t="shared" ca="1" si="91"/>
        <v/>
      </c>
      <c r="BS484" s="124" t="str">
        <f t="shared" ca="1" si="91"/>
        <v/>
      </c>
      <c r="BT484" s="124" t="str">
        <f t="shared" ca="1" si="91"/>
        <v/>
      </c>
      <c r="BU484" s="124" t="str">
        <f t="shared" ca="1" si="91"/>
        <v/>
      </c>
    </row>
    <row r="485" spans="1:73" x14ac:dyDescent="0.15">
      <c r="A485">
        <v>65</v>
      </c>
      <c r="B485" s="124" t="str">
        <f t="shared" ca="1" si="49"/>
        <v/>
      </c>
      <c r="C485" s="123" t="str">
        <f ca="1">IF(A485&lt;=①簡易状況入力!$AC$5,INDIRECT("A"&amp;VLOOKUP($A485,①簡易状況入力!$Y$5:$AB$104,4,FALSE)),"")</f>
        <v/>
      </c>
      <c r="D485" s="125" t="str">
        <f t="shared" ca="1" si="50"/>
        <v/>
      </c>
      <c r="E485" s="125" t="str">
        <f t="shared" ca="1" si="51"/>
        <v/>
      </c>
      <c r="F485" s="125" t="str">
        <f t="shared" ca="1" si="52"/>
        <v/>
      </c>
      <c r="G485" s="125" t="str">
        <f t="shared" ca="1" si="53"/>
        <v/>
      </c>
      <c r="H485" s="125" t="str">
        <f t="shared" ca="1" si="54"/>
        <v/>
      </c>
      <c r="I485" s="125" t="str">
        <f t="shared" ca="1" si="55"/>
        <v/>
      </c>
      <c r="J485" s="125" t="str">
        <f t="shared" ca="1" si="56"/>
        <v/>
      </c>
      <c r="K485" s="125" t="str">
        <f t="shared" ca="1" si="57"/>
        <v/>
      </c>
      <c r="L485" s="125" t="str">
        <f t="shared" ca="1" si="58"/>
        <v/>
      </c>
      <c r="M485" s="125" t="str">
        <f t="shared" ca="1" si="59"/>
        <v/>
      </c>
      <c r="N485" s="125" t="str">
        <f t="shared" ca="1" si="60"/>
        <v/>
      </c>
      <c r="O485" s="125" t="str">
        <f t="shared" ca="1" si="61"/>
        <v/>
      </c>
      <c r="P485" s="125" t="str">
        <f t="shared" ca="1" si="62"/>
        <v/>
      </c>
      <c r="Q485" s="125" t="str">
        <f t="shared" ca="1" si="63"/>
        <v/>
      </c>
      <c r="R485" s="125" t="str">
        <f t="shared" ca="1" si="64"/>
        <v/>
      </c>
      <c r="S485" s="125" t="str">
        <f t="shared" ca="1" si="65"/>
        <v/>
      </c>
      <c r="T485" s="125" t="str">
        <f t="shared" ca="1" si="66"/>
        <v/>
      </c>
      <c r="U485" s="125" t="str">
        <f t="shared" ca="1" si="67"/>
        <v/>
      </c>
      <c r="V485" s="125" t="str">
        <f t="shared" ca="1" si="68"/>
        <v/>
      </c>
      <c r="W485" s="125" t="str">
        <f t="shared" ca="1" si="69"/>
        <v/>
      </c>
      <c r="X485" s="125" t="str">
        <f t="shared" ca="1" si="70"/>
        <v/>
      </c>
      <c r="Y485" s="125" t="str">
        <f t="shared" ca="1" si="71"/>
        <v/>
      </c>
      <c r="Z485" s="125" t="str">
        <f t="shared" ca="1" si="72"/>
        <v/>
      </c>
      <c r="AA485" s="125" t="str">
        <f t="shared" ca="1" si="73"/>
        <v/>
      </c>
      <c r="AB485" s="125" t="str">
        <f t="shared" ca="1" si="74"/>
        <v/>
      </c>
      <c r="AC485" s="125" t="str">
        <f t="shared" ca="1" si="75"/>
        <v/>
      </c>
      <c r="AD485" s="125" t="str">
        <f t="shared" ca="1" si="76"/>
        <v/>
      </c>
      <c r="AE485" s="125" t="str">
        <f t="shared" ca="1" si="77"/>
        <v/>
      </c>
      <c r="AF485" s="125" t="str">
        <f t="shared" ca="1" si="78"/>
        <v/>
      </c>
      <c r="AG485" s="125" t="str">
        <f t="shared" ca="1" si="79"/>
        <v/>
      </c>
      <c r="AH485" s="125" t="str">
        <f t="shared" ca="1" si="80"/>
        <v/>
      </c>
      <c r="AI485" s="125" t="str">
        <f t="shared" ca="1" si="81"/>
        <v/>
      </c>
      <c r="AJ485" s="125" t="str">
        <f t="shared" ca="1" si="82"/>
        <v/>
      </c>
      <c r="AK485" s="125" t="str">
        <f t="shared" ca="1" si="83"/>
        <v/>
      </c>
      <c r="AL485" s="125" t="str">
        <f t="shared" ca="1" si="84"/>
        <v/>
      </c>
      <c r="AM485" s="124" t="str">
        <f t="shared" ca="1" si="94"/>
        <v/>
      </c>
      <c r="AN485" s="124" t="str">
        <f t="shared" ca="1" si="94"/>
        <v/>
      </c>
      <c r="AO485" s="124" t="str">
        <f t="shared" ca="1" si="94"/>
        <v/>
      </c>
      <c r="AP485" s="124" t="str">
        <f t="shared" ca="1" si="94"/>
        <v/>
      </c>
      <c r="AQ485" s="124" t="str">
        <f t="shared" ca="1" si="94"/>
        <v/>
      </c>
      <c r="AR485" s="124" t="str">
        <f t="shared" ca="1" si="94"/>
        <v/>
      </c>
      <c r="AS485" s="124" t="str">
        <f t="shared" ca="1" si="94"/>
        <v/>
      </c>
      <c r="AT485" s="124" t="str">
        <f t="shared" ca="1" si="94"/>
        <v/>
      </c>
      <c r="AU485" s="124" t="str">
        <f t="shared" ca="1" si="94"/>
        <v/>
      </c>
      <c r="AV485" s="124" t="str">
        <f t="shared" ca="1" si="94"/>
        <v/>
      </c>
      <c r="AW485" s="124" t="str">
        <f t="shared" ca="1" si="94"/>
        <v/>
      </c>
      <c r="AX485" s="124" t="str">
        <f t="shared" ca="1" si="94"/>
        <v/>
      </c>
      <c r="AY485" s="124" t="str">
        <f t="shared" ca="1" si="94"/>
        <v/>
      </c>
      <c r="AZ485" s="124" t="str">
        <f t="shared" ca="1" si="94"/>
        <v/>
      </c>
      <c r="BA485" s="124" t="str">
        <f t="shared" ca="1" si="94"/>
        <v/>
      </c>
      <c r="BB485" s="124" t="str">
        <f t="shared" ca="1" si="94"/>
        <v/>
      </c>
      <c r="BC485" s="124" t="str">
        <f t="shared" ca="1" si="96"/>
        <v/>
      </c>
      <c r="BD485" s="124" t="str">
        <f t="shared" ca="1" si="96"/>
        <v/>
      </c>
      <c r="BE485" s="124" t="str">
        <f t="shared" ca="1" si="95"/>
        <v/>
      </c>
      <c r="BF485" s="124" t="str">
        <f t="shared" ca="1" si="95"/>
        <v/>
      </c>
      <c r="BG485" s="124" t="str">
        <f t="shared" ca="1" si="95"/>
        <v/>
      </c>
      <c r="BH485" s="124" t="str">
        <f t="shared" ca="1" si="95"/>
        <v/>
      </c>
      <c r="BI485" s="124" t="str">
        <f t="shared" ca="1" si="95"/>
        <v/>
      </c>
      <c r="BJ485" s="124" t="str">
        <f t="shared" ca="1" si="95"/>
        <v/>
      </c>
      <c r="BK485" s="124" t="str">
        <f t="shared" ca="1" si="95"/>
        <v/>
      </c>
      <c r="BL485" s="124" t="str">
        <f t="shared" ca="1" si="95"/>
        <v/>
      </c>
      <c r="BM485" s="124" t="str">
        <f t="shared" ca="1" si="95"/>
        <v/>
      </c>
      <c r="BN485" s="124" t="str">
        <f t="shared" ca="1" si="95"/>
        <v/>
      </c>
      <c r="BO485" s="124" t="str">
        <f t="shared" ca="1" si="95"/>
        <v/>
      </c>
      <c r="BP485" s="124" t="str">
        <f t="shared" ca="1" si="95"/>
        <v/>
      </c>
      <c r="BQ485" s="124" t="str">
        <f t="shared" ca="1" si="95"/>
        <v/>
      </c>
      <c r="BR485" s="124" t="str">
        <f t="shared" ca="1" si="95"/>
        <v/>
      </c>
      <c r="BS485" s="124" t="str">
        <f t="shared" ca="1" si="95"/>
        <v/>
      </c>
      <c r="BT485" s="124" t="str">
        <f t="shared" ca="1" si="95"/>
        <v/>
      </c>
      <c r="BU485" s="124" t="str">
        <f t="shared" ref="BU485:BU520" ca="1" si="97">IF($C485&lt;&gt;"",SUMIFS(BU$4:BU$413,$A$4:$A$413,$C485,$B$4:$B$413,"合計"),"")</f>
        <v/>
      </c>
    </row>
    <row r="486" spans="1:73" x14ac:dyDescent="0.15">
      <c r="A486">
        <v>66</v>
      </c>
      <c r="B486" s="124" t="str">
        <f t="shared" ref="B486:B520" ca="1" si="98">IF($C486&lt;&gt;"",SUMIFS(C$4:C$413,$A$4:$A$413,$C486,$B$4:$B$413,"合計"),"")</f>
        <v/>
      </c>
      <c r="C486" s="123" t="str">
        <f ca="1">IF(A486&lt;=①簡易状況入力!$AC$5,INDIRECT("A"&amp;VLOOKUP($A486,①簡易状況入力!$Y$5:$AB$104,4,FALSE)),"")</f>
        <v/>
      </c>
      <c r="D486" s="125" t="str">
        <f t="shared" ref="D486:D520" ca="1" si="99">IF(B486&lt;&gt;"",AM486/$B486,"")</f>
        <v/>
      </c>
      <c r="E486" s="125" t="str">
        <f t="shared" ref="E486:E520" ca="1" si="100">IF(D486&lt;&gt;"",AN486/$B486,"")</f>
        <v/>
      </c>
      <c r="F486" s="125" t="str">
        <f t="shared" ref="F486:F520" ca="1" si="101">IF(E486&lt;&gt;"",AO486/$B486,"")</f>
        <v/>
      </c>
      <c r="G486" s="125" t="str">
        <f t="shared" ref="G486:G520" ca="1" si="102">IF(F486&lt;&gt;"",AP486/$B486,"")</f>
        <v/>
      </c>
      <c r="H486" s="125" t="str">
        <f t="shared" ref="H486:H520" ca="1" si="103">IF(G486&lt;&gt;"",AQ486/$B486,"")</f>
        <v/>
      </c>
      <c r="I486" s="125" t="str">
        <f t="shared" ref="I486:I520" ca="1" si="104">IF(H486&lt;&gt;"",AR486/$B486,"")</f>
        <v/>
      </c>
      <c r="J486" s="125" t="str">
        <f t="shared" ref="J486:J520" ca="1" si="105">IF(I486&lt;&gt;"",AS486/$B486,"")</f>
        <v/>
      </c>
      <c r="K486" s="125" t="str">
        <f t="shared" ref="K486:K520" ca="1" si="106">IF(J486&lt;&gt;"",AT486/$B486,"")</f>
        <v/>
      </c>
      <c r="L486" s="125" t="str">
        <f t="shared" ref="L486:L520" ca="1" si="107">IF(K486&lt;&gt;"",AU486/$B486,"")</f>
        <v/>
      </c>
      <c r="M486" s="125" t="str">
        <f t="shared" ref="M486:M520" ca="1" si="108">IF(L486&lt;&gt;"",AV486/$B486,"")</f>
        <v/>
      </c>
      <c r="N486" s="125" t="str">
        <f t="shared" ref="N486:N520" ca="1" si="109">IF(M486&lt;&gt;"",AW486/$B486,"")</f>
        <v/>
      </c>
      <c r="O486" s="125" t="str">
        <f t="shared" ref="O486:O520" ca="1" si="110">IF(N486&lt;&gt;"",AX486/$B486,"")</f>
        <v/>
      </c>
      <c r="P486" s="125" t="str">
        <f t="shared" ref="P486:P520" ca="1" si="111">IF(O486&lt;&gt;"",AY486/$B486,"")</f>
        <v/>
      </c>
      <c r="Q486" s="125" t="str">
        <f t="shared" ref="Q486:Q520" ca="1" si="112">IF(P486&lt;&gt;"",AZ486/$B486,"")</f>
        <v/>
      </c>
      <c r="R486" s="125" t="str">
        <f t="shared" ref="R486:R520" ca="1" si="113">IF(Q486&lt;&gt;"",BA486/$B486,"")</f>
        <v/>
      </c>
      <c r="S486" s="125" t="str">
        <f t="shared" ref="S486:S520" ca="1" si="114">IF(R486&lt;&gt;"",BB486/$B486,"")</f>
        <v/>
      </c>
      <c r="T486" s="125" t="str">
        <f t="shared" ref="T486:T520" ca="1" si="115">IF(S486&lt;&gt;"",BC486/$B486,"")</f>
        <v/>
      </c>
      <c r="U486" s="125" t="str">
        <f t="shared" ref="U486:U520" ca="1" si="116">IF(T486&lt;&gt;"",BD486/$B486,"")</f>
        <v/>
      </c>
      <c r="V486" s="125" t="str">
        <f t="shared" ref="V486:V520" ca="1" si="117">IF(U486&lt;&gt;"",BE486/$B486,"")</f>
        <v/>
      </c>
      <c r="W486" s="125" t="str">
        <f t="shared" ref="W486:W520" ca="1" si="118">IF(V486&lt;&gt;"",BF486/$B486,"")</f>
        <v/>
      </c>
      <c r="X486" s="125" t="str">
        <f t="shared" ref="X486:X520" ca="1" si="119">IF(W486&lt;&gt;"",BG486/$B486,"")</f>
        <v/>
      </c>
      <c r="Y486" s="125" t="str">
        <f t="shared" ref="Y486:Y520" ca="1" si="120">IF(X486&lt;&gt;"",BH486/$B486,"")</f>
        <v/>
      </c>
      <c r="Z486" s="125" t="str">
        <f t="shared" ref="Z486:Z520" ca="1" si="121">IF(Y486&lt;&gt;"",BI486/$B486,"")</f>
        <v/>
      </c>
      <c r="AA486" s="125" t="str">
        <f t="shared" ref="AA486:AA520" ca="1" si="122">IF(Z486&lt;&gt;"",BJ486/$B486,"")</f>
        <v/>
      </c>
      <c r="AB486" s="125" t="str">
        <f t="shared" ref="AB486:AB520" ca="1" si="123">IF(AA486&lt;&gt;"",BK486/$B486,"")</f>
        <v/>
      </c>
      <c r="AC486" s="125" t="str">
        <f t="shared" ref="AC486:AC520" ca="1" si="124">IF(AB486&lt;&gt;"",BL486/$B486,"")</f>
        <v/>
      </c>
      <c r="AD486" s="125" t="str">
        <f t="shared" ref="AD486:AD520" ca="1" si="125">IF(AC486&lt;&gt;"",BM486/$B486,"")</f>
        <v/>
      </c>
      <c r="AE486" s="125" t="str">
        <f t="shared" ref="AE486:AE520" ca="1" si="126">IF(AD486&lt;&gt;"",BN486/$B486,"")</f>
        <v/>
      </c>
      <c r="AF486" s="125" t="str">
        <f t="shared" ref="AF486:AF520" ca="1" si="127">IF(AE486&lt;&gt;"",BO486/$B486,"")</f>
        <v/>
      </c>
      <c r="AG486" s="125" t="str">
        <f t="shared" ref="AG486:AG520" ca="1" si="128">IF(AF486&lt;&gt;"",BP486/$B486,"")</f>
        <v/>
      </c>
      <c r="AH486" s="125" t="str">
        <f t="shared" ref="AH486:AH520" ca="1" si="129">IF(AG486&lt;&gt;"",BQ486/$B486,"")</f>
        <v/>
      </c>
      <c r="AI486" s="125" t="str">
        <f t="shared" ref="AI486:AI520" ca="1" si="130">IF(AH486&lt;&gt;"",BR486/$B486,"")</f>
        <v/>
      </c>
      <c r="AJ486" s="125" t="str">
        <f t="shared" ref="AJ486:AJ520" ca="1" si="131">IF(AI486&lt;&gt;"",BS486/$B486,"")</f>
        <v/>
      </c>
      <c r="AK486" s="125" t="str">
        <f t="shared" ref="AK486:AK520" ca="1" si="132">IF(AJ486&lt;&gt;"",BT486/$B486,"")</f>
        <v/>
      </c>
      <c r="AL486" s="125" t="str">
        <f t="shared" ref="AL486:AL520" ca="1" si="133">IF(AK486&lt;&gt;"",BU486/$B486,"")</f>
        <v/>
      </c>
      <c r="AM486" s="124" t="str">
        <f t="shared" ca="1" si="94"/>
        <v/>
      </c>
      <c r="AN486" s="124" t="str">
        <f t="shared" ca="1" si="94"/>
        <v/>
      </c>
      <c r="AO486" s="124" t="str">
        <f t="shared" ca="1" si="94"/>
        <v/>
      </c>
      <c r="AP486" s="124" t="str">
        <f t="shared" ca="1" si="94"/>
        <v/>
      </c>
      <c r="AQ486" s="124" t="str">
        <f t="shared" ca="1" si="94"/>
        <v/>
      </c>
      <c r="AR486" s="124" t="str">
        <f t="shared" ca="1" si="94"/>
        <v/>
      </c>
      <c r="AS486" s="124" t="str">
        <f t="shared" ca="1" si="94"/>
        <v/>
      </c>
      <c r="AT486" s="124" t="str">
        <f t="shared" ca="1" si="94"/>
        <v/>
      </c>
      <c r="AU486" s="124" t="str">
        <f t="shared" ca="1" si="94"/>
        <v/>
      </c>
      <c r="AV486" s="124" t="str">
        <f t="shared" ca="1" si="94"/>
        <v/>
      </c>
      <c r="AW486" s="124" t="str">
        <f t="shared" ca="1" si="94"/>
        <v/>
      </c>
      <c r="AX486" s="124" t="str">
        <f t="shared" ca="1" si="94"/>
        <v/>
      </c>
      <c r="AY486" s="124" t="str">
        <f t="shared" ca="1" si="94"/>
        <v/>
      </c>
      <c r="AZ486" s="124" t="str">
        <f t="shared" ca="1" si="94"/>
        <v/>
      </c>
      <c r="BA486" s="124" t="str">
        <f t="shared" ca="1" si="94"/>
        <v/>
      </c>
      <c r="BB486" s="124" t="str">
        <f t="shared" ca="1" si="94"/>
        <v/>
      </c>
      <c r="BC486" s="124" t="str">
        <f t="shared" ca="1" si="96"/>
        <v/>
      </c>
      <c r="BD486" s="124" t="str">
        <f t="shared" ca="1" si="96"/>
        <v/>
      </c>
      <c r="BE486" s="124" t="str">
        <f t="shared" ca="1" si="95"/>
        <v/>
      </c>
      <c r="BF486" s="124" t="str">
        <f t="shared" ca="1" si="95"/>
        <v/>
      </c>
      <c r="BG486" s="124" t="str">
        <f t="shared" ca="1" si="95"/>
        <v/>
      </c>
      <c r="BH486" s="124" t="str">
        <f t="shared" ca="1" si="95"/>
        <v/>
      </c>
      <c r="BI486" s="124" t="str">
        <f t="shared" ca="1" si="95"/>
        <v/>
      </c>
      <c r="BJ486" s="124" t="str">
        <f t="shared" ca="1" si="95"/>
        <v/>
      </c>
      <c r="BK486" s="124" t="str">
        <f t="shared" ca="1" si="95"/>
        <v/>
      </c>
      <c r="BL486" s="124" t="str">
        <f t="shared" ca="1" si="95"/>
        <v/>
      </c>
      <c r="BM486" s="124" t="str">
        <f t="shared" ca="1" si="95"/>
        <v/>
      </c>
      <c r="BN486" s="124" t="str">
        <f t="shared" ca="1" si="95"/>
        <v/>
      </c>
      <c r="BO486" s="124" t="str">
        <f t="shared" ca="1" si="95"/>
        <v/>
      </c>
      <c r="BP486" s="124" t="str">
        <f t="shared" ca="1" si="95"/>
        <v/>
      </c>
      <c r="BQ486" s="124" t="str">
        <f t="shared" ca="1" si="95"/>
        <v/>
      </c>
      <c r="BR486" s="124" t="str">
        <f t="shared" ca="1" si="95"/>
        <v/>
      </c>
      <c r="BS486" s="124" t="str">
        <f t="shared" ca="1" si="95"/>
        <v/>
      </c>
      <c r="BT486" s="124" t="str">
        <f t="shared" ca="1" si="95"/>
        <v/>
      </c>
      <c r="BU486" s="124" t="str">
        <f t="shared" ca="1" si="97"/>
        <v/>
      </c>
    </row>
    <row r="487" spans="1:73" x14ac:dyDescent="0.15">
      <c r="A487">
        <v>67</v>
      </c>
      <c r="B487" s="124" t="str">
        <f t="shared" ca="1" si="98"/>
        <v/>
      </c>
      <c r="C487" s="123" t="str">
        <f ca="1">IF(A487&lt;=①簡易状況入力!$AC$5,INDIRECT("A"&amp;VLOOKUP($A487,①簡易状況入力!$Y$5:$AB$104,4,FALSE)),"")</f>
        <v/>
      </c>
      <c r="D487" s="125" t="str">
        <f t="shared" ca="1" si="99"/>
        <v/>
      </c>
      <c r="E487" s="125" t="str">
        <f t="shared" ca="1" si="100"/>
        <v/>
      </c>
      <c r="F487" s="125" t="str">
        <f t="shared" ca="1" si="101"/>
        <v/>
      </c>
      <c r="G487" s="125" t="str">
        <f t="shared" ca="1" si="102"/>
        <v/>
      </c>
      <c r="H487" s="125" t="str">
        <f t="shared" ca="1" si="103"/>
        <v/>
      </c>
      <c r="I487" s="125" t="str">
        <f t="shared" ca="1" si="104"/>
        <v/>
      </c>
      <c r="J487" s="125" t="str">
        <f t="shared" ca="1" si="105"/>
        <v/>
      </c>
      <c r="K487" s="125" t="str">
        <f t="shared" ca="1" si="106"/>
        <v/>
      </c>
      <c r="L487" s="125" t="str">
        <f t="shared" ca="1" si="107"/>
        <v/>
      </c>
      <c r="M487" s="125" t="str">
        <f t="shared" ca="1" si="108"/>
        <v/>
      </c>
      <c r="N487" s="125" t="str">
        <f t="shared" ca="1" si="109"/>
        <v/>
      </c>
      <c r="O487" s="125" t="str">
        <f t="shared" ca="1" si="110"/>
        <v/>
      </c>
      <c r="P487" s="125" t="str">
        <f t="shared" ca="1" si="111"/>
        <v/>
      </c>
      <c r="Q487" s="125" t="str">
        <f t="shared" ca="1" si="112"/>
        <v/>
      </c>
      <c r="R487" s="125" t="str">
        <f t="shared" ca="1" si="113"/>
        <v/>
      </c>
      <c r="S487" s="125" t="str">
        <f t="shared" ca="1" si="114"/>
        <v/>
      </c>
      <c r="T487" s="125" t="str">
        <f t="shared" ca="1" si="115"/>
        <v/>
      </c>
      <c r="U487" s="125" t="str">
        <f t="shared" ca="1" si="116"/>
        <v/>
      </c>
      <c r="V487" s="125" t="str">
        <f t="shared" ca="1" si="117"/>
        <v/>
      </c>
      <c r="W487" s="125" t="str">
        <f t="shared" ca="1" si="118"/>
        <v/>
      </c>
      <c r="X487" s="125" t="str">
        <f t="shared" ca="1" si="119"/>
        <v/>
      </c>
      <c r="Y487" s="125" t="str">
        <f t="shared" ca="1" si="120"/>
        <v/>
      </c>
      <c r="Z487" s="125" t="str">
        <f t="shared" ca="1" si="121"/>
        <v/>
      </c>
      <c r="AA487" s="125" t="str">
        <f t="shared" ca="1" si="122"/>
        <v/>
      </c>
      <c r="AB487" s="125" t="str">
        <f t="shared" ca="1" si="123"/>
        <v/>
      </c>
      <c r="AC487" s="125" t="str">
        <f t="shared" ca="1" si="124"/>
        <v/>
      </c>
      <c r="AD487" s="125" t="str">
        <f t="shared" ca="1" si="125"/>
        <v/>
      </c>
      <c r="AE487" s="125" t="str">
        <f t="shared" ca="1" si="126"/>
        <v/>
      </c>
      <c r="AF487" s="125" t="str">
        <f t="shared" ca="1" si="127"/>
        <v/>
      </c>
      <c r="AG487" s="125" t="str">
        <f t="shared" ca="1" si="128"/>
        <v/>
      </c>
      <c r="AH487" s="125" t="str">
        <f t="shared" ca="1" si="129"/>
        <v/>
      </c>
      <c r="AI487" s="125" t="str">
        <f t="shared" ca="1" si="130"/>
        <v/>
      </c>
      <c r="AJ487" s="125" t="str">
        <f t="shared" ca="1" si="131"/>
        <v/>
      </c>
      <c r="AK487" s="125" t="str">
        <f t="shared" ca="1" si="132"/>
        <v/>
      </c>
      <c r="AL487" s="125" t="str">
        <f t="shared" ca="1" si="133"/>
        <v/>
      </c>
      <c r="AM487" s="124" t="str">
        <f t="shared" ca="1" si="94"/>
        <v/>
      </c>
      <c r="AN487" s="124" t="str">
        <f t="shared" ca="1" si="94"/>
        <v/>
      </c>
      <c r="AO487" s="124" t="str">
        <f t="shared" ca="1" si="94"/>
        <v/>
      </c>
      <c r="AP487" s="124" t="str">
        <f t="shared" ca="1" si="94"/>
        <v/>
      </c>
      <c r="AQ487" s="124" t="str">
        <f t="shared" ca="1" si="94"/>
        <v/>
      </c>
      <c r="AR487" s="124" t="str">
        <f t="shared" ca="1" si="94"/>
        <v/>
      </c>
      <c r="AS487" s="124" t="str">
        <f t="shared" ca="1" si="94"/>
        <v/>
      </c>
      <c r="AT487" s="124" t="str">
        <f t="shared" ca="1" si="94"/>
        <v/>
      </c>
      <c r="AU487" s="124" t="str">
        <f t="shared" ca="1" si="94"/>
        <v/>
      </c>
      <c r="AV487" s="124" t="str">
        <f t="shared" ca="1" si="94"/>
        <v/>
      </c>
      <c r="AW487" s="124" t="str">
        <f t="shared" ca="1" si="94"/>
        <v/>
      </c>
      <c r="AX487" s="124" t="str">
        <f t="shared" ca="1" si="94"/>
        <v/>
      </c>
      <c r="AY487" s="124" t="str">
        <f t="shared" ca="1" si="94"/>
        <v/>
      </c>
      <c r="AZ487" s="124" t="str">
        <f t="shared" ca="1" si="94"/>
        <v/>
      </c>
      <c r="BA487" s="124" t="str">
        <f t="shared" ca="1" si="94"/>
        <v/>
      </c>
      <c r="BB487" s="124" t="str">
        <f t="shared" ca="1" si="94"/>
        <v/>
      </c>
      <c r="BC487" s="124" t="str">
        <f t="shared" ca="1" si="96"/>
        <v/>
      </c>
      <c r="BD487" s="124" t="str">
        <f t="shared" ca="1" si="96"/>
        <v/>
      </c>
      <c r="BE487" s="124" t="str">
        <f t="shared" ca="1" si="95"/>
        <v/>
      </c>
      <c r="BF487" s="124" t="str">
        <f t="shared" ca="1" si="95"/>
        <v/>
      </c>
      <c r="BG487" s="124" t="str">
        <f t="shared" ca="1" si="95"/>
        <v/>
      </c>
      <c r="BH487" s="124" t="str">
        <f t="shared" ca="1" si="95"/>
        <v/>
      </c>
      <c r="BI487" s="124" t="str">
        <f t="shared" ca="1" si="95"/>
        <v/>
      </c>
      <c r="BJ487" s="124" t="str">
        <f t="shared" ca="1" si="95"/>
        <v/>
      </c>
      <c r="BK487" s="124" t="str">
        <f t="shared" ca="1" si="95"/>
        <v/>
      </c>
      <c r="BL487" s="124" t="str">
        <f t="shared" ca="1" si="95"/>
        <v/>
      </c>
      <c r="BM487" s="124" t="str">
        <f t="shared" ca="1" si="95"/>
        <v/>
      </c>
      <c r="BN487" s="124" t="str">
        <f t="shared" ca="1" si="95"/>
        <v/>
      </c>
      <c r="BO487" s="124" t="str">
        <f t="shared" ca="1" si="95"/>
        <v/>
      </c>
      <c r="BP487" s="124" t="str">
        <f t="shared" ca="1" si="95"/>
        <v/>
      </c>
      <c r="BQ487" s="124" t="str">
        <f t="shared" ca="1" si="95"/>
        <v/>
      </c>
      <c r="BR487" s="124" t="str">
        <f t="shared" ca="1" si="95"/>
        <v/>
      </c>
      <c r="BS487" s="124" t="str">
        <f t="shared" ca="1" si="95"/>
        <v/>
      </c>
      <c r="BT487" s="124" t="str">
        <f t="shared" ca="1" si="95"/>
        <v/>
      </c>
      <c r="BU487" s="124" t="str">
        <f t="shared" ca="1" si="97"/>
        <v/>
      </c>
    </row>
    <row r="488" spans="1:73" x14ac:dyDescent="0.15">
      <c r="A488">
        <v>68</v>
      </c>
      <c r="B488" s="124" t="str">
        <f t="shared" ca="1" si="98"/>
        <v/>
      </c>
      <c r="C488" s="123" t="str">
        <f ca="1">IF(A488&lt;=①簡易状況入力!$AC$5,INDIRECT("A"&amp;VLOOKUP($A488,①簡易状況入力!$Y$5:$AB$104,4,FALSE)),"")</f>
        <v/>
      </c>
      <c r="D488" s="125" t="str">
        <f t="shared" ca="1" si="99"/>
        <v/>
      </c>
      <c r="E488" s="125" t="str">
        <f t="shared" ca="1" si="100"/>
        <v/>
      </c>
      <c r="F488" s="125" t="str">
        <f t="shared" ca="1" si="101"/>
        <v/>
      </c>
      <c r="G488" s="125" t="str">
        <f t="shared" ca="1" si="102"/>
        <v/>
      </c>
      <c r="H488" s="125" t="str">
        <f t="shared" ca="1" si="103"/>
        <v/>
      </c>
      <c r="I488" s="125" t="str">
        <f t="shared" ca="1" si="104"/>
        <v/>
      </c>
      <c r="J488" s="125" t="str">
        <f t="shared" ca="1" si="105"/>
        <v/>
      </c>
      <c r="K488" s="125" t="str">
        <f t="shared" ca="1" si="106"/>
        <v/>
      </c>
      <c r="L488" s="125" t="str">
        <f t="shared" ca="1" si="107"/>
        <v/>
      </c>
      <c r="M488" s="125" t="str">
        <f t="shared" ca="1" si="108"/>
        <v/>
      </c>
      <c r="N488" s="125" t="str">
        <f t="shared" ca="1" si="109"/>
        <v/>
      </c>
      <c r="O488" s="125" t="str">
        <f t="shared" ca="1" si="110"/>
        <v/>
      </c>
      <c r="P488" s="125" t="str">
        <f t="shared" ca="1" si="111"/>
        <v/>
      </c>
      <c r="Q488" s="125" t="str">
        <f t="shared" ca="1" si="112"/>
        <v/>
      </c>
      <c r="R488" s="125" t="str">
        <f t="shared" ca="1" si="113"/>
        <v/>
      </c>
      <c r="S488" s="125" t="str">
        <f t="shared" ca="1" si="114"/>
        <v/>
      </c>
      <c r="T488" s="125" t="str">
        <f t="shared" ca="1" si="115"/>
        <v/>
      </c>
      <c r="U488" s="125" t="str">
        <f t="shared" ca="1" si="116"/>
        <v/>
      </c>
      <c r="V488" s="125" t="str">
        <f t="shared" ca="1" si="117"/>
        <v/>
      </c>
      <c r="W488" s="125" t="str">
        <f t="shared" ca="1" si="118"/>
        <v/>
      </c>
      <c r="X488" s="125" t="str">
        <f t="shared" ca="1" si="119"/>
        <v/>
      </c>
      <c r="Y488" s="125" t="str">
        <f t="shared" ca="1" si="120"/>
        <v/>
      </c>
      <c r="Z488" s="125" t="str">
        <f t="shared" ca="1" si="121"/>
        <v/>
      </c>
      <c r="AA488" s="125" t="str">
        <f t="shared" ca="1" si="122"/>
        <v/>
      </c>
      <c r="AB488" s="125" t="str">
        <f t="shared" ca="1" si="123"/>
        <v/>
      </c>
      <c r="AC488" s="125" t="str">
        <f t="shared" ca="1" si="124"/>
        <v/>
      </c>
      <c r="AD488" s="125" t="str">
        <f t="shared" ca="1" si="125"/>
        <v/>
      </c>
      <c r="AE488" s="125" t="str">
        <f t="shared" ca="1" si="126"/>
        <v/>
      </c>
      <c r="AF488" s="125" t="str">
        <f t="shared" ca="1" si="127"/>
        <v/>
      </c>
      <c r="AG488" s="125" t="str">
        <f t="shared" ca="1" si="128"/>
        <v/>
      </c>
      <c r="AH488" s="125" t="str">
        <f t="shared" ca="1" si="129"/>
        <v/>
      </c>
      <c r="AI488" s="125" t="str">
        <f t="shared" ca="1" si="130"/>
        <v/>
      </c>
      <c r="AJ488" s="125" t="str">
        <f t="shared" ca="1" si="131"/>
        <v/>
      </c>
      <c r="AK488" s="125" t="str">
        <f t="shared" ca="1" si="132"/>
        <v/>
      </c>
      <c r="AL488" s="125" t="str">
        <f t="shared" ca="1" si="133"/>
        <v/>
      </c>
      <c r="AM488" s="124" t="str">
        <f t="shared" ref="AM488:BB503" ca="1" si="134">IF($C488&lt;&gt;"",SUMIFS(AM$4:AM$413,$A$4:$A$413,$C488,$B$4:$B$413,"合計"),"")</f>
        <v/>
      </c>
      <c r="AN488" s="124" t="str">
        <f t="shared" ca="1" si="134"/>
        <v/>
      </c>
      <c r="AO488" s="124" t="str">
        <f t="shared" ca="1" si="134"/>
        <v/>
      </c>
      <c r="AP488" s="124" t="str">
        <f t="shared" ca="1" si="134"/>
        <v/>
      </c>
      <c r="AQ488" s="124" t="str">
        <f t="shared" ca="1" si="134"/>
        <v/>
      </c>
      <c r="AR488" s="124" t="str">
        <f t="shared" ca="1" si="134"/>
        <v/>
      </c>
      <c r="AS488" s="124" t="str">
        <f t="shared" ca="1" si="134"/>
        <v/>
      </c>
      <c r="AT488" s="124" t="str">
        <f t="shared" ca="1" si="134"/>
        <v/>
      </c>
      <c r="AU488" s="124" t="str">
        <f t="shared" ca="1" si="134"/>
        <v/>
      </c>
      <c r="AV488" s="124" t="str">
        <f t="shared" ca="1" si="134"/>
        <v/>
      </c>
      <c r="AW488" s="124" t="str">
        <f t="shared" ca="1" si="134"/>
        <v/>
      </c>
      <c r="AX488" s="124" t="str">
        <f t="shared" ca="1" si="134"/>
        <v/>
      </c>
      <c r="AY488" s="124" t="str">
        <f t="shared" ca="1" si="134"/>
        <v/>
      </c>
      <c r="AZ488" s="124" t="str">
        <f t="shared" ca="1" si="134"/>
        <v/>
      </c>
      <c r="BA488" s="124" t="str">
        <f t="shared" ca="1" si="134"/>
        <v/>
      </c>
      <c r="BB488" s="124" t="str">
        <f t="shared" ca="1" si="134"/>
        <v/>
      </c>
      <c r="BC488" s="124" t="str">
        <f t="shared" ca="1" si="96"/>
        <v/>
      </c>
      <c r="BD488" s="124" t="str">
        <f t="shared" ca="1" si="96"/>
        <v/>
      </c>
      <c r="BE488" s="124" t="str">
        <f t="shared" ca="1" si="95"/>
        <v/>
      </c>
      <c r="BF488" s="124" t="str">
        <f t="shared" ca="1" si="95"/>
        <v/>
      </c>
      <c r="BG488" s="124" t="str">
        <f t="shared" ca="1" si="95"/>
        <v/>
      </c>
      <c r="BH488" s="124" t="str">
        <f t="shared" ca="1" si="95"/>
        <v/>
      </c>
      <c r="BI488" s="124" t="str">
        <f t="shared" ca="1" si="95"/>
        <v/>
      </c>
      <c r="BJ488" s="124" t="str">
        <f t="shared" ca="1" si="95"/>
        <v/>
      </c>
      <c r="BK488" s="124" t="str">
        <f t="shared" ca="1" si="95"/>
        <v/>
      </c>
      <c r="BL488" s="124" t="str">
        <f t="shared" ca="1" si="95"/>
        <v/>
      </c>
      <c r="BM488" s="124" t="str">
        <f t="shared" ca="1" si="95"/>
        <v/>
      </c>
      <c r="BN488" s="124" t="str">
        <f t="shared" ca="1" si="95"/>
        <v/>
      </c>
      <c r="BO488" s="124" t="str">
        <f t="shared" ca="1" si="95"/>
        <v/>
      </c>
      <c r="BP488" s="124" t="str">
        <f t="shared" ca="1" si="95"/>
        <v/>
      </c>
      <c r="BQ488" s="124" t="str">
        <f t="shared" ca="1" si="95"/>
        <v/>
      </c>
      <c r="BR488" s="124" t="str">
        <f t="shared" ca="1" si="95"/>
        <v/>
      </c>
      <c r="BS488" s="124" t="str">
        <f t="shared" ca="1" si="95"/>
        <v/>
      </c>
      <c r="BT488" s="124" t="str">
        <f t="shared" ca="1" si="95"/>
        <v/>
      </c>
      <c r="BU488" s="124" t="str">
        <f t="shared" ca="1" si="97"/>
        <v/>
      </c>
    </row>
    <row r="489" spans="1:73" x14ac:dyDescent="0.15">
      <c r="A489">
        <v>69</v>
      </c>
      <c r="B489" s="124" t="str">
        <f t="shared" ca="1" si="98"/>
        <v/>
      </c>
      <c r="C489" s="123" t="str">
        <f ca="1">IF(A489&lt;=①簡易状況入力!$AC$5,INDIRECT("A"&amp;VLOOKUP($A489,①簡易状況入力!$Y$5:$AB$104,4,FALSE)),"")</f>
        <v/>
      </c>
      <c r="D489" s="125" t="str">
        <f t="shared" ca="1" si="99"/>
        <v/>
      </c>
      <c r="E489" s="125" t="str">
        <f t="shared" ca="1" si="100"/>
        <v/>
      </c>
      <c r="F489" s="125" t="str">
        <f t="shared" ca="1" si="101"/>
        <v/>
      </c>
      <c r="G489" s="125" t="str">
        <f t="shared" ca="1" si="102"/>
        <v/>
      </c>
      <c r="H489" s="125" t="str">
        <f t="shared" ca="1" si="103"/>
        <v/>
      </c>
      <c r="I489" s="125" t="str">
        <f t="shared" ca="1" si="104"/>
        <v/>
      </c>
      <c r="J489" s="125" t="str">
        <f t="shared" ca="1" si="105"/>
        <v/>
      </c>
      <c r="K489" s="125" t="str">
        <f t="shared" ca="1" si="106"/>
        <v/>
      </c>
      <c r="L489" s="125" t="str">
        <f t="shared" ca="1" si="107"/>
        <v/>
      </c>
      <c r="M489" s="125" t="str">
        <f t="shared" ca="1" si="108"/>
        <v/>
      </c>
      <c r="N489" s="125" t="str">
        <f t="shared" ca="1" si="109"/>
        <v/>
      </c>
      <c r="O489" s="125" t="str">
        <f t="shared" ca="1" si="110"/>
        <v/>
      </c>
      <c r="P489" s="125" t="str">
        <f t="shared" ca="1" si="111"/>
        <v/>
      </c>
      <c r="Q489" s="125" t="str">
        <f t="shared" ca="1" si="112"/>
        <v/>
      </c>
      <c r="R489" s="125" t="str">
        <f t="shared" ca="1" si="113"/>
        <v/>
      </c>
      <c r="S489" s="125" t="str">
        <f t="shared" ca="1" si="114"/>
        <v/>
      </c>
      <c r="T489" s="125" t="str">
        <f t="shared" ca="1" si="115"/>
        <v/>
      </c>
      <c r="U489" s="125" t="str">
        <f t="shared" ca="1" si="116"/>
        <v/>
      </c>
      <c r="V489" s="125" t="str">
        <f t="shared" ca="1" si="117"/>
        <v/>
      </c>
      <c r="W489" s="125" t="str">
        <f t="shared" ca="1" si="118"/>
        <v/>
      </c>
      <c r="X489" s="125" t="str">
        <f t="shared" ca="1" si="119"/>
        <v/>
      </c>
      <c r="Y489" s="125" t="str">
        <f t="shared" ca="1" si="120"/>
        <v/>
      </c>
      <c r="Z489" s="125" t="str">
        <f t="shared" ca="1" si="121"/>
        <v/>
      </c>
      <c r="AA489" s="125" t="str">
        <f t="shared" ca="1" si="122"/>
        <v/>
      </c>
      <c r="AB489" s="125" t="str">
        <f t="shared" ca="1" si="123"/>
        <v/>
      </c>
      <c r="AC489" s="125" t="str">
        <f t="shared" ca="1" si="124"/>
        <v/>
      </c>
      <c r="AD489" s="125" t="str">
        <f t="shared" ca="1" si="125"/>
        <v/>
      </c>
      <c r="AE489" s="125" t="str">
        <f t="shared" ca="1" si="126"/>
        <v/>
      </c>
      <c r="AF489" s="125" t="str">
        <f t="shared" ca="1" si="127"/>
        <v/>
      </c>
      <c r="AG489" s="125" t="str">
        <f t="shared" ca="1" si="128"/>
        <v/>
      </c>
      <c r="AH489" s="125" t="str">
        <f t="shared" ca="1" si="129"/>
        <v/>
      </c>
      <c r="AI489" s="125" t="str">
        <f t="shared" ca="1" si="130"/>
        <v/>
      </c>
      <c r="AJ489" s="125" t="str">
        <f t="shared" ca="1" si="131"/>
        <v/>
      </c>
      <c r="AK489" s="125" t="str">
        <f t="shared" ca="1" si="132"/>
        <v/>
      </c>
      <c r="AL489" s="125" t="str">
        <f t="shared" ca="1" si="133"/>
        <v/>
      </c>
      <c r="AM489" s="124" t="str">
        <f t="shared" ca="1" si="134"/>
        <v/>
      </c>
      <c r="AN489" s="124" t="str">
        <f t="shared" ca="1" si="134"/>
        <v/>
      </c>
      <c r="AO489" s="124" t="str">
        <f t="shared" ca="1" si="134"/>
        <v/>
      </c>
      <c r="AP489" s="124" t="str">
        <f t="shared" ca="1" si="134"/>
        <v/>
      </c>
      <c r="AQ489" s="124" t="str">
        <f t="shared" ca="1" si="134"/>
        <v/>
      </c>
      <c r="AR489" s="124" t="str">
        <f t="shared" ca="1" si="134"/>
        <v/>
      </c>
      <c r="AS489" s="124" t="str">
        <f t="shared" ca="1" si="134"/>
        <v/>
      </c>
      <c r="AT489" s="124" t="str">
        <f t="shared" ca="1" si="134"/>
        <v/>
      </c>
      <c r="AU489" s="124" t="str">
        <f t="shared" ca="1" si="134"/>
        <v/>
      </c>
      <c r="AV489" s="124" t="str">
        <f t="shared" ca="1" si="134"/>
        <v/>
      </c>
      <c r="AW489" s="124" t="str">
        <f t="shared" ca="1" si="134"/>
        <v/>
      </c>
      <c r="AX489" s="124" t="str">
        <f t="shared" ca="1" si="134"/>
        <v/>
      </c>
      <c r="AY489" s="124" t="str">
        <f t="shared" ca="1" si="134"/>
        <v/>
      </c>
      <c r="AZ489" s="124" t="str">
        <f t="shared" ca="1" si="134"/>
        <v/>
      </c>
      <c r="BA489" s="124" t="str">
        <f t="shared" ca="1" si="134"/>
        <v/>
      </c>
      <c r="BB489" s="124" t="str">
        <f t="shared" ca="1" si="134"/>
        <v/>
      </c>
      <c r="BC489" s="124" t="str">
        <f t="shared" ca="1" si="96"/>
        <v/>
      </c>
      <c r="BD489" s="124" t="str">
        <f t="shared" ca="1" si="96"/>
        <v/>
      </c>
      <c r="BE489" s="124" t="str">
        <f t="shared" ca="1" si="95"/>
        <v/>
      </c>
      <c r="BF489" s="124" t="str">
        <f t="shared" ca="1" si="95"/>
        <v/>
      </c>
      <c r="BG489" s="124" t="str">
        <f t="shared" ca="1" si="95"/>
        <v/>
      </c>
      <c r="BH489" s="124" t="str">
        <f t="shared" ca="1" si="95"/>
        <v/>
      </c>
      <c r="BI489" s="124" t="str">
        <f t="shared" ca="1" si="95"/>
        <v/>
      </c>
      <c r="BJ489" s="124" t="str">
        <f t="shared" ca="1" si="95"/>
        <v/>
      </c>
      <c r="BK489" s="124" t="str">
        <f t="shared" ca="1" si="95"/>
        <v/>
      </c>
      <c r="BL489" s="124" t="str">
        <f t="shared" ca="1" si="95"/>
        <v/>
      </c>
      <c r="BM489" s="124" t="str">
        <f t="shared" ca="1" si="95"/>
        <v/>
      </c>
      <c r="BN489" s="124" t="str">
        <f t="shared" ca="1" si="95"/>
        <v/>
      </c>
      <c r="BO489" s="124" t="str">
        <f t="shared" ca="1" si="95"/>
        <v/>
      </c>
      <c r="BP489" s="124" t="str">
        <f t="shared" ca="1" si="95"/>
        <v/>
      </c>
      <c r="BQ489" s="124" t="str">
        <f t="shared" ca="1" si="95"/>
        <v/>
      </c>
      <c r="BR489" s="124" t="str">
        <f t="shared" ca="1" si="95"/>
        <v/>
      </c>
      <c r="BS489" s="124" t="str">
        <f t="shared" ca="1" si="95"/>
        <v/>
      </c>
      <c r="BT489" s="124" t="str">
        <f t="shared" ca="1" si="95"/>
        <v/>
      </c>
      <c r="BU489" s="124" t="str">
        <f t="shared" ca="1" si="97"/>
        <v/>
      </c>
    </row>
    <row r="490" spans="1:73" x14ac:dyDescent="0.15">
      <c r="A490">
        <v>70</v>
      </c>
      <c r="B490" s="124" t="str">
        <f t="shared" ca="1" si="98"/>
        <v/>
      </c>
      <c r="C490" s="123" t="str">
        <f ca="1">IF(A490&lt;=①簡易状況入力!$AC$5,INDIRECT("A"&amp;VLOOKUP($A490,①簡易状況入力!$Y$5:$AB$104,4,FALSE)),"")</f>
        <v/>
      </c>
      <c r="D490" s="125" t="str">
        <f t="shared" ca="1" si="99"/>
        <v/>
      </c>
      <c r="E490" s="125" t="str">
        <f t="shared" ca="1" si="100"/>
        <v/>
      </c>
      <c r="F490" s="125" t="str">
        <f t="shared" ca="1" si="101"/>
        <v/>
      </c>
      <c r="G490" s="125" t="str">
        <f t="shared" ca="1" si="102"/>
        <v/>
      </c>
      <c r="H490" s="125" t="str">
        <f t="shared" ca="1" si="103"/>
        <v/>
      </c>
      <c r="I490" s="125" t="str">
        <f t="shared" ca="1" si="104"/>
        <v/>
      </c>
      <c r="J490" s="125" t="str">
        <f t="shared" ca="1" si="105"/>
        <v/>
      </c>
      <c r="K490" s="125" t="str">
        <f t="shared" ca="1" si="106"/>
        <v/>
      </c>
      <c r="L490" s="125" t="str">
        <f t="shared" ca="1" si="107"/>
        <v/>
      </c>
      <c r="M490" s="125" t="str">
        <f t="shared" ca="1" si="108"/>
        <v/>
      </c>
      <c r="N490" s="125" t="str">
        <f t="shared" ca="1" si="109"/>
        <v/>
      </c>
      <c r="O490" s="125" t="str">
        <f t="shared" ca="1" si="110"/>
        <v/>
      </c>
      <c r="P490" s="125" t="str">
        <f t="shared" ca="1" si="111"/>
        <v/>
      </c>
      <c r="Q490" s="125" t="str">
        <f t="shared" ca="1" si="112"/>
        <v/>
      </c>
      <c r="R490" s="125" t="str">
        <f t="shared" ca="1" si="113"/>
        <v/>
      </c>
      <c r="S490" s="125" t="str">
        <f t="shared" ca="1" si="114"/>
        <v/>
      </c>
      <c r="T490" s="125" t="str">
        <f t="shared" ca="1" si="115"/>
        <v/>
      </c>
      <c r="U490" s="125" t="str">
        <f t="shared" ca="1" si="116"/>
        <v/>
      </c>
      <c r="V490" s="125" t="str">
        <f t="shared" ca="1" si="117"/>
        <v/>
      </c>
      <c r="W490" s="125" t="str">
        <f t="shared" ca="1" si="118"/>
        <v/>
      </c>
      <c r="X490" s="125" t="str">
        <f t="shared" ca="1" si="119"/>
        <v/>
      </c>
      <c r="Y490" s="125" t="str">
        <f t="shared" ca="1" si="120"/>
        <v/>
      </c>
      <c r="Z490" s="125" t="str">
        <f t="shared" ca="1" si="121"/>
        <v/>
      </c>
      <c r="AA490" s="125" t="str">
        <f t="shared" ca="1" si="122"/>
        <v/>
      </c>
      <c r="AB490" s="125" t="str">
        <f t="shared" ca="1" si="123"/>
        <v/>
      </c>
      <c r="AC490" s="125" t="str">
        <f t="shared" ca="1" si="124"/>
        <v/>
      </c>
      <c r="AD490" s="125" t="str">
        <f t="shared" ca="1" si="125"/>
        <v/>
      </c>
      <c r="AE490" s="125" t="str">
        <f t="shared" ca="1" si="126"/>
        <v/>
      </c>
      <c r="AF490" s="125" t="str">
        <f t="shared" ca="1" si="127"/>
        <v/>
      </c>
      <c r="AG490" s="125" t="str">
        <f t="shared" ca="1" si="128"/>
        <v/>
      </c>
      <c r="AH490" s="125" t="str">
        <f t="shared" ca="1" si="129"/>
        <v/>
      </c>
      <c r="AI490" s="125" t="str">
        <f t="shared" ca="1" si="130"/>
        <v/>
      </c>
      <c r="AJ490" s="125" t="str">
        <f t="shared" ca="1" si="131"/>
        <v/>
      </c>
      <c r="AK490" s="125" t="str">
        <f t="shared" ca="1" si="132"/>
        <v/>
      </c>
      <c r="AL490" s="125" t="str">
        <f t="shared" ca="1" si="133"/>
        <v/>
      </c>
      <c r="AM490" s="124" t="str">
        <f t="shared" ca="1" si="134"/>
        <v/>
      </c>
      <c r="AN490" s="124" t="str">
        <f t="shared" ca="1" si="134"/>
        <v/>
      </c>
      <c r="AO490" s="124" t="str">
        <f t="shared" ca="1" si="134"/>
        <v/>
      </c>
      <c r="AP490" s="124" t="str">
        <f t="shared" ca="1" si="134"/>
        <v/>
      </c>
      <c r="AQ490" s="124" t="str">
        <f t="shared" ca="1" si="134"/>
        <v/>
      </c>
      <c r="AR490" s="124" t="str">
        <f t="shared" ca="1" si="134"/>
        <v/>
      </c>
      <c r="AS490" s="124" t="str">
        <f t="shared" ca="1" si="134"/>
        <v/>
      </c>
      <c r="AT490" s="124" t="str">
        <f t="shared" ca="1" si="134"/>
        <v/>
      </c>
      <c r="AU490" s="124" t="str">
        <f t="shared" ca="1" si="134"/>
        <v/>
      </c>
      <c r="AV490" s="124" t="str">
        <f t="shared" ca="1" si="134"/>
        <v/>
      </c>
      <c r="AW490" s="124" t="str">
        <f t="shared" ca="1" si="134"/>
        <v/>
      </c>
      <c r="AX490" s="124" t="str">
        <f t="shared" ca="1" si="134"/>
        <v/>
      </c>
      <c r="AY490" s="124" t="str">
        <f t="shared" ca="1" si="134"/>
        <v/>
      </c>
      <c r="AZ490" s="124" t="str">
        <f t="shared" ca="1" si="134"/>
        <v/>
      </c>
      <c r="BA490" s="124" t="str">
        <f t="shared" ca="1" si="134"/>
        <v/>
      </c>
      <c r="BB490" s="124" t="str">
        <f t="shared" ca="1" si="134"/>
        <v/>
      </c>
      <c r="BC490" s="124" t="str">
        <f t="shared" ca="1" si="96"/>
        <v/>
      </c>
      <c r="BD490" s="124" t="str">
        <f t="shared" ca="1" si="96"/>
        <v/>
      </c>
      <c r="BE490" s="124" t="str">
        <f t="shared" ca="1" si="95"/>
        <v/>
      </c>
      <c r="BF490" s="124" t="str">
        <f t="shared" ca="1" si="95"/>
        <v/>
      </c>
      <c r="BG490" s="124" t="str">
        <f t="shared" ca="1" si="95"/>
        <v/>
      </c>
      <c r="BH490" s="124" t="str">
        <f t="shared" ca="1" si="95"/>
        <v/>
      </c>
      <c r="BI490" s="124" t="str">
        <f t="shared" ca="1" si="95"/>
        <v/>
      </c>
      <c r="BJ490" s="124" t="str">
        <f t="shared" ca="1" si="95"/>
        <v/>
      </c>
      <c r="BK490" s="124" t="str">
        <f t="shared" ca="1" si="95"/>
        <v/>
      </c>
      <c r="BL490" s="124" t="str">
        <f t="shared" ca="1" si="95"/>
        <v/>
      </c>
      <c r="BM490" s="124" t="str">
        <f t="shared" ca="1" si="95"/>
        <v/>
      </c>
      <c r="BN490" s="124" t="str">
        <f t="shared" ca="1" si="95"/>
        <v/>
      </c>
      <c r="BO490" s="124" t="str">
        <f t="shared" ca="1" si="95"/>
        <v/>
      </c>
      <c r="BP490" s="124" t="str">
        <f t="shared" ca="1" si="95"/>
        <v/>
      </c>
      <c r="BQ490" s="124" t="str">
        <f t="shared" ca="1" si="95"/>
        <v/>
      </c>
      <c r="BR490" s="124" t="str">
        <f t="shared" ca="1" si="95"/>
        <v/>
      </c>
      <c r="BS490" s="124" t="str">
        <f t="shared" ca="1" si="95"/>
        <v/>
      </c>
      <c r="BT490" s="124" t="str">
        <f t="shared" ca="1" si="95"/>
        <v/>
      </c>
      <c r="BU490" s="124" t="str">
        <f t="shared" ca="1" si="97"/>
        <v/>
      </c>
    </row>
    <row r="491" spans="1:73" x14ac:dyDescent="0.15">
      <c r="A491">
        <v>71</v>
      </c>
      <c r="B491" s="124" t="str">
        <f t="shared" ca="1" si="98"/>
        <v/>
      </c>
      <c r="C491" s="123" t="str">
        <f ca="1">IF(A491&lt;=①簡易状況入力!$AC$5,INDIRECT("A"&amp;VLOOKUP($A491,①簡易状況入力!$Y$5:$AB$104,4,FALSE)),"")</f>
        <v/>
      </c>
      <c r="D491" s="125" t="str">
        <f t="shared" ca="1" si="99"/>
        <v/>
      </c>
      <c r="E491" s="125" t="str">
        <f t="shared" ca="1" si="100"/>
        <v/>
      </c>
      <c r="F491" s="125" t="str">
        <f t="shared" ca="1" si="101"/>
        <v/>
      </c>
      <c r="G491" s="125" t="str">
        <f t="shared" ca="1" si="102"/>
        <v/>
      </c>
      <c r="H491" s="125" t="str">
        <f t="shared" ca="1" si="103"/>
        <v/>
      </c>
      <c r="I491" s="125" t="str">
        <f t="shared" ca="1" si="104"/>
        <v/>
      </c>
      <c r="J491" s="125" t="str">
        <f t="shared" ca="1" si="105"/>
        <v/>
      </c>
      <c r="K491" s="125" t="str">
        <f t="shared" ca="1" si="106"/>
        <v/>
      </c>
      <c r="L491" s="125" t="str">
        <f t="shared" ca="1" si="107"/>
        <v/>
      </c>
      <c r="M491" s="125" t="str">
        <f t="shared" ca="1" si="108"/>
        <v/>
      </c>
      <c r="N491" s="125" t="str">
        <f t="shared" ca="1" si="109"/>
        <v/>
      </c>
      <c r="O491" s="125" t="str">
        <f t="shared" ca="1" si="110"/>
        <v/>
      </c>
      <c r="P491" s="125" t="str">
        <f t="shared" ca="1" si="111"/>
        <v/>
      </c>
      <c r="Q491" s="125" t="str">
        <f t="shared" ca="1" si="112"/>
        <v/>
      </c>
      <c r="R491" s="125" t="str">
        <f t="shared" ca="1" si="113"/>
        <v/>
      </c>
      <c r="S491" s="125" t="str">
        <f t="shared" ca="1" si="114"/>
        <v/>
      </c>
      <c r="T491" s="125" t="str">
        <f t="shared" ca="1" si="115"/>
        <v/>
      </c>
      <c r="U491" s="125" t="str">
        <f t="shared" ca="1" si="116"/>
        <v/>
      </c>
      <c r="V491" s="125" t="str">
        <f t="shared" ca="1" si="117"/>
        <v/>
      </c>
      <c r="W491" s="125" t="str">
        <f t="shared" ca="1" si="118"/>
        <v/>
      </c>
      <c r="X491" s="125" t="str">
        <f t="shared" ca="1" si="119"/>
        <v/>
      </c>
      <c r="Y491" s="125" t="str">
        <f t="shared" ca="1" si="120"/>
        <v/>
      </c>
      <c r="Z491" s="125" t="str">
        <f t="shared" ca="1" si="121"/>
        <v/>
      </c>
      <c r="AA491" s="125" t="str">
        <f t="shared" ca="1" si="122"/>
        <v/>
      </c>
      <c r="AB491" s="125" t="str">
        <f t="shared" ca="1" si="123"/>
        <v/>
      </c>
      <c r="AC491" s="125" t="str">
        <f t="shared" ca="1" si="124"/>
        <v/>
      </c>
      <c r="AD491" s="125" t="str">
        <f t="shared" ca="1" si="125"/>
        <v/>
      </c>
      <c r="AE491" s="125" t="str">
        <f t="shared" ca="1" si="126"/>
        <v/>
      </c>
      <c r="AF491" s="125" t="str">
        <f t="shared" ca="1" si="127"/>
        <v/>
      </c>
      <c r="AG491" s="125" t="str">
        <f t="shared" ca="1" si="128"/>
        <v/>
      </c>
      <c r="AH491" s="125" t="str">
        <f t="shared" ca="1" si="129"/>
        <v/>
      </c>
      <c r="AI491" s="125" t="str">
        <f t="shared" ca="1" si="130"/>
        <v/>
      </c>
      <c r="AJ491" s="125" t="str">
        <f t="shared" ca="1" si="131"/>
        <v/>
      </c>
      <c r="AK491" s="125" t="str">
        <f t="shared" ca="1" si="132"/>
        <v/>
      </c>
      <c r="AL491" s="125" t="str">
        <f t="shared" ca="1" si="133"/>
        <v/>
      </c>
      <c r="AM491" s="124" t="str">
        <f t="shared" ca="1" si="134"/>
        <v/>
      </c>
      <c r="AN491" s="124" t="str">
        <f t="shared" ca="1" si="134"/>
        <v/>
      </c>
      <c r="AO491" s="124" t="str">
        <f t="shared" ca="1" si="134"/>
        <v/>
      </c>
      <c r="AP491" s="124" t="str">
        <f t="shared" ca="1" si="134"/>
        <v/>
      </c>
      <c r="AQ491" s="124" t="str">
        <f t="shared" ca="1" si="134"/>
        <v/>
      </c>
      <c r="AR491" s="124" t="str">
        <f t="shared" ca="1" si="134"/>
        <v/>
      </c>
      <c r="AS491" s="124" t="str">
        <f t="shared" ca="1" si="134"/>
        <v/>
      </c>
      <c r="AT491" s="124" t="str">
        <f t="shared" ca="1" si="134"/>
        <v/>
      </c>
      <c r="AU491" s="124" t="str">
        <f t="shared" ca="1" si="134"/>
        <v/>
      </c>
      <c r="AV491" s="124" t="str">
        <f t="shared" ca="1" si="134"/>
        <v/>
      </c>
      <c r="AW491" s="124" t="str">
        <f t="shared" ca="1" si="134"/>
        <v/>
      </c>
      <c r="AX491" s="124" t="str">
        <f t="shared" ca="1" si="134"/>
        <v/>
      </c>
      <c r="AY491" s="124" t="str">
        <f t="shared" ca="1" si="134"/>
        <v/>
      </c>
      <c r="AZ491" s="124" t="str">
        <f t="shared" ca="1" si="134"/>
        <v/>
      </c>
      <c r="BA491" s="124" t="str">
        <f t="shared" ca="1" si="134"/>
        <v/>
      </c>
      <c r="BB491" s="124" t="str">
        <f t="shared" ca="1" si="134"/>
        <v/>
      </c>
      <c r="BC491" s="124" t="str">
        <f t="shared" ca="1" si="96"/>
        <v/>
      </c>
      <c r="BD491" s="124" t="str">
        <f t="shared" ca="1" si="96"/>
        <v/>
      </c>
      <c r="BE491" s="124" t="str">
        <f t="shared" ca="1" si="95"/>
        <v/>
      </c>
      <c r="BF491" s="124" t="str">
        <f t="shared" ca="1" si="95"/>
        <v/>
      </c>
      <c r="BG491" s="124" t="str">
        <f t="shared" ca="1" si="95"/>
        <v/>
      </c>
      <c r="BH491" s="124" t="str">
        <f t="shared" ca="1" si="95"/>
        <v/>
      </c>
      <c r="BI491" s="124" t="str">
        <f t="shared" ca="1" si="95"/>
        <v/>
      </c>
      <c r="BJ491" s="124" t="str">
        <f t="shared" ca="1" si="95"/>
        <v/>
      </c>
      <c r="BK491" s="124" t="str">
        <f t="shared" ca="1" si="95"/>
        <v/>
      </c>
      <c r="BL491" s="124" t="str">
        <f t="shared" ca="1" si="95"/>
        <v/>
      </c>
      <c r="BM491" s="124" t="str">
        <f t="shared" ca="1" si="95"/>
        <v/>
      </c>
      <c r="BN491" s="124" t="str">
        <f t="shared" ca="1" si="95"/>
        <v/>
      </c>
      <c r="BO491" s="124" t="str">
        <f t="shared" ca="1" si="95"/>
        <v/>
      </c>
      <c r="BP491" s="124" t="str">
        <f t="shared" ca="1" si="95"/>
        <v/>
      </c>
      <c r="BQ491" s="124" t="str">
        <f t="shared" ca="1" si="95"/>
        <v/>
      </c>
      <c r="BR491" s="124" t="str">
        <f t="shared" ca="1" si="95"/>
        <v/>
      </c>
      <c r="BS491" s="124" t="str">
        <f t="shared" ca="1" si="95"/>
        <v/>
      </c>
      <c r="BT491" s="124" t="str">
        <f t="shared" ca="1" si="95"/>
        <v/>
      </c>
      <c r="BU491" s="124" t="str">
        <f t="shared" ca="1" si="97"/>
        <v/>
      </c>
    </row>
    <row r="492" spans="1:73" x14ac:dyDescent="0.15">
      <c r="A492">
        <v>72</v>
      </c>
      <c r="B492" s="124" t="str">
        <f t="shared" ca="1" si="98"/>
        <v/>
      </c>
      <c r="C492" s="123" t="str">
        <f ca="1">IF(A492&lt;=①簡易状況入力!$AC$5,INDIRECT("A"&amp;VLOOKUP($A492,①簡易状況入力!$Y$5:$AB$104,4,FALSE)),"")</f>
        <v/>
      </c>
      <c r="D492" s="125" t="str">
        <f t="shared" ca="1" si="99"/>
        <v/>
      </c>
      <c r="E492" s="125" t="str">
        <f t="shared" ca="1" si="100"/>
        <v/>
      </c>
      <c r="F492" s="125" t="str">
        <f t="shared" ca="1" si="101"/>
        <v/>
      </c>
      <c r="G492" s="125" t="str">
        <f t="shared" ca="1" si="102"/>
        <v/>
      </c>
      <c r="H492" s="125" t="str">
        <f t="shared" ca="1" si="103"/>
        <v/>
      </c>
      <c r="I492" s="125" t="str">
        <f t="shared" ca="1" si="104"/>
        <v/>
      </c>
      <c r="J492" s="125" t="str">
        <f t="shared" ca="1" si="105"/>
        <v/>
      </c>
      <c r="K492" s="125" t="str">
        <f t="shared" ca="1" si="106"/>
        <v/>
      </c>
      <c r="L492" s="125" t="str">
        <f t="shared" ca="1" si="107"/>
        <v/>
      </c>
      <c r="M492" s="125" t="str">
        <f t="shared" ca="1" si="108"/>
        <v/>
      </c>
      <c r="N492" s="125" t="str">
        <f t="shared" ca="1" si="109"/>
        <v/>
      </c>
      <c r="O492" s="125" t="str">
        <f t="shared" ca="1" si="110"/>
        <v/>
      </c>
      <c r="P492" s="125" t="str">
        <f t="shared" ca="1" si="111"/>
        <v/>
      </c>
      <c r="Q492" s="125" t="str">
        <f t="shared" ca="1" si="112"/>
        <v/>
      </c>
      <c r="R492" s="125" t="str">
        <f t="shared" ca="1" si="113"/>
        <v/>
      </c>
      <c r="S492" s="125" t="str">
        <f t="shared" ca="1" si="114"/>
        <v/>
      </c>
      <c r="T492" s="125" t="str">
        <f t="shared" ca="1" si="115"/>
        <v/>
      </c>
      <c r="U492" s="125" t="str">
        <f t="shared" ca="1" si="116"/>
        <v/>
      </c>
      <c r="V492" s="125" t="str">
        <f t="shared" ca="1" si="117"/>
        <v/>
      </c>
      <c r="W492" s="125" t="str">
        <f t="shared" ca="1" si="118"/>
        <v/>
      </c>
      <c r="X492" s="125" t="str">
        <f t="shared" ca="1" si="119"/>
        <v/>
      </c>
      <c r="Y492" s="125" t="str">
        <f t="shared" ca="1" si="120"/>
        <v/>
      </c>
      <c r="Z492" s="125" t="str">
        <f t="shared" ca="1" si="121"/>
        <v/>
      </c>
      <c r="AA492" s="125" t="str">
        <f t="shared" ca="1" si="122"/>
        <v/>
      </c>
      <c r="AB492" s="125" t="str">
        <f t="shared" ca="1" si="123"/>
        <v/>
      </c>
      <c r="AC492" s="125" t="str">
        <f t="shared" ca="1" si="124"/>
        <v/>
      </c>
      <c r="AD492" s="125" t="str">
        <f t="shared" ca="1" si="125"/>
        <v/>
      </c>
      <c r="AE492" s="125" t="str">
        <f t="shared" ca="1" si="126"/>
        <v/>
      </c>
      <c r="AF492" s="125" t="str">
        <f t="shared" ca="1" si="127"/>
        <v/>
      </c>
      <c r="AG492" s="125" t="str">
        <f t="shared" ca="1" si="128"/>
        <v/>
      </c>
      <c r="AH492" s="125" t="str">
        <f t="shared" ca="1" si="129"/>
        <v/>
      </c>
      <c r="AI492" s="125" t="str">
        <f t="shared" ca="1" si="130"/>
        <v/>
      </c>
      <c r="AJ492" s="125" t="str">
        <f t="shared" ca="1" si="131"/>
        <v/>
      </c>
      <c r="AK492" s="125" t="str">
        <f t="shared" ca="1" si="132"/>
        <v/>
      </c>
      <c r="AL492" s="125" t="str">
        <f t="shared" ca="1" si="133"/>
        <v/>
      </c>
      <c r="AM492" s="124" t="str">
        <f t="shared" ca="1" si="134"/>
        <v/>
      </c>
      <c r="AN492" s="124" t="str">
        <f t="shared" ca="1" si="134"/>
        <v/>
      </c>
      <c r="AO492" s="124" t="str">
        <f t="shared" ca="1" si="134"/>
        <v/>
      </c>
      <c r="AP492" s="124" t="str">
        <f t="shared" ca="1" si="134"/>
        <v/>
      </c>
      <c r="AQ492" s="124" t="str">
        <f t="shared" ca="1" si="134"/>
        <v/>
      </c>
      <c r="AR492" s="124" t="str">
        <f t="shared" ca="1" si="134"/>
        <v/>
      </c>
      <c r="AS492" s="124" t="str">
        <f t="shared" ca="1" si="134"/>
        <v/>
      </c>
      <c r="AT492" s="124" t="str">
        <f t="shared" ca="1" si="134"/>
        <v/>
      </c>
      <c r="AU492" s="124" t="str">
        <f t="shared" ca="1" si="134"/>
        <v/>
      </c>
      <c r="AV492" s="124" t="str">
        <f t="shared" ca="1" si="134"/>
        <v/>
      </c>
      <c r="AW492" s="124" t="str">
        <f t="shared" ca="1" si="134"/>
        <v/>
      </c>
      <c r="AX492" s="124" t="str">
        <f t="shared" ca="1" si="134"/>
        <v/>
      </c>
      <c r="AY492" s="124" t="str">
        <f t="shared" ca="1" si="134"/>
        <v/>
      </c>
      <c r="AZ492" s="124" t="str">
        <f t="shared" ca="1" si="134"/>
        <v/>
      </c>
      <c r="BA492" s="124" t="str">
        <f t="shared" ca="1" si="134"/>
        <v/>
      </c>
      <c r="BB492" s="124" t="str">
        <f t="shared" ca="1" si="134"/>
        <v/>
      </c>
      <c r="BC492" s="124" t="str">
        <f t="shared" ca="1" si="96"/>
        <v/>
      </c>
      <c r="BD492" s="124" t="str">
        <f t="shared" ca="1" si="96"/>
        <v/>
      </c>
      <c r="BE492" s="124" t="str">
        <f t="shared" ca="1" si="96"/>
        <v/>
      </c>
      <c r="BF492" s="124" t="str">
        <f t="shared" ca="1" si="96"/>
        <v/>
      </c>
      <c r="BG492" s="124" t="str">
        <f t="shared" ca="1" si="96"/>
        <v/>
      </c>
      <c r="BH492" s="124" t="str">
        <f t="shared" ca="1" si="96"/>
        <v/>
      </c>
      <c r="BI492" s="124" t="str">
        <f t="shared" ca="1" si="96"/>
        <v/>
      </c>
      <c r="BJ492" s="124" t="str">
        <f t="shared" ca="1" si="96"/>
        <v/>
      </c>
      <c r="BK492" s="124" t="str">
        <f t="shared" ca="1" si="96"/>
        <v/>
      </c>
      <c r="BL492" s="124" t="str">
        <f t="shared" ca="1" si="96"/>
        <v/>
      </c>
      <c r="BM492" s="124" t="str">
        <f t="shared" ca="1" si="96"/>
        <v/>
      </c>
      <c r="BN492" s="124" t="str">
        <f t="shared" ca="1" si="96"/>
        <v/>
      </c>
      <c r="BO492" s="124" t="str">
        <f t="shared" ca="1" si="96"/>
        <v/>
      </c>
      <c r="BP492" s="124" t="str">
        <f t="shared" ca="1" si="96"/>
        <v/>
      </c>
      <c r="BQ492" s="124" t="str">
        <f t="shared" ca="1" si="96"/>
        <v/>
      </c>
      <c r="BR492" s="124" t="str">
        <f t="shared" ca="1" si="96"/>
        <v/>
      </c>
      <c r="BS492" s="124" t="str">
        <f t="shared" ref="BS492:BT520" ca="1" si="135">IF($C492&lt;&gt;"",SUMIFS(BS$4:BS$413,$A$4:$A$413,$C492,$B$4:$B$413,"合計"),"")</f>
        <v/>
      </c>
      <c r="BT492" s="124" t="str">
        <f t="shared" ca="1" si="135"/>
        <v/>
      </c>
      <c r="BU492" s="124" t="str">
        <f t="shared" ca="1" si="97"/>
        <v/>
      </c>
    </row>
    <row r="493" spans="1:73" x14ac:dyDescent="0.15">
      <c r="A493">
        <v>73</v>
      </c>
      <c r="B493" s="124" t="str">
        <f t="shared" ca="1" si="98"/>
        <v/>
      </c>
      <c r="C493" s="123" t="str">
        <f ca="1">IF(A493&lt;=①簡易状況入力!$AC$5,INDIRECT("A"&amp;VLOOKUP($A493,①簡易状況入力!$Y$5:$AB$104,4,FALSE)),"")</f>
        <v/>
      </c>
      <c r="D493" s="125" t="str">
        <f t="shared" ca="1" si="99"/>
        <v/>
      </c>
      <c r="E493" s="125" t="str">
        <f t="shared" ca="1" si="100"/>
        <v/>
      </c>
      <c r="F493" s="125" t="str">
        <f t="shared" ca="1" si="101"/>
        <v/>
      </c>
      <c r="G493" s="125" t="str">
        <f t="shared" ca="1" si="102"/>
        <v/>
      </c>
      <c r="H493" s="125" t="str">
        <f t="shared" ca="1" si="103"/>
        <v/>
      </c>
      <c r="I493" s="125" t="str">
        <f t="shared" ca="1" si="104"/>
        <v/>
      </c>
      <c r="J493" s="125" t="str">
        <f t="shared" ca="1" si="105"/>
        <v/>
      </c>
      <c r="K493" s="125" t="str">
        <f t="shared" ca="1" si="106"/>
        <v/>
      </c>
      <c r="L493" s="125" t="str">
        <f t="shared" ca="1" si="107"/>
        <v/>
      </c>
      <c r="M493" s="125" t="str">
        <f t="shared" ca="1" si="108"/>
        <v/>
      </c>
      <c r="N493" s="125" t="str">
        <f t="shared" ca="1" si="109"/>
        <v/>
      </c>
      <c r="O493" s="125" t="str">
        <f t="shared" ca="1" si="110"/>
        <v/>
      </c>
      <c r="P493" s="125" t="str">
        <f t="shared" ca="1" si="111"/>
        <v/>
      </c>
      <c r="Q493" s="125" t="str">
        <f t="shared" ca="1" si="112"/>
        <v/>
      </c>
      <c r="R493" s="125" t="str">
        <f t="shared" ca="1" si="113"/>
        <v/>
      </c>
      <c r="S493" s="125" t="str">
        <f t="shared" ca="1" si="114"/>
        <v/>
      </c>
      <c r="T493" s="125" t="str">
        <f t="shared" ca="1" si="115"/>
        <v/>
      </c>
      <c r="U493" s="125" t="str">
        <f t="shared" ca="1" si="116"/>
        <v/>
      </c>
      <c r="V493" s="125" t="str">
        <f t="shared" ca="1" si="117"/>
        <v/>
      </c>
      <c r="W493" s="125" t="str">
        <f t="shared" ca="1" si="118"/>
        <v/>
      </c>
      <c r="X493" s="125" t="str">
        <f t="shared" ca="1" si="119"/>
        <v/>
      </c>
      <c r="Y493" s="125" t="str">
        <f t="shared" ca="1" si="120"/>
        <v/>
      </c>
      <c r="Z493" s="125" t="str">
        <f t="shared" ca="1" si="121"/>
        <v/>
      </c>
      <c r="AA493" s="125" t="str">
        <f t="shared" ca="1" si="122"/>
        <v/>
      </c>
      <c r="AB493" s="125" t="str">
        <f t="shared" ca="1" si="123"/>
        <v/>
      </c>
      <c r="AC493" s="125" t="str">
        <f t="shared" ca="1" si="124"/>
        <v/>
      </c>
      <c r="AD493" s="125" t="str">
        <f t="shared" ca="1" si="125"/>
        <v/>
      </c>
      <c r="AE493" s="125" t="str">
        <f t="shared" ca="1" si="126"/>
        <v/>
      </c>
      <c r="AF493" s="125" t="str">
        <f t="shared" ca="1" si="127"/>
        <v/>
      </c>
      <c r="AG493" s="125" t="str">
        <f t="shared" ca="1" si="128"/>
        <v/>
      </c>
      <c r="AH493" s="125" t="str">
        <f t="shared" ca="1" si="129"/>
        <v/>
      </c>
      <c r="AI493" s="125" t="str">
        <f t="shared" ca="1" si="130"/>
        <v/>
      </c>
      <c r="AJ493" s="125" t="str">
        <f t="shared" ca="1" si="131"/>
        <v/>
      </c>
      <c r="AK493" s="125" t="str">
        <f t="shared" ca="1" si="132"/>
        <v/>
      </c>
      <c r="AL493" s="125" t="str">
        <f t="shared" ca="1" si="133"/>
        <v/>
      </c>
      <c r="AM493" s="124" t="str">
        <f t="shared" ca="1" si="134"/>
        <v/>
      </c>
      <c r="AN493" s="124" t="str">
        <f t="shared" ca="1" si="134"/>
        <v/>
      </c>
      <c r="AO493" s="124" t="str">
        <f t="shared" ca="1" si="134"/>
        <v/>
      </c>
      <c r="AP493" s="124" t="str">
        <f t="shared" ca="1" si="134"/>
        <v/>
      </c>
      <c r="AQ493" s="124" t="str">
        <f t="shared" ca="1" si="134"/>
        <v/>
      </c>
      <c r="AR493" s="124" t="str">
        <f t="shared" ca="1" si="134"/>
        <v/>
      </c>
      <c r="AS493" s="124" t="str">
        <f t="shared" ca="1" si="134"/>
        <v/>
      </c>
      <c r="AT493" s="124" t="str">
        <f t="shared" ca="1" si="134"/>
        <v/>
      </c>
      <c r="AU493" s="124" t="str">
        <f t="shared" ca="1" si="134"/>
        <v/>
      </c>
      <c r="AV493" s="124" t="str">
        <f t="shared" ca="1" si="134"/>
        <v/>
      </c>
      <c r="AW493" s="124" t="str">
        <f t="shared" ca="1" si="134"/>
        <v/>
      </c>
      <c r="AX493" s="124" t="str">
        <f t="shared" ca="1" si="134"/>
        <v/>
      </c>
      <c r="AY493" s="124" t="str">
        <f t="shared" ca="1" si="134"/>
        <v/>
      </c>
      <c r="AZ493" s="124" t="str">
        <f t="shared" ca="1" si="134"/>
        <v/>
      </c>
      <c r="BA493" s="124" t="str">
        <f t="shared" ca="1" si="134"/>
        <v/>
      </c>
      <c r="BB493" s="124" t="str">
        <f t="shared" ca="1" si="134"/>
        <v/>
      </c>
      <c r="BC493" s="124" t="str">
        <f t="shared" ca="1" si="96"/>
        <v/>
      </c>
      <c r="BD493" s="124" t="str">
        <f t="shared" ca="1" si="96"/>
        <v/>
      </c>
      <c r="BE493" s="124" t="str">
        <f t="shared" ca="1" si="96"/>
        <v/>
      </c>
      <c r="BF493" s="124" t="str">
        <f t="shared" ca="1" si="96"/>
        <v/>
      </c>
      <c r="BG493" s="124" t="str">
        <f t="shared" ca="1" si="96"/>
        <v/>
      </c>
      <c r="BH493" s="124" t="str">
        <f t="shared" ca="1" si="96"/>
        <v/>
      </c>
      <c r="BI493" s="124" t="str">
        <f t="shared" ca="1" si="96"/>
        <v/>
      </c>
      <c r="BJ493" s="124" t="str">
        <f t="shared" ca="1" si="96"/>
        <v/>
      </c>
      <c r="BK493" s="124" t="str">
        <f t="shared" ca="1" si="96"/>
        <v/>
      </c>
      <c r="BL493" s="124" t="str">
        <f t="shared" ca="1" si="96"/>
        <v/>
      </c>
      <c r="BM493" s="124" t="str">
        <f t="shared" ca="1" si="96"/>
        <v/>
      </c>
      <c r="BN493" s="124" t="str">
        <f t="shared" ca="1" si="96"/>
        <v/>
      </c>
      <c r="BO493" s="124" t="str">
        <f t="shared" ca="1" si="96"/>
        <v/>
      </c>
      <c r="BP493" s="124" t="str">
        <f t="shared" ca="1" si="96"/>
        <v/>
      </c>
      <c r="BQ493" s="124" t="str">
        <f t="shared" ca="1" si="96"/>
        <v/>
      </c>
      <c r="BR493" s="124" t="str">
        <f t="shared" ca="1" si="96"/>
        <v/>
      </c>
      <c r="BS493" s="124" t="str">
        <f t="shared" ca="1" si="135"/>
        <v/>
      </c>
      <c r="BT493" s="124" t="str">
        <f t="shared" ca="1" si="135"/>
        <v/>
      </c>
      <c r="BU493" s="124" t="str">
        <f t="shared" ca="1" si="97"/>
        <v/>
      </c>
    </row>
    <row r="494" spans="1:73" x14ac:dyDescent="0.15">
      <c r="A494">
        <v>74</v>
      </c>
      <c r="B494" s="124" t="str">
        <f t="shared" ca="1" si="98"/>
        <v/>
      </c>
      <c r="C494" s="123" t="str">
        <f ca="1">IF(A494&lt;=①簡易状況入力!$AC$5,INDIRECT("A"&amp;VLOOKUP($A494,①簡易状況入力!$Y$5:$AB$104,4,FALSE)),"")</f>
        <v/>
      </c>
      <c r="D494" s="125" t="str">
        <f t="shared" ca="1" si="99"/>
        <v/>
      </c>
      <c r="E494" s="125" t="str">
        <f t="shared" ca="1" si="100"/>
        <v/>
      </c>
      <c r="F494" s="125" t="str">
        <f t="shared" ca="1" si="101"/>
        <v/>
      </c>
      <c r="G494" s="125" t="str">
        <f t="shared" ca="1" si="102"/>
        <v/>
      </c>
      <c r="H494" s="125" t="str">
        <f t="shared" ca="1" si="103"/>
        <v/>
      </c>
      <c r="I494" s="125" t="str">
        <f t="shared" ca="1" si="104"/>
        <v/>
      </c>
      <c r="J494" s="125" t="str">
        <f t="shared" ca="1" si="105"/>
        <v/>
      </c>
      <c r="K494" s="125" t="str">
        <f t="shared" ca="1" si="106"/>
        <v/>
      </c>
      <c r="L494" s="125" t="str">
        <f t="shared" ca="1" si="107"/>
        <v/>
      </c>
      <c r="M494" s="125" t="str">
        <f t="shared" ca="1" si="108"/>
        <v/>
      </c>
      <c r="N494" s="125" t="str">
        <f t="shared" ca="1" si="109"/>
        <v/>
      </c>
      <c r="O494" s="125" t="str">
        <f t="shared" ca="1" si="110"/>
        <v/>
      </c>
      <c r="P494" s="125" t="str">
        <f t="shared" ca="1" si="111"/>
        <v/>
      </c>
      <c r="Q494" s="125" t="str">
        <f t="shared" ca="1" si="112"/>
        <v/>
      </c>
      <c r="R494" s="125" t="str">
        <f t="shared" ca="1" si="113"/>
        <v/>
      </c>
      <c r="S494" s="125" t="str">
        <f t="shared" ca="1" si="114"/>
        <v/>
      </c>
      <c r="T494" s="125" t="str">
        <f t="shared" ca="1" si="115"/>
        <v/>
      </c>
      <c r="U494" s="125" t="str">
        <f t="shared" ca="1" si="116"/>
        <v/>
      </c>
      <c r="V494" s="125" t="str">
        <f t="shared" ca="1" si="117"/>
        <v/>
      </c>
      <c r="W494" s="125" t="str">
        <f t="shared" ca="1" si="118"/>
        <v/>
      </c>
      <c r="X494" s="125" t="str">
        <f t="shared" ca="1" si="119"/>
        <v/>
      </c>
      <c r="Y494" s="125" t="str">
        <f t="shared" ca="1" si="120"/>
        <v/>
      </c>
      <c r="Z494" s="125" t="str">
        <f t="shared" ca="1" si="121"/>
        <v/>
      </c>
      <c r="AA494" s="125" t="str">
        <f t="shared" ca="1" si="122"/>
        <v/>
      </c>
      <c r="AB494" s="125" t="str">
        <f t="shared" ca="1" si="123"/>
        <v/>
      </c>
      <c r="AC494" s="125" t="str">
        <f t="shared" ca="1" si="124"/>
        <v/>
      </c>
      <c r="AD494" s="125" t="str">
        <f t="shared" ca="1" si="125"/>
        <v/>
      </c>
      <c r="AE494" s="125" t="str">
        <f t="shared" ca="1" si="126"/>
        <v/>
      </c>
      <c r="AF494" s="125" t="str">
        <f t="shared" ca="1" si="127"/>
        <v/>
      </c>
      <c r="AG494" s="125" t="str">
        <f t="shared" ca="1" si="128"/>
        <v/>
      </c>
      <c r="AH494" s="125" t="str">
        <f t="shared" ca="1" si="129"/>
        <v/>
      </c>
      <c r="AI494" s="125" t="str">
        <f t="shared" ca="1" si="130"/>
        <v/>
      </c>
      <c r="AJ494" s="125" t="str">
        <f t="shared" ca="1" si="131"/>
        <v/>
      </c>
      <c r="AK494" s="125" t="str">
        <f t="shared" ca="1" si="132"/>
        <v/>
      </c>
      <c r="AL494" s="125" t="str">
        <f t="shared" ca="1" si="133"/>
        <v/>
      </c>
      <c r="AM494" s="124" t="str">
        <f t="shared" ca="1" si="134"/>
        <v/>
      </c>
      <c r="AN494" s="124" t="str">
        <f t="shared" ca="1" si="134"/>
        <v/>
      </c>
      <c r="AO494" s="124" t="str">
        <f t="shared" ca="1" si="134"/>
        <v/>
      </c>
      <c r="AP494" s="124" t="str">
        <f t="shared" ca="1" si="134"/>
        <v/>
      </c>
      <c r="AQ494" s="124" t="str">
        <f t="shared" ca="1" si="134"/>
        <v/>
      </c>
      <c r="AR494" s="124" t="str">
        <f t="shared" ca="1" si="134"/>
        <v/>
      </c>
      <c r="AS494" s="124" t="str">
        <f t="shared" ca="1" si="134"/>
        <v/>
      </c>
      <c r="AT494" s="124" t="str">
        <f t="shared" ca="1" si="134"/>
        <v/>
      </c>
      <c r="AU494" s="124" t="str">
        <f t="shared" ca="1" si="134"/>
        <v/>
      </c>
      <c r="AV494" s="124" t="str">
        <f t="shared" ca="1" si="134"/>
        <v/>
      </c>
      <c r="AW494" s="124" t="str">
        <f t="shared" ca="1" si="134"/>
        <v/>
      </c>
      <c r="AX494" s="124" t="str">
        <f t="shared" ca="1" si="134"/>
        <v/>
      </c>
      <c r="AY494" s="124" t="str">
        <f t="shared" ca="1" si="134"/>
        <v/>
      </c>
      <c r="AZ494" s="124" t="str">
        <f t="shared" ca="1" si="134"/>
        <v/>
      </c>
      <c r="BA494" s="124" t="str">
        <f t="shared" ca="1" si="134"/>
        <v/>
      </c>
      <c r="BB494" s="124" t="str">
        <f t="shared" ca="1" si="134"/>
        <v/>
      </c>
      <c r="BC494" s="124" t="str">
        <f t="shared" ca="1" si="96"/>
        <v/>
      </c>
      <c r="BD494" s="124" t="str">
        <f t="shared" ca="1" si="96"/>
        <v/>
      </c>
      <c r="BE494" s="124" t="str">
        <f t="shared" ca="1" si="96"/>
        <v/>
      </c>
      <c r="BF494" s="124" t="str">
        <f t="shared" ca="1" si="96"/>
        <v/>
      </c>
      <c r="BG494" s="124" t="str">
        <f t="shared" ca="1" si="96"/>
        <v/>
      </c>
      <c r="BH494" s="124" t="str">
        <f t="shared" ca="1" si="96"/>
        <v/>
      </c>
      <c r="BI494" s="124" t="str">
        <f t="shared" ca="1" si="96"/>
        <v/>
      </c>
      <c r="BJ494" s="124" t="str">
        <f t="shared" ca="1" si="96"/>
        <v/>
      </c>
      <c r="BK494" s="124" t="str">
        <f t="shared" ca="1" si="96"/>
        <v/>
      </c>
      <c r="BL494" s="124" t="str">
        <f t="shared" ca="1" si="96"/>
        <v/>
      </c>
      <c r="BM494" s="124" t="str">
        <f t="shared" ca="1" si="96"/>
        <v/>
      </c>
      <c r="BN494" s="124" t="str">
        <f t="shared" ca="1" si="96"/>
        <v/>
      </c>
      <c r="BO494" s="124" t="str">
        <f t="shared" ca="1" si="96"/>
        <v/>
      </c>
      <c r="BP494" s="124" t="str">
        <f t="shared" ca="1" si="96"/>
        <v/>
      </c>
      <c r="BQ494" s="124" t="str">
        <f t="shared" ca="1" si="96"/>
        <v/>
      </c>
      <c r="BR494" s="124" t="str">
        <f t="shared" ca="1" si="96"/>
        <v/>
      </c>
      <c r="BS494" s="124" t="str">
        <f t="shared" ca="1" si="135"/>
        <v/>
      </c>
      <c r="BT494" s="124" t="str">
        <f t="shared" ca="1" si="135"/>
        <v/>
      </c>
      <c r="BU494" s="124" t="str">
        <f t="shared" ca="1" si="97"/>
        <v/>
      </c>
    </row>
    <row r="495" spans="1:73" x14ac:dyDescent="0.15">
      <c r="A495">
        <v>75</v>
      </c>
      <c r="B495" s="124" t="str">
        <f t="shared" ca="1" si="98"/>
        <v/>
      </c>
      <c r="C495" s="123" t="str">
        <f ca="1">IF(A495&lt;=①簡易状況入力!$AC$5,INDIRECT("A"&amp;VLOOKUP($A495,①簡易状況入力!$Y$5:$AB$104,4,FALSE)),"")</f>
        <v/>
      </c>
      <c r="D495" s="125" t="str">
        <f t="shared" ca="1" si="99"/>
        <v/>
      </c>
      <c r="E495" s="125" t="str">
        <f t="shared" ca="1" si="100"/>
        <v/>
      </c>
      <c r="F495" s="125" t="str">
        <f t="shared" ca="1" si="101"/>
        <v/>
      </c>
      <c r="G495" s="125" t="str">
        <f t="shared" ca="1" si="102"/>
        <v/>
      </c>
      <c r="H495" s="125" t="str">
        <f t="shared" ca="1" si="103"/>
        <v/>
      </c>
      <c r="I495" s="125" t="str">
        <f t="shared" ca="1" si="104"/>
        <v/>
      </c>
      <c r="J495" s="125" t="str">
        <f t="shared" ca="1" si="105"/>
        <v/>
      </c>
      <c r="K495" s="125" t="str">
        <f t="shared" ca="1" si="106"/>
        <v/>
      </c>
      <c r="L495" s="125" t="str">
        <f t="shared" ca="1" si="107"/>
        <v/>
      </c>
      <c r="M495" s="125" t="str">
        <f t="shared" ca="1" si="108"/>
        <v/>
      </c>
      <c r="N495" s="125" t="str">
        <f t="shared" ca="1" si="109"/>
        <v/>
      </c>
      <c r="O495" s="125" t="str">
        <f t="shared" ca="1" si="110"/>
        <v/>
      </c>
      <c r="P495" s="125" t="str">
        <f t="shared" ca="1" si="111"/>
        <v/>
      </c>
      <c r="Q495" s="125" t="str">
        <f t="shared" ca="1" si="112"/>
        <v/>
      </c>
      <c r="R495" s="125" t="str">
        <f t="shared" ca="1" si="113"/>
        <v/>
      </c>
      <c r="S495" s="125" t="str">
        <f t="shared" ca="1" si="114"/>
        <v/>
      </c>
      <c r="T495" s="125" t="str">
        <f t="shared" ca="1" si="115"/>
        <v/>
      </c>
      <c r="U495" s="125" t="str">
        <f t="shared" ca="1" si="116"/>
        <v/>
      </c>
      <c r="V495" s="125" t="str">
        <f t="shared" ca="1" si="117"/>
        <v/>
      </c>
      <c r="W495" s="125" t="str">
        <f t="shared" ca="1" si="118"/>
        <v/>
      </c>
      <c r="X495" s="125" t="str">
        <f t="shared" ca="1" si="119"/>
        <v/>
      </c>
      <c r="Y495" s="125" t="str">
        <f t="shared" ca="1" si="120"/>
        <v/>
      </c>
      <c r="Z495" s="125" t="str">
        <f t="shared" ca="1" si="121"/>
        <v/>
      </c>
      <c r="AA495" s="125" t="str">
        <f t="shared" ca="1" si="122"/>
        <v/>
      </c>
      <c r="AB495" s="125" t="str">
        <f t="shared" ca="1" si="123"/>
        <v/>
      </c>
      <c r="AC495" s="125" t="str">
        <f t="shared" ca="1" si="124"/>
        <v/>
      </c>
      <c r="AD495" s="125" t="str">
        <f t="shared" ca="1" si="125"/>
        <v/>
      </c>
      <c r="AE495" s="125" t="str">
        <f t="shared" ca="1" si="126"/>
        <v/>
      </c>
      <c r="AF495" s="125" t="str">
        <f t="shared" ca="1" si="127"/>
        <v/>
      </c>
      <c r="AG495" s="125" t="str">
        <f t="shared" ca="1" si="128"/>
        <v/>
      </c>
      <c r="AH495" s="125" t="str">
        <f t="shared" ca="1" si="129"/>
        <v/>
      </c>
      <c r="AI495" s="125" t="str">
        <f t="shared" ca="1" si="130"/>
        <v/>
      </c>
      <c r="AJ495" s="125" t="str">
        <f t="shared" ca="1" si="131"/>
        <v/>
      </c>
      <c r="AK495" s="125" t="str">
        <f t="shared" ca="1" si="132"/>
        <v/>
      </c>
      <c r="AL495" s="125" t="str">
        <f t="shared" ca="1" si="133"/>
        <v/>
      </c>
      <c r="AM495" s="124" t="str">
        <f t="shared" ca="1" si="134"/>
        <v/>
      </c>
      <c r="AN495" s="124" t="str">
        <f t="shared" ca="1" si="134"/>
        <v/>
      </c>
      <c r="AO495" s="124" t="str">
        <f t="shared" ca="1" si="134"/>
        <v/>
      </c>
      <c r="AP495" s="124" t="str">
        <f t="shared" ca="1" si="134"/>
        <v/>
      </c>
      <c r="AQ495" s="124" t="str">
        <f t="shared" ca="1" si="134"/>
        <v/>
      </c>
      <c r="AR495" s="124" t="str">
        <f t="shared" ca="1" si="134"/>
        <v/>
      </c>
      <c r="AS495" s="124" t="str">
        <f t="shared" ca="1" si="134"/>
        <v/>
      </c>
      <c r="AT495" s="124" t="str">
        <f t="shared" ca="1" si="134"/>
        <v/>
      </c>
      <c r="AU495" s="124" t="str">
        <f t="shared" ca="1" si="134"/>
        <v/>
      </c>
      <c r="AV495" s="124" t="str">
        <f t="shared" ca="1" si="134"/>
        <v/>
      </c>
      <c r="AW495" s="124" t="str">
        <f t="shared" ca="1" si="134"/>
        <v/>
      </c>
      <c r="AX495" s="124" t="str">
        <f t="shared" ca="1" si="134"/>
        <v/>
      </c>
      <c r="AY495" s="124" t="str">
        <f t="shared" ca="1" si="134"/>
        <v/>
      </c>
      <c r="AZ495" s="124" t="str">
        <f t="shared" ca="1" si="134"/>
        <v/>
      </c>
      <c r="BA495" s="124" t="str">
        <f t="shared" ca="1" si="134"/>
        <v/>
      </c>
      <c r="BB495" s="124" t="str">
        <f t="shared" ca="1" si="134"/>
        <v/>
      </c>
      <c r="BC495" s="124" t="str">
        <f t="shared" ca="1" si="96"/>
        <v/>
      </c>
      <c r="BD495" s="124" t="str">
        <f t="shared" ca="1" si="96"/>
        <v/>
      </c>
      <c r="BE495" s="124" t="str">
        <f t="shared" ca="1" si="96"/>
        <v/>
      </c>
      <c r="BF495" s="124" t="str">
        <f t="shared" ca="1" si="96"/>
        <v/>
      </c>
      <c r="BG495" s="124" t="str">
        <f t="shared" ca="1" si="96"/>
        <v/>
      </c>
      <c r="BH495" s="124" t="str">
        <f t="shared" ca="1" si="96"/>
        <v/>
      </c>
      <c r="BI495" s="124" t="str">
        <f t="shared" ca="1" si="96"/>
        <v/>
      </c>
      <c r="BJ495" s="124" t="str">
        <f t="shared" ca="1" si="96"/>
        <v/>
      </c>
      <c r="BK495" s="124" t="str">
        <f t="shared" ca="1" si="96"/>
        <v/>
      </c>
      <c r="BL495" s="124" t="str">
        <f t="shared" ca="1" si="96"/>
        <v/>
      </c>
      <c r="BM495" s="124" t="str">
        <f t="shared" ca="1" si="96"/>
        <v/>
      </c>
      <c r="BN495" s="124" t="str">
        <f t="shared" ca="1" si="96"/>
        <v/>
      </c>
      <c r="BO495" s="124" t="str">
        <f t="shared" ca="1" si="96"/>
        <v/>
      </c>
      <c r="BP495" s="124" t="str">
        <f t="shared" ca="1" si="96"/>
        <v/>
      </c>
      <c r="BQ495" s="124" t="str">
        <f t="shared" ca="1" si="96"/>
        <v/>
      </c>
      <c r="BR495" s="124" t="str">
        <f t="shared" ca="1" si="96"/>
        <v/>
      </c>
      <c r="BS495" s="124" t="str">
        <f t="shared" ca="1" si="135"/>
        <v/>
      </c>
      <c r="BT495" s="124" t="str">
        <f t="shared" ca="1" si="135"/>
        <v/>
      </c>
      <c r="BU495" s="124" t="str">
        <f t="shared" ca="1" si="97"/>
        <v/>
      </c>
    </row>
    <row r="496" spans="1:73" x14ac:dyDescent="0.15">
      <c r="A496">
        <v>76</v>
      </c>
      <c r="B496" s="124" t="str">
        <f t="shared" ca="1" si="98"/>
        <v/>
      </c>
      <c r="C496" s="123" t="str">
        <f ca="1">IF(A496&lt;=①簡易状況入力!$AC$5,INDIRECT("A"&amp;VLOOKUP($A496,①簡易状況入力!$Y$5:$AB$104,4,FALSE)),"")</f>
        <v/>
      </c>
      <c r="D496" s="125" t="str">
        <f t="shared" ca="1" si="99"/>
        <v/>
      </c>
      <c r="E496" s="125" t="str">
        <f t="shared" ca="1" si="100"/>
        <v/>
      </c>
      <c r="F496" s="125" t="str">
        <f t="shared" ca="1" si="101"/>
        <v/>
      </c>
      <c r="G496" s="125" t="str">
        <f t="shared" ca="1" si="102"/>
        <v/>
      </c>
      <c r="H496" s="125" t="str">
        <f t="shared" ca="1" si="103"/>
        <v/>
      </c>
      <c r="I496" s="125" t="str">
        <f t="shared" ca="1" si="104"/>
        <v/>
      </c>
      <c r="J496" s="125" t="str">
        <f t="shared" ca="1" si="105"/>
        <v/>
      </c>
      <c r="K496" s="125" t="str">
        <f t="shared" ca="1" si="106"/>
        <v/>
      </c>
      <c r="L496" s="125" t="str">
        <f t="shared" ca="1" si="107"/>
        <v/>
      </c>
      <c r="M496" s="125" t="str">
        <f t="shared" ca="1" si="108"/>
        <v/>
      </c>
      <c r="N496" s="125" t="str">
        <f t="shared" ca="1" si="109"/>
        <v/>
      </c>
      <c r="O496" s="125" t="str">
        <f t="shared" ca="1" si="110"/>
        <v/>
      </c>
      <c r="P496" s="125" t="str">
        <f t="shared" ca="1" si="111"/>
        <v/>
      </c>
      <c r="Q496" s="125" t="str">
        <f t="shared" ca="1" si="112"/>
        <v/>
      </c>
      <c r="R496" s="125" t="str">
        <f t="shared" ca="1" si="113"/>
        <v/>
      </c>
      <c r="S496" s="125" t="str">
        <f t="shared" ca="1" si="114"/>
        <v/>
      </c>
      <c r="T496" s="125" t="str">
        <f t="shared" ca="1" si="115"/>
        <v/>
      </c>
      <c r="U496" s="125" t="str">
        <f t="shared" ca="1" si="116"/>
        <v/>
      </c>
      <c r="V496" s="125" t="str">
        <f t="shared" ca="1" si="117"/>
        <v/>
      </c>
      <c r="W496" s="125" t="str">
        <f t="shared" ca="1" si="118"/>
        <v/>
      </c>
      <c r="X496" s="125" t="str">
        <f t="shared" ca="1" si="119"/>
        <v/>
      </c>
      <c r="Y496" s="125" t="str">
        <f t="shared" ca="1" si="120"/>
        <v/>
      </c>
      <c r="Z496" s="125" t="str">
        <f t="shared" ca="1" si="121"/>
        <v/>
      </c>
      <c r="AA496" s="125" t="str">
        <f t="shared" ca="1" si="122"/>
        <v/>
      </c>
      <c r="AB496" s="125" t="str">
        <f t="shared" ca="1" si="123"/>
        <v/>
      </c>
      <c r="AC496" s="125" t="str">
        <f t="shared" ca="1" si="124"/>
        <v/>
      </c>
      <c r="AD496" s="125" t="str">
        <f t="shared" ca="1" si="125"/>
        <v/>
      </c>
      <c r="AE496" s="125" t="str">
        <f t="shared" ca="1" si="126"/>
        <v/>
      </c>
      <c r="AF496" s="125" t="str">
        <f t="shared" ca="1" si="127"/>
        <v/>
      </c>
      <c r="AG496" s="125" t="str">
        <f t="shared" ca="1" si="128"/>
        <v/>
      </c>
      <c r="AH496" s="125" t="str">
        <f t="shared" ca="1" si="129"/>
        <v/>
      </c>
      <c r="AI496" s="125" t="str">
        <f t="shared" ca="1" si="130"/>
        <v/>
      </c>
      <c r="AJ496" s="125" t="str">
        <f t="shared" ca="1" si="131"/>
        <v/>
      </c>
      <c r="AK496" s="125" t="str">
        <f t="shared" ca="1" si="132"/>
        <v/>
      </c>
      <c r="AL496" s="125" t="str">
        <f t="shared" ca="1" si="133"/>
        <v/>
      </c>
      <c r="AM496" s="124" t="str">
        <f t="shared" ca="1" si="134"/>
        <v/>
      </c>
      <c r="AN496" s="124" t="str">
        <f t="shared" ca="1" si="134"/>
        <v/>
      </c>
      <c r="AO496" s="124" t="str">
        <f t="shared" ca="1" si="134"/>
        <v/>
      </c>
      <c r="AP496" s="124" t="str">
        <f t="shared" ca="1" si="134"/>
        <v/>
      </c>
      <c r="AQ496" s="124" t="str">
        <f t="shared" ca="1" si="134"/>
        <v/>
      </c>
      <c r="AR496" s="124" t="str">
        <f t="shared" ca="1" si="134"/>
        <v/>
      </c>
      <c r="AS496" s="124" t="str">
        <f t="shared" ca="1" si="134"/>
        <v/>
      </c>
      <c r="AT496" s="124" t="str">
        <f t="shared" ca="1" si="134"/>
        <v/>
      </c>
      <c r="AU496" s="124" t="str">
        <f t="shared" ca="1" si="134"/>
        <v/>
      </c>
      <c r="AV496" s="124" t="str">
        <f t="shared" ca="1" si="134"/>
        <v/>
      </c>
      <c r="AW496" s="124" t="str">
        <f t="shared" ca="1" si="134"/>
        <v/>
      </c>
      <c r="AX496" s="124" t="str">
        <f t="shared" ca="1" si="134"/>
        <v/>
      </c>
      <c r="AY496" s="124" t="str">
        <f t="shared" ca="1" si="134"/>
        <v/>
      </c>
      <c r="AZ496" s="124" t="str">
        <f t="shared" ca="1" si="134"/>
        <v/>
      </c>
      <c r="BA496" s="124" t="str">
        <f t="shared" ca="1" si="134"/>
        <v/>
      </c>
      <c r="BB496" s="124" t="str">
        <f t="shared" ca="1" si="134"/>
        <v/>
      </c>
      <c r="BC496" s="124" t="str">
        <f t="shared" ca="1" si="96"/>
        <v/>
      </c>
      <c r="BD496" s="124" t="str">
        <f t="shared" ca="1" si="96"/>
        <v/>
      </c>
      <c r="BE496" s="124" t="str">
        <f t="shared" ca="1" si="96"/>
        <v/>
      </c>
      <c r="BF496" s="124" t="str">
        <f t="shared" ca="1" si="96"/>
        <v/>
      </c>
      <c r="BG496" s="124" t="str">
        <f t="shared" ca="1" si="96"/>
        <v/>
      </c>
      <c r="BH496" s="124" t="str">
        <f t="shared" ca="1" si="96"/>
        <v/>
      </c>
      <c r="BI496" s="124" t="str">
        <f t="shared" ca="1" si="96"/>
        <v/>
      </c>
      <c r="BJ496" s="124" t="str">
        <f t="shared" ca="1" si="96"/>
        <v/>
      </c>
      <c r="BK496" s="124" t="str">
        <f t="shared" ca="1" si="96"/>
        <v/>
      </c>
      <c r="BL496" s="124" t="str">
        <f t="shared" ca="1" si="96"/>
        <v/>
      </c>
      <c r="BM496" s="124" t="str">
        <f t="shared" ca="1" si="96"/>
        <v/>
      </c>
      <c r="BN496" s="124" t="str">
        <f t="shared" ca="1" si="96"/>
        <v/>
      </c>
      <c r="BO496" s="124" t="str">
        <f t="shared" ca="1" si="96"/>
        <v/>
      </c>
      <c r="BP496" s="124" t="str">
        <f t="shared" ca="1" si="96"/>
        <v/>
      </c>
      <c r="BQ496" s="124" t="str">
        <f t="shared" ca="1" si="96"/>
        <v/>
      </c>
      <c r="BR496" s="124" t="str">
        <f t="shared" ca="1" si="96"/>
        <v/>
      </c>
      <c r="BS496" s="124" t="str">
        <f t="shared" ca="1" si="135"/>
        <v/>
      </c>
      <c r="BT496" s="124" t="str">
        <f t="shared" ca="1" si="135"/>
        <v/>
      </c>
      <c r="BU496" s="124" t="str">
        <f t="shared" ca="1" si="97"/>
        <v/>
      </c>
    </row>
    <row r="497" spans="1:73" x14ac:dyDescent="0.15">
      <c r="A497">
        <v>77</v>
      </c>
      <c r="B497" s="124" t="str">
        <f t="shared" ca="1" si="98"/>
        <v/>
      </c>
      <c r="C497" s="123" t="str">
        <f ca="1">IF(A497&lt;=①簡易状況入力!$AC$5,INDIRECT("A"&amp;VLOOKUP($A497,①簡易状況入力!$Y$5:$AB$104,4,FALSE)),"")</f>
        <v/>
      </c>
      <c r="D497" s="125" t="str">
        <f t="shared" ca="1" si="99"/>
        <v/>
      </c>
      <c r="E497" s="125" t="str">
        <f t="shared" ca="1" si="100"/>
        <v/>
      </c>
      <c r="F497" s="125" t="str">
        <f t="shared" ca="1" si="101"/>
        <v/>
      </c>
      <c r="G497" s="125" t="str">
        <f t="shared" ca="1" si="102"/>
        <v/>
      </c>
      <c r="H497" s="125" t="str">
        <f t="shared" ca="1" si="103"/>
        <v/>
      </c>
      <c r="I497" s="125" t="str">
        <f t="shared" ca="1" si="104"/>
        <v/>
      </c>
      <c r="J497" s="125" t="str">
        <f t="shared" ca="1" si="105"/>
        <v/>
      </c>
      <c r="K497" s="125" t="str">
        <f t="shared" ca="1" si="106"/>
        <v/>
      </c>
      <c r="L497" s="125" t="str">
        <f t="shared" ca="1" si="107"/>
        <v/>
      </c>
      <c r="M497" s="125" t="str">
        <f t="shared" ca="1" si="108"/>
        <v/>
      </c>
      <c r="N497" s="125" t="str">
        <f t="shared" ca="1" si="109"/>
        <v/>
      </c>
      <c r="O497" s="125" t="str">
        <f t="shared" ca="1" si="110"/>
        <v/>
      </c>
      <c r="P497" s="125" t="str">
        <f t="shared" ca="1" si="111"/>
        <v/>
      </c>
      <c r="Q497" s="125" t="str">
        <f t="shared" ca="1" si="112"/>
        <v/>
      </c>
      <c r="R497" s="125" t="str">
        <f t="shared" ca="1" si="113"/>
        <v/>
      </c>
      <c r="S497" s="125" t="str">
        <f t="shared" ca="1" si="114"/>
        <v/>
      </c>
      <c r="T497" s="125" t="str">
        <f t="shared" ca="1" si="115"/>
        <v/>
      </c>
      <c r="U497" s="125" t="str">
        <f t="shared" ca="1" si="116"/>
        <v/>
      </c>
      <c r="V497" s="125" t="str">
        <f t="shared" ca="1" si="117"/>
        <v/>
      </c>
      <c r="W497" s="125" t="str">
        <f t="shared" ca="1" si="118"/>
        <v/>
      </c>
      <c r="X497" s="125" t="str">
        <f t="shared" ca="1" si="119"/>
        <v/>
      </c>
      <c r="Y497" s="125" t="str">
        <f t="shared" ca="1" si="120"/>
        <v/>
      </c>
      <c r="Z497" s="125" t="str">
        <f t="shared" ca="1" si="121"/>
        <v/>
      </c>
      <c r="AA497" s="125" t="str">
        <f t="shared" ca="1" si="122"/>
        <v/>
      </c>
      <c r="AB497" s="125" t="str">
        <f t="shared" ca="1" si="123"/>
        <v/>
      </c>
      <c r="AC497" s="125" t="str">
        <f t="shared" ca="1" si="124"/>
        <v/>
      </c>
      <c r="AD497" s="125" t="str">
        <f t="shared" ca="1" si="125"/>
        <v/>
      </c>
      <c r="AE497" s="125" t="str">
        <f t="shared" ca="1" si="126"/>
        <v/>
      </c>
      <c r="AF497" s="125" t="str">
        <f t="shared" ca="1" si="127"/>
        <v/>
      </c>
      <c r="AG497" s="125" t="str">
        <f t="shared" ca="1" si="128"/>
        <v/>
      </c>
      <c r="AH497" s="125" t="str">
        <f t="shared" ca="1" si="129"/>
        <v/>
      </c>
      <c r="AI497" s="125" t="str">
        <f t="shared" ca="1" si="130"/>
        <v/>
      </c>
      <c r="AJ497" s="125" t="str">
        <f t="shared" ca="1" si="131"/>
        <v/>
      </c>
      <c r="AK497" s="125" t="str">
        <f t="shared" ca="1" si="132"/>
        <v/>
      </c>
      <c r="AL497" s="125" t="str">
        <f t="shared" ca="1" si="133"/>
        <v/>
      </c>
      <c r="AM497" s="124" t="str">
        <f t="shared" ca="1" si="134"/>
        <v/>
      </c>
      <c r="AN497" s="124" t="str">
        <f t="shared" ca="1" si="134"/>
        <v/>
      </c>
      <c r="AO497" s="124" t="str">
        <f t="shared" ca="1" si="134"/>
        <v/>
      </c>
      <c r="AP497" s="124" t="str">
        <f t="shared" ca="1" si="134"/>
        <v/>
      </c>
      <c r="AQ497" s="124" t="str">
        <f t="shared" ca="1" si="134"/>
        <v/>
      </c>
      <c r="AR497" s="124" t="str">
        <f t="shared" ca="1" si="134"/>
        <v/>
      </c>
      <c r="AS497" s="124" t="str">
        <f t="shared" ca="1" si="134"/>
        <v/>
      </c>
      <c r="AT497" s="124" t="str">
        <f t="shared" ca="1" si="134"/>
        <v/>
      </c>
      <c r="AU497" s="124" t="str">
        <f t="shared" ca="1" si="134"/>
        <v/>
      </c>
      <c r="AV497" s="124" t="str">
        <f t="shared" ca="1" si="134"/>
        <v/>
      </c>
      <c r="AW497" s="124" t="str">
        <f t="shared" ca="1" si="134"/>
        <v/>
      </c>
      <c r="AX497" s="124" t="str">
        <f t="shared" ca="1" si="134"/>
        <v/>
      </c>
      <c r="AY497" s="124" t="str">
        <f t="shared" ca="1" si="134"/>
        <v/>
      </c>
      <c r="AZ497" s="124" t="str">
        <f t="shared" ca="1" si="134"/>
        <v/>
      </c>
      <c r="BA497" s="124" t="str">
        <f t="shared" ca="1" si="134"/>
        <v/>
      </c>
      <c r="BB497" s="124" t="str">
        <f t="shared" ca="1" si="134"/>
        <v/>
      </c>
      <c r="BC497" s="124" t="str">
        <f t="shared" ca="1" si="96"/>
        <v/>
      </c>
      <c r="BD497" s="124" t="str">
        <f t="shared" ca="1" si="96"/>
        <v/>
      </c>
      <c r="BE497" s="124" t="str">
        <f t="shared" ca="1" si="96"/>
        <v/>
      </c>
      <c r="BF497" s="124" t="str">
        <f t="shared" ca="1" si="96"/>
        <v/>
      </c>
      <c r="BG497" s="124" t="str">
        <f t="shared" ca="1" si="96"/>
        <v/>
      </c>
      <c r="BH497" s="124" t="str">
        <f t="shared" ca="1" si="96"/>
        <v/>
      </c>
      <c r="BI497" s="124" t="str">
        <f t="shared" ca="1" si="96"/>
        <v/>
      </c>
      <c r="BJ497" s="124" t="str">
        <f t="shared" ca="1" si="96"/>
        <v/>
      </c>
      <c r="BK497" s="124" t="str">
        <f t="shared" ca="1" si="96"/>
        <v/>
      </c>
      <c r="BL497" s="124" t="str">
        <f t="shared" ca="1" si="96"/>
        <v/>
      </c>
      <c r="BM497" s="124" t="str">
        <f t="shared" ca="1" si="96"/>
        <v/>
      </c>
      <c r="BN497" s="124" t="str">
        <f t="shared" ca="1" si="96"/>
        <v/>
      </c>
      <c r="BO497" s="124" t="str">
        <f t="shared" ca="1" si="96"/>
        <v/>
      </c>
      <c r="BP497" s="124" t="str">
        <f t="shared" ca="1" si="96"/>
        <v/>
      </c>
      <c r="BQ497" s="124" t="str">
        <f t="shared" ca="1" si="96"/>
        <v/>
      </c>
      <c r="BR497" s="124" t="str">
        <f t="shared" ca="1" si="96"/>
        <v/>
      </c>
      <c r="BS497" s="124" t="str">
        <f t="shared" ca="1" si="135"/>
        <v/>
      </c>
      <c r="BT497" s="124" t="str">
        <f t="shared" ca="1" si="135"/>
        <v/>
      </c>
      <c r="BU497" s="124" t="str">
        <f t="shared" ca="1" si="97"/>
        <v/>
      </c>
    </row>
    <row r="498" spans="1:73" x14ac:dyDescent="0.15">
      <c r="A498">
        <v>78</v>
      </c>
      <c r="B498" s="124" t="str">
        <f t="shared" ca="1" si="98"/>
        <v/>
      </c>
      <c r="C498" s="123" t="str">
        <f ca="1">IF(A498&lt;=①簡易状況入力!$AC$5,INDIRECT("A"&amp;VLOOKUP($A498,①簡易状況入力!$Y$5:$AB$104,4,FALSE)),"")</f>
        <v/>
      </c>
      <c r="D498" s="125" t="str">
        <f t="shared" ca="1" si="99"/>
        <v/>
      </c>
      <c r="E498" s="125" t="str">
        <f t="shared" ca="1" si="100"/>
        <v/>
      </c>
      <c r="F498" s="125" t="str">
        <f t="shared" ca="1" si="101"/>
        <v/>
      </c>
      <c r="G498" s="125" t="str">
        <f t="shared" ca="1" si="102"/>
        <v/>
      </c>
      <c r="H498" s="125" t="str">
        <f t="shared" ca="1" si="103"/>
        <v/>
      </c>
      <c r="I498" s="125" t="str">
        <f t="shared" ca="1" si="104"/>
        <v/>
      </c>
      <c r="J498" s="125" t="str">
        <f t="shared" ca="1" si="105"/>
        <v/>
      </c>
      <c r="K498" s="125" t="str">
        <f t="shared" ca="1" si="106"/>
        <v/>
      </c>
      <c r="L498" s="125" t="str">
        <f t="shared" ca="1" si="107"/>
        <v/>
      </c>
      <c r="M498" s="125" t="str">
        <f t="shared" ca="1" si="108"/>
        <v/>
      </c>
      <c r="N498" s="125" t="str">
        <f t="shared" ca="1" si="109"/>
        <v/>
      </c>
      <c r="O498" s="125" t="str">
        <f t="shared" ca="1" si="110"/>
        <v/>
      </c>
      <c r="P498" s="125" t="str">
        <f t="shared" ca="1" si="111"/>
        <v/>
      </c>
      <c r="Q498" s="125" t="str">
        <f t="shared" ca="1" si="112"/>
        <v/>
      </c>
      <c r="R498" s="125" t="str">
        <f t="shared" ca="1" si="113"/>
        <v/>
      </c>
      <c r="S498" s="125" t="str">
        <f t="shared" ca="1" si="114"/>
        <v/>
      </c>
      <c r="T498" s="125" t="str">
        <f t="shared" ca="1" si="115"/>
        <v/>
      </c>
      <c r="U498" s="125" t="str">
        <f t="shared" ca="1" si="116"/>
        <v/>
      </c>
      <c r="V498" s="125" t="str">
        <f t="shared" ca="1" si="117"/>
        <v/>
      </c>
      <c r="W498" s="125" t="str">
        <f t="shared" ca="1" si="118"/>
        <v/>
      </c>
      <c r="X498" s="125" t="str">
        <f t="shared" ca="1" si="119"/>
        <v/>
      </c>
      <c r="Y498" s="125" t="str">
        <f t="shared" ca="1" si="120"/>
        <v/>
      </c>
      <c r="Z498" s="125" t="str">
        <f t="shared" ca="1" si="121"/>
        <v/>
      </c>
      <c r="AA498" s="125" t="str">
        <f t="shared" ca="1" si="122"/>
        <v/>
      </c>
      <c r="AB498" s="125" t="str">
        <f t="shared" ca="1" si="123"/>
        <v/>
      </c>
      <c r="AC498" s="125" t="str">
        <f t="shared" ca="1" si="124"/>
        <v/>
      </c>
      <c r="AD498" s="125" t="str">
        <f t="shared" ca="1" si="125"/>
        <v/>
      </c>
      <c r="AE498" s="125" t="str">
        <f t="shared" ca="1" si="126"/>
        <v/>
      </c>
      <c r="AF498" s="125" t="str">
        <f t="shared" ca="1" si="127"/>
        <v/>
      </c>
      <c r="AG498" s="125" t="str">
        <f t="shared" ca="1" si="128"/>
        <v/>
      </c>
      <c r="AH498" s="125" t="str">
        <f t="shared" ca="1" si="129"/>
        <v/>
      </c>
      <c r="AI498" s="125" t="str">
        <f t="shared" ca="1" si="130"/>
        <v/>
      </c>
      <c r="AJ498" s="125" t="str">
        <f t="shared" ca="1" si="131"/>
        <v/>
      </c>
      <c r="AK498" s="125" t="str">
        <f t="shared" ca="1" si="132"/>
        <v/>
      </c>
      <c r="AL498" s="125" t="str">
        <f t="shared" ca="1" si="133"/>
        <v/>
      </c>
      <c r="AM498" s="124" t="str">
        <f t="shared" ca="1" si="134"/>
        <v/>
      </c>
      <c r="AN498" s="124" t="str">
        <f t="shared" ca="1" si="134"/>
        <v/>
      </c>
      <c r="AO498" s="124" t="str">
        <f t="shared" ca="1" si="134"/>
        <v/>
      </c>
      <c r="AP498" s="124" t="str">
        <f t="shared" ca="1" si="134"/>
        <v/>
      </c>
      <c r="AQ498" s="124" t="str">
        <f t="shared" ca="1" si="134"/>
        <v/>
      </c>
      <c r="AR498" s="124" t="str">
        <f t="shared" ca="1" si="134"/>
        <v/>
      </c>
      <c r="AS498" s="124" t="str">
        <f t="shared" ca="1" si="134"/>
        <v/>
      </c>
      <c r="AT498" s="124" t="str">
        <f t="shared" ca="1" si="134"/>
        <v/>
      </c>
      <c r="AU498" s="124" t="str">
        <f t="shared" ca="1" si="134"/>
        <v/>
      </c>
      <c r="AV498" s="124" t="str">
        <f t="shared" ca="1" si="134"/>
        <v/>
      </c>
      <c r="AW498" s="124" t="str">
        <f t="shared" ca="1" si="134"/>
        <v/>
      </c>
      <c r="AX498" s="124" t="str">
        <f t="shared" ca="1" si="134"/>
        <v/>
      </c>
      <c r="AY498" s="124" t="str">
        <f t="shared" ca="1" si="134"/>
        <v/>
      </c>
      <c r="AZ498" s="124" t="str">
        <f t="shared" ca="1" si="134"/>
        <v/>
      </c>
      <c r="BA498" s="124" t="str">
        <f t="shared" ca="1" si="134"/>
        <v/>
      </c>
      <c r="BB498" s="124" t="str">
        <f t="shared" ca="1" si="134"/>
        <v/>
      </c>
      <c r="BC498" s="124" t="str">
        <f t="shared" ca="1" si="96"/>
        <v/>
      </c>
      <c r="BD498" s="124" t="str">
        <f t="shared" ca="1" si="96"/>
        <v/>
      </c>
      <c r="BE498" s="124" t="str">
        <f t="shared" ca="1" si="96"/>
        <v/>
      </c>
      <c r="BF498" s="124" t="str">
        <f t="shared" ca="1" si="96"/>
        <v/>
      </c>
      <c r="BG498" s="124" t="str">
        <f t="shared" ca="1" si="96"/>
        <v/>
      </c>
      <c r="BH498" s="124" t="str">
        <f t="shared" ca="1" si="96"/>
        <v/>
      </c>
      <c r="BI498" s="124" t="str">
        <f t="shared" ca="1" si="96"/>
        <v/>
      </c>
      <c r="BJ498" s="124" t="str">
        <f t="shared" ca="1" si="96"/>
        <v/>
      </c>
      <c r="BK498" s="124" t="str">
        <f t="shared" ca="1" si="96"/>
        <v/>
      </c>
      <c r="BL498" s="124" t="str">
        <f t="shared" ca="1" si="96"/>
        <v/>
      </c>
      <c r="BM498" s="124" t="str">
        <f t="shared" ca="1" si="96"/>
        <v/>
      </c>
      <c r="BN498" s="124" t="str">
        <f t="shared" ca="1" si="96"/>
        <v/>
      </c>
      <c r="BO498" s="124" t="str">
        <f t="shared" ca="1" si="96"/>
        <v/>
      </c>
      <c r="BP498" s="124" t="str">
        <f t="shared" ca="1" si="96"/>
        <v/>
      </c>
      <c r="BQ498" s="124" t="str">
        <f t="shared" ca="1" si="96"/>
        <v/>
      </c>
      <c r="BR498" s="124" t="str">
        <f t="shared" ca="1" si="96"/>
        <v/>
      </c>
      <c r="BS498" s="124" t="str">
        <f t="shared" ca="1" si="135"/>
        <v/>
      </c>
      <c r="BT498" s="124" t="str">
        <f t="shared" ca="1" si="135"/>
        <v/>
      </c>
      <c r="BU498" s="124" t="str">
        <f t="shared" ca="1" si="97"/>
        <v/>
      </c>
    </row>
    <row r="499" spans="1:73" x14ac:dyDescent="0.15">
      <c r="A499">
        <v>79</v>
      </c>
      <c r="B499" s="124" t="str">
        <f t="shared" ca="1" si="98"/>
        <v/>
      </c>
      <c r="C499" s="123" t="str">
        <f ca="1">IF(A499&lt;=①簡易状況入力!$AC$5,INDIRECT("A"&amp;VLOOKUP($A499,①簡易状況入力!$Y$5:$AB$104,4,FALSE)),"")</f>
        <v/>
      </c>
      <c r="D499" s="125" t="str">
        <f t="shared" ca="1" si="99"/>
        <v/>
      </c>
      <c r="E499" s="125" t="str">
        <f t="shared" ca="1" si="100"/>
        <v/>
      </c>
      <c r="F499" s="125" t="str">
        <f t="shared" ca="1" si="101"/>
        <v/>
      </c>
      <c r="G499" s="125" t="str">
        <f t="shared" ca="1" si="102"/>
        <v/>
      </c>
      <c r="H499" s="125" t="str">
        <f t="shared" ca="1" si="103"/>
        <v/>
      </c>
      <c r="I499" s="125" t="str">
        <f t="shared" ca="1" si="104"/>
        <v/>
      </c>
      <c r="J499" s="125" t="str">
        <f t="shared" ca="1" si="105"/>
        <v/>
      </c>
      <c r="K499" s="125" t="str">
        <f t="shared" ca="1" si="106"/>
        <v/>
      </c>
      <c r="L499" s="125" t="str">
        <f t="shared" ca="1" si="107"/>
        <v/>
      </c>
      <c r="M499" s="125" t="str">
        <f t="shared" ca="1" si="108"/>
        <v/>
      </c>
      <c r="N499" s="125" t="str">
        <f t="shared" ca="1" si="109"/>
        <v/>
      </c>
      <c r="O499" s="125" t="str">
        <f t="shared" ca="1" si="110"/>
        <v/>
      </c>
      <c r="P499" s="125" t="str">
        <f t="shared" ca="1" si="111"/>
        <v/>
      </c>
      <c r="Q499" s="125" t="str">
        <f t="shared" ca="1" si="112"/>
        <v/>
      </c>
      <c r="R499" s="125" t="str">
        <f t="shared" ca="1" si="113"/>
        <v/>
      </c>
      <c r="S499" s="125" t="str">
        <f t="shared" ca="1" si="114"/>
        <v/>
      </c>
      <c r="T499" s="125" t="str">
        <f t="shared" ca="1" si="115"/>
        <v/>
      </c>
      <c r="U499" s="125" t="str">
        <f t="shared" ca="1" si="116"/>
        <v/>
      </c>
      <c r="V499" s="125" t="str">
        <f t="shared" ca="1" si="117"/>
        <v/>
      </c>
      <c r="W499" s="125" t="str">
        <f t="shared" ca="1" si="118"/>
        <v/>
      </c>
      <c r="X499" s="125" t="str">
        <f t="shared" ca="1" si="119"/>
        <v/>
      </c>
      <c r="Y499" s="125" t="str">
        <f t="shared" ca="1" si="120"/>
        <v/>
      </c>
      <c r="Z499" s="125" t="str">
        <f t="shared" ca="1" si="121"/>
        <v/>
      </c>
      <c r="AA499" s="125" t="str">
        <f t="shared" ca="1" si="122"/>
        <v/>
      </c>
      <c r="AB499" s="125" t="str">
        <f t="shared" ca="1" si="123"/>
        <v/>
      </c>
      <c r="AC499" s="125" t="str">
        <f t="shared" ca="1" si="124"/>
        <v/>
      </c>
      <c r="AD499" s="125" t="str">
        <f t="shared" ca="1" si="125"/>
        <v/>
      </c>
      <c r="AE499" s="125" t="str">
        <f t="shared" ca="1" si="126"/>
        <v/>
      </c>
      <c r="AF499" s="125" t="str">
        <f t="shared" ca="1" si="127"/>
        <v/>
      </c>
      <c r="AG499" s="125" t="str">
        <f t="shared" ca="1" si="128"/>
        <v/>
      </c>
      <c r="AH499" s="125" t="str">
        <f t="shared" ca="1" si="129"/>
        <v/>
      </c>
      <c r="AI499" s="125" t="str">
        <f t="shared" ca="1" si="130"/>
        <v/>
      </c>
      <c r="AJ499" s="125" t="str">
        <f t="shared" ca="1" si="131"/>
        <v/>
      </c>
      <c r="AK499" s="125" t="str">
        <f t="shared" ca="1" si="132"/>
        <v/>
      </c>
      <c r="AL499" s="125" t="str">
        <f t="shared" ca="1" si="133"/>
        <v/>
      </c>
      <c r="AM499" s="124" t="str">
        <f t="shared" ca="1" si="134"/>
        <v/>
      </c>
      <c r="AN499" s="124" t="str">
        <f t="shared" ca="1" si="134"/>
        <v/>
      </c>
      <c r="AO499" s="124" t="str">
        <f t="shared" ca="1" si="134"/>
        <v/>
      </c>
      <c r="AP499" s="124" t="str">
        <f t="shared" ca="1" si="134"/>
        <v/>
      </c>
      <c r="AQ499" s="124" t="str">
        <f t="shared" ca="1" si="134"/>
        <v/>
      </c>
      <c r="AR499" s="124" t="str">
        <f t="shared" ca="1" si="134"/>
        <v/>
      </c>
      <c r="AS499" s="124" t="str">
        <f t="shared" ca="1" si="134"/>
        <v/>
      </c>
      <c r="AT499" s="124" t="str">
        <f t="shared" ca="1" si="134"/>
        <v/>
      </c>
      <c r="AU499" s="124" t="str">
        <f t="shared" ca="1" si="134"/>
        <v/>
      </c>
      <c r="AV499" s="124" t="str">
        <f t="shared" ca="1" si="134"/>
        <v/>
      </c>
      <c r="AW499" s="124" t="str">
        <f t="shared" ca="1" si="134"/>
        <v/>
      </c>
      <c r="AX499" s="124" t="str">
        <f t="shared" ca="1" si="134"/>
        <v/>
      </c>
      <c r="AY499" s="124" t="str">
        <f t="shared" ca="1" si="134"/>
        <v/>
      </c>
      <c r="AZ499" s="124" t="str">
        <f t="shared" ca="1" si="134"/>
        <v/>
      </c>
      <c r="BA499" s="124" t="str">
        <f t="shared" ca="1" si="134"/>
        <v/>
      </c>
      <c r="BB499" s="124" t="str">
        <f t="shared" ca="1" si="134"/>
        <v/>
      </c>
      <c r="BC499" s="124" t="str">
        <f t="shared" ca="1" si="96"/>
        <v/>
      </c>
      <c r="BD499" s="124" t="str">
        <f t="shared" ca="1" si="96"/>
        <v/>
      </c>
      <c r="BE499" s="124" t="str">
        <f t="shared" ca="1" si="96"/>
        <v/>
      </c>
      <c r="BF499" s="124" t="str">
        <f t="shared" ca="1" si="96"/>
        <v/>
      </c>
      <c r="BG499" s="124" t="str">
        <f t="shared" ca="1" si="96"/>
        <v/>
      </c>
      <c r="BH499" s="124" t="str">
        <f t="shared" ca="1" si="96"/>
        <v/>
      </c>
      <c r="BI499" s="124" t="str">
        <f t="shared" ca="1" si="96"/>
        <v/>
      </c>
      <c r="BJ499" s="124" t="str">
        <f t="shared" ca="1" si="96"/>
        <v/>
      </c>
      <c r="BK499" s="124" t="str">
        <f t="shared" ca="1" si="96"/>
        <v/>
      </c>
      <c r="BL499" s="124" t="str">
        <f t="shared" ca="1" si="96"/>
        <v/>
      </c>
      <c r="BM499" s="124" t="str">
        <f t="shared" ca="1" si="96"/>
        <v/>
      </c>
      <c r="BN499" s="124" t="str">
        <f t="shared" ca="1" si="96"/>
        <v/>
      </c>
      <c r="BO499" s="124" t="str">
        <f t="shared" ca="1" si="96"/>
        <v/>
      </c>
      <c r="BP499" s="124" t="str">
        <f t="shared" ca="1" si="96"/>
        <v/>
      </c>
      <c r="BQ499" s="124" t="str">
        <f t="shared" ca="1" si="96"/>
        <v/>
      </c>
      <c r="BR499" s="124" t="str">
        <f t="shared" ca="1" si="96"/>
        <v/>
      </c>
      <c r="BS499" s="124" t="str">
        <f t="shared" ca="1" si="135"/>
        <v/>
      </c>
      <c r="BT499" s="124" t="str">
        <f t="shared" ca="1" si="135"/>
        <v/>
      </c>
      <c r="BU499" s="124" t="str">
        <f t="shared" ca="1" si="97"/>
        <v/>
      </c>
    </row>
    <row r="500" spans="1:73" x14ac:dyDescent="0.15">
      <c r="A500">
        <v>80</v>
      </c>
      <c r="B500" s="124" t="str">
        <f t="shared" ca="1" si="98"/>
        <v/>
      </c>
      <c r="C500" s="123" t="str">
        <f ca="1">IF(A500&lt;=①簡易状況入力!$AC$5,INDIRECT("A"&amp;VLOOKUP($A500,①簡易状況入力!$Y$5:$AB$104,4,FALSE)),"")</f>
        <v/>
      </c>
      <c r="D500" s="125" t="str">
        <f t="shared" ca="1" si="99"/>
        <v/>
      </c>
      <c r="E500" s="125" t="str">
        <f t="shared" ca="1" si="100"/>
        <v/>
      </c>
      <c r="F500" s="125" t="str">
        <f t="shared" ca="1" si="101"/>
        <v/>
      </c>
      <c r="G500" s="125" t="str">
        <f t="shared" ca="1" si="102"/>
        <v/>
      </c>
      <c r="H500" s="125" t="str">
        <f t="shared" ca="1" si="103"/>
        <v/>
      </c>
      <c r="I500" s="125" t="str">
        <f t="shared" ca="1" si="104"/>
        <v/>
      </c>
      <c r="J500" s="125" t="str">
        <f t="shared" ca="1" si="105"/>
        <v/>
      </c>
      <c r="K500" s="125" t="str">
        <f t="shared" ca="1" si="106"/>
        <v/>
      </c>
      <c r="L500" s="125" t="str">
        <f t="shared" ca="1" si="107"/>
        <v/>
      </c>
      <c r="M500" s="125" t="str">
        <f t="shared" ca="1" si="108"/>
        <v/>
      </c>
      <c r="N500" s="125" t="str">
        <f t="shared" ca="1" si="109"/>
        <v/>
      </c>
      <c r="O500" s="125" t="str">
        <f t="shared" ca="1" si="110"/>
        <v/>
      </c>
      <c r="P500" s="125" t="str">
        <f t="shared" ca="1" si="111"/>
        <v/>
      </c>
      <c r="Q500" s="125" t="str">
        <f t="shared" ca="1" si="112"/>
        <v/>
      </c>
      <c r="R500" s="125" t="str">
        <f t="shared" ca="1" si="113"/>
        <v/>
      </c>
      <c r="S500" s="125" t="str">
        <f t="shared" ca="1" si="114"/>
        <v/>
      </c>
      <c r="T500" s="125" t="str">
        <f t="shared" ca="1" si="115"/>
        <v/>
      </c>
      <c r="U500" s="125" t="str">
        <f t="shared" ca="1" si="116"/>
        <v/>
      </c>
      <c r="V500" s="125" t="str">
        <f t="shared" ca="1" si="117"/>
        <v/>
      </c>
      <c r="W500" s="125" t="str">
        <f t="shared" ca="1" si="118"/>
        <v/>
      </c>
      <c r="X500" s="125" t="str">
        <f t="shared" ca="1" si="119"/>
        <v/>
      </c>
      <c r="Y500" s="125" t="str">
        <f t="shared" ca="1" si="120"/>
        <v/>
      </c>
      <c r="Z500" s="125" t="str">
        <f t="shared" ca="1" si="121"/>
        <v/>
      </c>
      <c r="AA500" s="125" t="str">
        <f t="shared" ca="1" si="122"/>
        <v/>
      </c>
      <c r="AB500" s="125" t="str">
        <f t="shared" ca="1" si="123"/>
        <v/>
      </c>
      <c r="AC500" s="125" t="str">
        <f t="shared" ca="1" si="124"/>
        <v/>
      </c>
      <c r="AD500" s="125" t="str">
        <f t="shared" ca="1" si="125"/>
        <v/>
      </c>
      <c r="AE500" s="125" t="str">
        <f t="shared" ca="1" si="126"/>
        <v/>
      </c>
      <c r="AF500" s="125" t="str">
        <f t="shared" ca="1" si="127"/>
        <v/>
      </c>
      <c r="AG500" s="125" t="str">
        <f t="shared" ca="1" si="128"/>
        <v/>
      </c>
      <c r="AH500" s="125" t="str">
        <f t="shared" ca="1" si="129"/>
        <v/>
      </c>
      <c r="AI500" s="125" t="str">
        <f t="shared" ca="1" si="130"/>
        <v/>
      </c>
      <c r="AJ500" s="125" t="str">
        <f t="shared" ca="1" si="131"/>
        <v/>
      </c>
      <c r="AK500" s="125" t="str">
        <f t="shared" ca="1" si="132"/>
        <v/>
      </c>
      <c r="AL500" s="125" t="str">
        <f t="shared" ca="1" si="133"/>
        <v/>
      </c>
      <c r="AM500" s="124" t="str">
        <f t="shared" ca="1" si="134"/>
        <v/>
      </c>
      <c r="AN500" s="124" t="str">
        <f t="shared" ca="1" si="134"/>
        <v/>
      </c>
      <c r="AO500" s="124" t="str">
        <f t="shared" ca="1" si="134"/>
        <v/>
      </c>
      <c r="AP500" s="124" t="str">
        <f t="shared" ca="1" si="134"/>
        <v/>
      </c>
      <c r="AQ500" s="124" t="str">
        <f t="shared" ca="1" si="134"/>
        <v/>
      </c>
      <c r="AR500" s="124" t="str">
        <f t="shared" ca="1" si="134"/>
        <v/>
      </c>
      <c r="AS500" s="124" t="str">
        <f t="shared" ca="1" si="134"/>
        <v/>
      </c>
      <c r="AT500" s="124" t="str">
        <f t="shared" ca="1" si="134"/>
        <v/>
      </c>
      <c r="AU500" s="124" t="str">
        <f t="shared" ca="1" si="134"/>
        <v/>
      </c>
      <c r="AV500" s="124" t="str">
        <f t="shared" ca="1" si="134"/>
        <v/>
      </c>
      <c r="AW500" s="124" t="str">
        <f t="shared" ca="1" si="134"/>
        <v/>
      </c>
      <c r="AX500" s="124" t="str">
        <f t="shared" ca="1" si="134"/>
        <v/>
      </c>
      <c r="AY500" s="124" t="str">
        <f t="shared" ca="1" si="134"/>
        <v/>
      </c>
      <c r="AZ500" s="124" t="str">
        <f t="shared" ca="1" si="134"/>
        <v/>
      </c>
      <c r="BA500" s="124" t="str">
        <f t="shared" ca="1" si="134"/>
        <v/>
      </c>
      <c r="BB500" s="124" t="str">
        <f t="shared" ca="1" si="134"/>
        <v/>
      </c>
      <c r="BC500" s="124" t="str">
        <f t="shared" ca="1" si="96"/>
        <v/>
      </c>
      <c r="BD500" s="124" t="str">
        <f t="shared" ca="1" si="96"/>
        <v/>
      </c>
      <c r="BE500" s="124" t="str">
        <f t="shared" ca="1" si="96"/>
        <v/>
      </c>
      <c r="BF500" s="124" t="str">
        <f t="shared" ca="1" si="96"/>
        <v/>
      </c>
      <c r="BG500" s="124" t="str">
        <f t="shared" ca="1" si="96"/>
        <v/>
      </c>
      <c r="BH500" s="124" t="str">
        <f t="shared" ca="1" si="96"/>
        <v/>
      </c>
      <c r="BI500" s="124" t="str">
        <f t="shared" ca="1" si="96"/>
        <v/>
      </c>
      <c r="BJ500" s="124" t="str">
        <f t="shared" ca="1" si="96"/>
        <v/>
      </c>
      <c r="BK500" s="124" t="str">
        <f t="shared" ca="1" si="96"/>
        <v/>
      </c>
      <c r="BL500" s="124" t="str">
        <f t="shared" ca="1" si="96"/>
        <v/>
      </c>
      <c r="BM500" s="124" t="str">
        <f t="shared" ca="1" si="96"/>
        <v/>
      </c>
      <c r="BN500" s="124" t="str">
        <f t="shared" ca="1" si="96"/>
        <v/>
      </c>
      <c r="BO500" s="124" t="str">
        <f t="shared" ca="1" si="96"/>
        <v/>
      </c>
      <c r="BP500" s="124" t="str">
        <f t="shared" ca="1" si="96"/>
        <v/>
      </c>
      <c r="BQ500" s="124" t="str">
        <f t="shared" ca="1" si="96"/>
        <v/>
      </c>
      <c r="BR500" s="124" t="str">
        <f t="shared" ca="1" si="96"/>
        <v/>
      </c>
      <c r="BS500" s="124" t="str">
        <f t="shared" ca="1" si="135"/>
        <v/>
      </c>
      <c r="BT500" s="124" t="str">
        <f t="shared" ca="1" si="135"/>
        <v/>
      </c>
      <c r="BU500" s="124" t="str">
        <f t="shared" ca="1" si="97"/>
        <v/>
      </c>
    </row>
    <row r="501" spans="1:73" x14ac:dyDescent="0.15">
      <c r="A501">
        <v>81</v>
      </c>
      <c r="B501" s="124" t="str">
        <f t="shared" ca="1" si="98"/>
        <v/>
      </c>
      <c r="C501" s="123" t="str">
        <f ca="1">IF(A501&lt;=①簡易状況入力!$AC$5,INDIRECT("A"&amp;VLOOKUP($A501,①簡易状況入力!$Y$5:$AB$104,4,FALSE)),"")</f>
        <v/>
      </c>
      <c r="D501" s="125" t="str">
        <f t="shared" ca="1" si="99"/>
        <v/>
      </c>
      <c r="E501" s="125" t="str">
        <f t="shared" ca="1" si="100"/>
        <v/>
      </c>
      <c r="F501" s="125" t="str">
        <f t="shared" ca="1" si="101"/>
        <v/>
      </c>
      <c r="G501" s="125" t="str">
        <f t="shared" ca="1" si="102"/>
        <v/>
      </c>
      <c r="H501" s="125" t="str">
        <f t="shared" ca="1" si="103"/>
        <v/>
      </c>
      <c r="I501" s="125" t="str">
        <f t="shared" ca="1" si="104"/>
        <v/>
      </c>
      <c r="J501" s="125" t="str">
        <f t="shared" ca="1" si="105"/>
        <v/>
      </c>
      <c r="K501" s="125" t="str">
        <f t="shared" ca="1" si="106"/>
        <v/>
      </c>
      <c r="L501" s="125" t="str">
        <f t="shared" ca="1" si="107"/>
        <v/>
      </c>
      <c r="M501" s="125" t="str">
        <f t="shared" ca="1" si="108"/>
        <v/>
      </c>
      <c r="N501" s="125" t="str">
        <f t="shared" ca="1" si="109"/>
        <v/>
      </c>
      <c r="O501" s="125" t="str">
        <f t="shared" ca="1" si="110"/>
        <v/>
      </c>
      <c r="P501" s="125" t="str">
        <f t="shared" ca="1" si="111"/>
        <v/>
      </c>
      <c r="Q501" s="125" t="str">
        <f t="shared" ca="1" si="112"/>
        <v/>
      </c>
      <c r="R501" s="125" t="str">
        <f t="shared" ca="1" si="113"/>
        <v/>
      </c>
      <c r="S501" s="125" t="str">
        <f t="shared" ca="1" si="114"/>
        <v/>
      </c>
      <c r="T501" s="125" t="str">
        <f t="shared" ca="1" si="115"/>
        <v/>
      </c>
      <c r="U501" s="125" t="str">
        <f t="shared" ca="1" si="116"/>
        <v/>
      </c>
      <c r="V501" s="125" t="str">
        <f t="shared" ca="1" si="117"/>
        <v/>
      </c>
      <c r="W501" s="125" t="str">
        <f t="shared" ca="1" si="118"/>
        <v/>
      </c>
      <c r="X501" s="125" t="str">
        <f t="shared" ca="1" si="119"/>
        <v/>
      </c>
      <c r="Y501" s="125" t="str">
        <f t="shared" ca="1" si="120"/>
        <v/>
      </c>
      <c r="Z501" s="125" t="str">
        <f t="shared" ca="1" si="121"/>
        <v/>
      </c>
      <c r="AA501" s="125" t="str">
        <f t="shared" ca="1" si="122"/>
        <v/>
      </c>
      <c r="AB501" s="125" t="str">
        <f t="shared" ca="1" si="123"/>
        <v/>
      </c>
      <c r="AC501" s="125" t="str">
        <f t="shared" ca="1" si="124"/>
        <v/>
      </c>
      <c r="AD501" s="125" t="str">
        <f t="shared" ca="1" si="125"/>
        <v/>
      </c>
      <c r="AE501" s="125" t="str">
        <f t="shared" ca="1" si="126"/>
        <v/>
      </c>
      <c r="AF501" s="125" t="str">
        <f t="shared" ca="1" si="127"/>
        <v/>
      </c>
      <c r="AG501" s="125" t="str">
        <f t="shared" ca="1" si="128"/>
        <v/>
      </c>
      <c r="AH501" s="125" t="str">
        <f t="shared" ca="1" si="129"/>
        <v/>
      </c>
      <c r="AI501" s="125" t="str">
        <f t="shared" ca="1" si="130"/>
        <v/>
      </c>
      <c r="AJ501" s="125" t="str">
        <f t="shared" ca="1" si="131"/>
        <v/>
      </c>
      <c r="AK501" s="125" t="str">
        <f t="shared" ca="1" si="132"/>
        <v/>
      </c>
      <c r="AL501" s="125" t="str">
        <f t="shared" ca="1" si="133"/>
        <v/>
      </c>
      <c r="AM501" s="124" t="str">
        <f t="shared" ca="1" si="134"/>
        <v/>
      </c>
      <c r="AN501" s="124" t="str">
        <f t="shared" ca="1" si="134"/>
        <v/>
      </c>
      <c r="AO501" s="124" t="str">
        <f t="shared" ca="1" si="134"/>
        <v/>
      </c>
      <c r="AP501" s="124" t="str">
        <f t="shared" ca="1" si="134"/>
        <v/>
      </c>
      <c r="AQ501" s="124" t="str">
        <f t="shared" ca="1" si="134"/>
        <v/>
      </c>
      <c r="AR501" s="124" t="str">
        <f t="shared" ca="1" si="134"/>
        <v/>
      </c>
      <c r="AS501" s="124" t="str">
        <f t="shared" ca="1" si="134"/>
        <v/>
      </c>
      <c r="AT501" s="124" t="str">
        <f t="shared" ca="1" si="134"/>
        <v/>
      </c>
      <c r="AU501" s="124" t="str">
        <f t="shared" ca="1" si="134"/>
        <v/>
      </c>
      <c r="AV501" s="124" t="str">
        <f t="shared" ca="1" si="134"/>
        <v/>
      </c>
      <c r="AW501" s="124" t="str">
        <f t="shared" ca="1" si="134"/>
        <v/>
      </c>
      <c r="AX501" s="124" t="str">
        <f t="shared" ca="1" si="134"/>
        <v/>
      </c>
      <c r="AY501" s="124" t="str">
        <f t="shared" ca="1" si="134"/>
        <v/>
      </c>
      <c r="AZ501" s="124" t="str">
        <f t="shared" ca="1" si="134"/>
        <v/>
      </c>
      <c r="BA501" s="124" t="str">
        <f t="shared" ca="1" si="134"/>
        <v/>
      </c>
      <c r="BB501" s="124" t="str">
        <f t="shared" ca="1" si="134"/>
        <v/>
      </c>
      <c r="BC501" s="124" t="str">
        <f t="shared" ca="1" si="96"/>
        <v/>
      </c>
      <c r="BD501" s="124" t="str">
        <f t="shared" ca="1" si="96"/>
        <v/>
      </c>
      <c r="BE501" s="124" t="str">
        <f t="shared" ca="1" si="96"/>
        <v/>
      </c>
      <c r="BF501" s="124" t="str">
        <f t="shared" ca="1" si="96"/>
        <v/>
      </c>
      <c r="BG501" s="124" t="str">
        <f t="shared" ca="1" si="96"/>
        <v/>
      </c>
      <c r="BH501" s="124" t="str">
        <f t="shared" ca="1" si="96"/>
        <v/>
      </c>
      <c r="BI501" s="124" t="str">
        <f t="shared" ca="1" si="96"/>
        <v/>
      </c>
      <c r="BJ501" s="124" t="str">
        <f t="shared" ca="1" si="96"/>
        <v/>
      </c>
      <c r="BK501" s="124" t="str">
        <f t="shared" ca="1" si="96"/>
        <v/>
      </c>
      <c r="BL501" s="124" t="str">
        <f t="shared" ca="1" si="96"/>
        <v/>
      </c>
      <c r="BM501" s="124" t="str">
        <f t="shared" ca="1" si="96"/>
        <v/>
      </c>
      <c r="BN501" s="124" t="str">
        <f t="shared" ca="1" si="96"/>
        <v/>
      </c>
      <c r="BO501" s="124" t="str">
        <f t="shared" ca="1" si="96"/>
        <v/>
      </c>
      <c r="BP501" s="124" t="str">
        <f t="shared" ca="1" si="96"/>
        <v/>
      </c>
      <c r="BQ501" s="124" t="str">
        <f t="shared" ca="1" si="96"/>
        <v/>
      </c>
      <c r="BR501" s="124" t="str">
        <f t="shared" ca="1" si="96"/>
        <v/>
      </c>
      <c r="BS501" s="124" t="str">
        <f t="shared" ca="1" si="135"/>
        <v/>
      </c>
      <c r="BT501" s="124" t="str">
        <f t="shared" ca="1" si="135"/>
        <v/>
      </c>
      <c r="BU501" s="124" t="str">
        <f t="shared" ca="1" si="97"/>
        <v/>
      </c>
    </row>
    <row r="502" spans="1:73" x14ac:dyDescent="0.15">
      <c r="A502">
        <v>82</v>
      </c>
      <c r="B502" s="124" t="str">
        <f t="shared" ca="1" si="98"/>
        <v/>
      </c>
      <c r="C502" s="123" t="str">
        <f ca="1">IF(A502&lt;=①簡易状況入力!$AC$5,INDIRECT("A"&amp;VLOOKUP($A502,①簡易状況入力!$Y$5:$AB$104,4,FALSE)),"")</f>
        <v/>
      </c>
      <c r="D502" s="125" t="str">
        <f t="shared" ca="1" si="99"/>
        <v/>
      </c>
      <c r="E502" s="125" t="str">
        <f t="shared" ca="1" si="100"/>
        <v/>
      </c>
      <c r="F502" s="125" t="str">
        <f t="shared" ca="1" si="101"/>
        <v/>
      </c>
      <c r="G502" s="125" t="str">
        <f t="shared" ca="1" si="102"/>
        <v/>
      </c>
      <c r="H502" s="125" t="str">
        <f t="shared" ca="1" si="103"/>
        <v/>
      </c>
      <c r="I502" s="125" t="str">
        <f t="shared" ca="1" si="104"/>
        <v/>
      </c>
      <c r="J502" s="125" t="str">
        <f t="shared" ca="1" si="105"/>
        <v/>
      </c>
      <c r="K502" s="125" t="str">
        <f t="shared" ca="1" si="106"/>
        <v/>
      </c>
      <c r="L502" s="125" t="str">
        <f t="shared" ca="1" si="107"/>
        <v/>
      </c>
      <c r="M502" s="125" t="str">
        <f t="shared" ca="1" si="108"/>
        <v/>
      </c>
      <c r="N502" s="125" t="str">
        <f t="shared" ca="1" si="109"/>
        <v/>
      </c>
      <c r="O502" s="125" t="str">
        <f t="shared" ca="1" si="110"/>
        <v/>
      </c>
      <c r="P502" s="125" t="str">
        <f t="shared" ca="1" si="111"/>
        <v/>
      </c>
      <c r="Q502" s="125" t="str">
        <f t="shared" ca="1" si="112"/>
        <v/>
      </c>
      <c r="R502" s="125" t="str">
        <f t="shared" ca="1" si="113"/>
        <v/>
      </c>
      <c r="S502" s="125" t="str">
        <f t="shared" ca="1" si="114"/>
        <v/>
      </c>
      <c r="T502" s="125" t="str">
        <f t="shared" ca="1" si="115"/>
        <v/>
      </c>
      <c r="U502" s="125" t="str">
        <f t="shared" ca="1" si="116"/>
        <v/>
      </c>
      <c r="V502" s="125" t="str">
        <f t="shared" ca="1" si="117"/>
        <v/>
      </c>
      <c r="W502" s="125" t="str">
        <f t="shared" ca="1" si="118"/>
        <v/>
      </c>
      <c r="X502" s="125" t="str">
        <f t="shared" ca="1" si="119"/>
        <v/>
      </c>
      <c r="Y502" s="125" t="str">
        <f t="shared" ca="1" si="120"/>
        <v/>
      </c>
      <c r="Z502" s="125" t="str">
        <f t="shared" ca="1" si="121"/>
        <v/>
      </c>
      <c r="AA502" s="125" t="str">
        <f t="shared" ca="1" si="122"/>
        <v/>
      </c>
      <c r="AB502" s="125" t="str">
        <f t="shared" ca="1" si="123"/>
        <v/>
      </c>
      <c r="AC502" s="125" t="str">
        <f t="shared" ca="1" si="124"/>
        <v/>
      </c>
      <c r="AD502" s="125" t="str">
        <f t="shared" ca="1" si="125"/>
        <v/>
      </c>
      <c r="AE502" s="125" t="str">
        <f t="shared" ca="1" si="126"/>
        <v/>
      </c>
      <c r="AF502" s="125" t="str">
        <f t="shared" ca="1" si="127"/>
        <v/>
      </c>
      <c r="AG502" s="125" t="str">
        <f t="shared" ca="1" si="128"/>
        <v/>
      </c>
      <c r="AH502" s="125" t="str">
        <f t="shared" ca="1" si="129"/>
        <v/>
      </c>
      <c r="AI502" s="125" t="str">
        <f t="shared" ca="1" si="130"/>
        <v/>
      </c>
      <c r="AJ502" s="125" t="str">
        <f t="shared" ca="1" si="131"/>
        <v/>
      </c>
      <c r="AK502" s="125" t="str">
        <f t="shared" ca="1" si="132"/>
        <v/>
      </c>
      <c r="AL502" s="125" t="str">
        <f t="shared" ca="1" si="133"/>
        <v/>
      </c>
      <c r="AM502" s="124" t="str">
        <f t="shared" ca="1" si="134"/>
        <v/>
      </c>
      <c r="AN502" s="124" t="str">
        <f t="shared" ca="1" si="134"/>
        <v/>
      </c>
      <c r="AO502" s="124" t="str">
        <f t="shared" ca="1" si="134"/>
        <v/>
      </c>
      <c r="AP502" s="124" t="str">
        <f t="shared" ca="1" si="134"/>
        <v/>
      </c>
      <c r="AQ502" s="124" t="str">
        <f t="shared" ca="1" si="134"/>
        <v/>
      </c>
      <c r="AR502" s="124" t="str">
        <f t="shared" ca="1" si="134"/>
        <v/>
      </c>
      <c r="AS502" s="124" t="str">
        <f t="shared" ca="1" si="134"/>
        <v/>
      </c>
      <c r="AT502" s="124" t="str">
        <f t="shared" ca="1" si="134"/>
        <v/>
      </c>
      <c r="AU502" s="124" t="str">
        <f t="shared" ca="1" si="134"/>
        <v/>
      </c>
      <c r="AV502" s="124" t="str">
        <f t="shared" ca="1" si="134"/>
        <v/>
      </c>
      <c r="AW502" s="124" t="str">
        <f t="shared" ca="1" si="134"/>
        <v/>
      </c>
      <c r="AX502" s="124" t="str">
        <f t="shared" ca="1" si="134"/>
        <v/>
      </c>
      <c r="AY502" s="124" t="str">
        <f t="shared" ca="1" si="134"/>
        <v/>
      </c>
      <c r="AZ502" s="124" t="str">
        <f t="shared" ca="1" si="134"/>
        <v/>
      </c>
      <c r="BA502" s="124" t="str">
        <f t="shared" ca="1" si="134"/>
        <v/>
      </c>
      <c r="BB502" s="124" t="str">
        <f t="shared" ca="1" si="134"/>
        <v/>
      </c>
      <c r="BC502" s="124" t="str">
        <f t="shared" ca="1" si="96"/>
        <v/>
      </c>
      <c r="BD502" s="124" t="str">
        <f t="shared" ca="1" si="96"/>
        <v/>
      </c>
      <c r="BE502" s="124" t="str">
        <f t="shared" ca="1" si="96"/>
        <v/>
      </c>
      <c r="BF502" s="124" t="str">
        <f t="shared" ca="1" si="96"/>
        <v/>
      </c>
      <c r="BG502" s="124" t="str">
        <f t="shared" ca="1" si="96"/>
        <v/>
      </c>
      <c r="BH502" s="124" t="str">
        <f t="shared" ca="1" si="96"/>
        <v/>
      </c>
      <c r="BI502" s="124" t="str">
        <f t="shared" ca="1" si="96"/>
        <v/>
      </c>
      <c r="BJ502" s="124" t="str">
        <f t="shared" ca="1" si="96"/>
        <v/>
      </c>
      <c r="BK502" s="124" t="str">
        <f t="shared" ca="1" si="96"/>
        <v/>
      </c>
      <c r="BL502" s="124" t="str">
        <f t="shared" ca="1" si="96"/>
        <v/>
      </c>
      <c r="BM502" s="124" t="str">
        <f t="shared" ca="1" si="96"/>
        <v/>
      </c>
      <c r="BN502" s="124" t="str">
        <f t="shared" ca="1" si="96"/>
        <v/>
      </c>
      <c r="BO502" s="124" t="str">
        <f t="shared" ca="1" si="96"/>
        <v/>
      </c>
      <c r="BP502" s="124" t="str">
        <f t="shared" ca="1" si="96"/>
        <v/>
      </c>
      <c r="BQ502" s="124" t="str">
        <f t="shared" ca="1" si="96"/>
        <v/>
      </c>
      <c r="BR502" s="124" t="str">
        <f t="shared" ca="1" si="96"/>
        <v/>
      </c>
      <c r="BS502" s="124" t="str">
        <f t="shared" ca="1" si="135"/>
        <v/>
      </c>
      <c r="BT502" s="124" t="str">
        <f t="shared" ca="1" si="135"/>
        <v/>
      </c>
      <c r="BU502" s="124" t="str">
        <f t="shared" ca="1" si="97"/>
        <v/>
      </c>
    </row>
    <row r="503" spans="1:73" x14ac:dyDescent="0.15">
      <c r="A503">
        <v>83</v>
      </c>
      <c r="B503" s="124" t="str">
        <f t="shared" ca="1" si="98"/>
        <v/>
      </c>
      <c r="C503" s="123" t="str">
        <f ca="1">IF(A503&lt;=①簡易状況入力!$AC$5,INDIRECT("A"&amp;VLOOKUP($A503,①簡易状況入力!$Y$5:$AB$104,4,FALSE)),"")</f>
        <v/>
      </c>
      <c r="D503" s="125" t="str">
        <f t="shared" ca="1" si="99"/>
        <v/>
      </c>
      <c r="E503" s="125" t="str">
        <f t="shared" ca="1" si="100"/>
        <v/>
      </c>
      <c r="F503" s="125" t="str">
        <f t="shared" ca="1" si="101"/>
        <v/>
      </c>
      <c r="G503" s="125" t="str">
        <f t="shared" ca="1" si="102"/>
        <v/>
      </c>
      <c r="H503" s="125" t="str">
        <f t="shared" ca="1" si="103"/>
        <v/>
      </c>
      <c r="I503" s="125" t="str">
        <f t="shared" ca="1" si="104"/>
        <v/>
      </c>
      <c r="J503" s="125" t="str">
        <f t="shared" ca="1" si="105"/>
        <v/>
      </c>
      <c r="K503" s="125" t="str">
        <f t="shared" ca="1" si="106"/>
        <v/>
      </c>
      <c r="L503" s="125" t="str">
        <f t="shared" ca="1" si="107"/>
        <v/>
      </c>
      <c r="M503" s="125" t="str">
        <f t="shared" ca="1" si="108"/>
        <v/>
      </c>
      <c r="N503" s="125" t="str">
        <f t="shared" ca="1" si="109"/>
        <v/>
      </c>
      <c r="O503" s="125" t="str">
        <f t="shared" ca="1" si="110"/>
        <v/>
      </c>
      <c r="P503" s="125" t="str">
        <f t="shared" ca="1" si="111"/>
        <v/>
      </c>
      <c r="Q503" s="125" t="str">
        <f t="shared" ca="1" si="112"/>
        <v/>
      </c>
      <c r="R503" s="125" t="str">
        <f t="shared" ca="1" si="113"/>
        <v/>
      </c>
      <c r="S503" s="125" t="str">
        <f t="shared" ca="1" si="114"/>
        <v/>
      </c>
      <c r="T503" s="125" t="str">
        <f t="shared" ca="1" si="115"/>
        <v/>
      </c>
      <c r="U503" s="125" t="str">
        <f t="shared" ca="1" si="116"/>
        <v/>
      </c>
      <c r="V503" s="125" t="str">
        <f t="shared" ca="1" si="117"/>
        <v/>
      </c>
      <c r="W503" s="125" t="str">
        <f t="shared" ca="1" si="118"/>
        <v/>
      </c>
      <c r="X503" s="125" t="str">
        <f t="shared" ca="1" si="119"/>
        <v/>
      </c>
      <c r="Y503" s="125" t="str">
        <f t="shared" ca="1" si="120"/>
        <v/>
      </c>
      <c r="Z503" s="125" t="str">
        <f t="shared" ca="1" si="121"/>
        <v/>
      </c>
      <c r="AA503" s="125" t="str">
        <f t="shared" ca="1" si="122"/>
        <v/>
      </c>
      <c r="AB503" s="125" t="str">
        <f t="shared" ca="1" si="123"/>
        <v/>
      </c>
      <c r="AC503" s="125" t="str">
        <f t="shared" ca="1" si="124"/>
        <v/>
      </c>
      <c r="AD503" s="125" t="str">
        <f t="shared" ca="1" si="125"/>
        <v/>
      </c>
      <c r="AE503" s="125" t="str">
        <f t="shared" ca="1" si="126"/>
        <v/>
      </c>
      <c r="AF503" s="125" t="str">
        <f t="shared" ca="1" si="127"/>
        <v/>
      </c>
      <c r="AG503" s="125" t="str">
        <f t="shared" ca="1" si="128"/>
        <v/>
      </c>
      <c r="AH503" s="125" t="str">
        <f t="shared" ca="1" si="129"/>
        <v/>
      </c>
      <c r="AI503" s="125" t="str">
        <f t="shared" ca="1" si="130"/>
        <v/>
      </c>
      <c r="AJ503" s="125" t="str">
        <f t="shared" ca="1" si="131"/>
        <v/>
      </c>
      <c r="AK503" s="125" t="str">
        <f t="shared" ca="1" si="132"/>
        <v/>
      </c>
      <c r="AL503" s="125" t="str">
        <f t="shared" ca="1" si="133"/>
        <v/>
      </c>
      <c r="AM503" s="124" t="str">
        <f t="shared" ca="1" si="134"/>
        <v/>
      </c>
      <c r="AN503" s="124" t="str">
        <f t="shared" ca="1" si="134"/>
        <v/>
      </c>
      <c r="AO503" s="124" t="str">
        <f t="shared" ca="1" si="134"/>
        <v/>
      </c>
      <c r="AP503" s="124" t="str">
        <f t="shared" ca="1" si="134"/>
        <v/>
      </c>
      <c r="AQ503" s="124" t="str">
        <f t="shared" ca="1" si="134"/>
        <v/>
      </c>
      <c r="AR503" s="124" t="str">
        <f t="shared" ca="1" si="134"/>
        <v/>
      </c>
      <c r="AS503" s="124" t="str">
        <f t="shared" ca="1" si="134"/>
        <v/>
      </c>
      <c r="AT503" s="124" t="str">
        <f t="shared" ca="1" si="134"/>
        <v/>
      </c>
      <c r="AU503" s="124" t="str">
        <f t="shared" ca="1" si="134"/>
        <v/>
      </c>
      <c r="AV503" s="124" t="str">
        <f t="shared" ca="1" si="134"/>
        <v/>
      </c>
      <c r="AW503" s="124" t="str">
        <f t="shared" ca="1" si="134"/>
        <v/>
      </c>
      <c r="AX503" s="124" t="str">
        <f t="shared" ca="1" si="134"/>
        <v/>
      </c>
      <c r="AY503" s="124" t="str">
        <f t="shared" ca="1" si="134"/>
        <v/>
      </c>
      <c r="AZ503" s="124" t="str">
        <f t="shared" ca="1" si="134"/>
        <v/>
      </c>
      <c r="BA503" s="124" t="str">
        <f t="shared" ca="1" si="134"/>
        <v/>
      </c>
      <c r="BB503" s="124" t="str">
        <f t="shared" ref="BB503:BK520" ca="1" si="136">IF($C503&lt;&gt;"",SUMIFS(BB$4:BB$413,$A$4:$A$413,$C503,$B$4:$B$413,"合計"),"")</f>
        <v/>
      </c>
      <c r="BC503" s="124" t="str">
        <f t="shared" ca="1" si="96"/>
        <v/>
      </c>
      <c r="BD503" s="124" t="str">
        <f t="shared" ca="1" si="96"/>
        <v/>
      </c>
      <c r="BE503" s="124" t="str">
        <f t="shared" ca="1" si="96"/>
        <v/>
      </c>
      <c r="BF503" s="124" t="str">
        <f t="shared" ca="1" si="96"/>
        <v/>
      </c>
      <c r="BG503" s="124" t="str">
        <f t="shared" ca="1" si="96"/>
        <v/>
      </c>
      <c r="BH503" s="124" t="str">
        <f t="shared" ca="1" si="96"/>
        <v/>
      </c>
      <c r="BI503" s="124" t="str">
        <f t="shared" ca="1" si="96"/>
        <v/>
      </c>
      <c r="BJ503" s="124" t="str">
        <f t="shared" ca="1" si="96"/>
        <v/>
      </c>
      <c r="BK503" s="124" t="str">
        <f t="shared" ca="1" si="96"/>
        <v/>
      </c>
      <c r="BL503" s="124" t="str">
        <f t="shared" ca="1" si="96"/>
        <v/>
      </c>
      <c r="BM503" s="124" t="str">
        <f t="shared" ca="1" si="96"/>
        <v/>
      </c>
      <c r="BN503" s="124" t="str">
        <f t="shared" ca="1" si="96"/>
        <v/>
      </c>
      <c r="BO503" s="124" t="str">
        <f t="shared" ca="1" si="96"/>
        <v/>
      </c>
      <c r="BP503" s="124" t="str">
        <f t="shared" ca="1" si="96"/>
        <v/>
      </c>
      <c r="BQ503" s="124" t="str">
        <f t="shared" ca="1" si="96"/>
        <v/>
      </c>
      <c r="BR503" s="124" t="str">
        <f t="shared" ca="1" si="96"/>
        <v/>
      </c>
      <c r="BS503" s="124" t="str">
        <f t="shared" ca="1" si="135"/>
        <v/>
      </c>
      <c r="BT503" s="124" t="str">
        <f t="shared" ca="1" si="135"/>
        <v/>
      </c>
      <c r="BU503" s="124" t="str">
        <f t="shared" ca="1" si="97"/>
        <v/>
      </c>
    </row>
    <row r="504" spans="1:73" x14ac:dyDescent="0.15">
      <c r="A504">
        <v>84</v>
      </c>
      <c r="B504" s="124" t="str">
        <f t="shared" ca="1" si="98"/>
        <v/>
      </c>
      <c r="C504" s="123" t="str">
        <f ca="1">IF(A504&lt;=①簡易状況入力!$AC$5,INDIRECT("A"&amp;VLOOKUP($A504,①簡易状況入力!$Y$5:$AB$104,4,FALSE)),"")</f>
        <v/>
      </c>
      <c r="D504" s="125" t="str">
        <f t="shared" ca="1" si="99"/>
        <v/>
      </c>
      <c r="E504" s="125" t="str">
        <f t="shared" ca="1" si="100"/>
        <v/>
      </c>
      <c r="F504" s="125" t="str">
        <f t="shared" ca="1" si="101"/>
        <v/>
      </c>
      <c r="G504" s="125" t="str">
        <f t="shared" ca="1" si="102"/>
        <v/>
      </c>
      <c r="H504" s="125" t="str">
        <f t="shared" ca="1" si="103"/>
        <v/>
      </c>
      <c r="I504" s="125" t="str">
        <f t="shared" ca="1" si="104"/>
        <v/>
      </c>
      <c r="J504" s="125" t="str">
        <f t="shared" ca="1" si="105"/>
        <v/>
      </c>
      <c r="K504" s="125" t="str">
        <f t="shared" ca="1" si="106"/>
        <v/>
      </c>
      <c r="L504" s="125" t="str">
        <f t="shared" ca="1" si="107"/>
        <v/>
      </c>
      <c r="M504" s="125" t="str">
        <f t="shared" ca="1" si="108"/>
        <v/>
      </c>
      <c r="N504" s="125" t="str">
        <f t="shared" ca="1" si="109"/>
        <v/>
      </c>
      <c r="O504" s="125" t="str">
        <f t="shared" ca="1" si="110"/>
        <v/>
      </c>
      <c r="P504" s="125" t="str">
        <f t="shared" ca="1" si="111"/>
        <v/>
      </c>
      <c r="Q504" s="125" t="str">
        <f t="shared" ca="1" si="112"/>
        <v/>
      </c>
      <c r="R504" s="125" t="str">
        <f t="shared" ca="1" si="113"/>
        <v/>
      </c>
      <c r="S504" s="125" t="str">
        <f t="shared" ca="1" si="114"/>
        <v/>
      </c>
      <c r="T504" s="125" t="str">
        <f t="shared" ca="1" si="115"/>
        <v/>
      </c>
      <c r="U504" s="125" t="str">
        <f t="shared" ca="1" si="116"/>
        <v/>
      </c>
      <c r="V504" s="125" t="str">
        <f t="shared" ca="1" si="117"/>
        <v/>
      </c>
      <c r="W504" s="125" t="str">
        <f t="shared" ca="1" si="118"/>
        <v/>
      </c>
      <c r="X504" s="125" t="str">
        <f t="shared" ca="1" si="119"/>
        <v/>
      </c>
      <c r="Y504" s="125" t="str">
        <f t="shared" ca="1" si="120"/>
        <v/>
      </c>
      <c r="Z504" s="125" t="str">
        <f t="shared" ca="1" si="121"/>
        <v/>
      </c>
      <c r="AA504" s="125" t="str">
        <f t="shared" ca="1" si="122"/>
        <v/>
      </c>
      <c r="AB504" s="125" t="str">
        <f t="shared" ca="1" si="123"/>
        <v/>
      </c>
      <c r="AC504" s="125" t="str">
        <f t="shared" ca="1" si="124"/>
        <v/>
      </c>
      <c r="AD504" s="125" t="str">
        <f t="shared" ca="1" si="125"/>
        <v/>
      </c>
      <c r="AE504" s="125" t="str">
        <f t="shared" ca="1" si="126"/>
        <v/>
      </c>
      <c r="AF504" s="125" t="str">
        <f t="shared" ca="1" si="127"/>
        <v/>
      </c>
      <c r="AG504" s="125" t="str">
        <f t="shared" ca="1" si="128"/>
        <v/>
      </c>
      <c r="AH504" s="125" t="str">
        <f t="shared" ca="1" si="129"/>
        <v/>
      </c>
      <c r="AI504" s="125" t="str">
        <f t="shared" ca="1" si="130"/>
        <v/>
      </c>
      <c r="AJ504" s="125" t="str">
        <f t="shared" ca="1" si="131"/>
        <v/>
      </c>
      <c r="AK504" s="125" t="str">
        <f t="shared" ca="1" si="132"/>
        <v/>
      </c>
      <c r="AL504" s="125" t="str">
        <f t="shared" ca="1" si="133"/>
        <v/>
      </c>
      <c r="AM504" s="124" t="str">
        <f t="shared" ref="AM504:BA520" ca="1" si="137">IF($C504&lt;&gt;"",SUMIFS(AM$4:AM$413,$A$4:$A$413,$C504,$B$4:$B$413,"合計"),"")</f>
        <v/>
      </c>
      <c r="AN504" s="124" t="str">
        <f t="shared" ca="1" si="137"/>
        <v/>
      </c>
      <c r="AO504" s="124" t="str">
        <f t="shared" ca="1" si="137"/>
        <v/>
      </c>
      <c r="AP504" s="124" t="str">
        <f t="shared" ca="1" si="137"/>
        <v/>
      </c>
      <c r="AQ504" s="124" t="str">
        <f t="shared" ca="1" si="137"/>
        <v/>
      </c>
      <c r="AR504" s="124" t="str">
        <f t="shared" ca="1" si="137"/>
        <v/>
      </c>
      <c r="AS504" s="124" t="str">
        <f t="shared" ca="1" si="137"/>
        <v/>
      </c>
      <c r="AT504" s="124" t="str">
        <f t="shared" ca="1" si="137"/>
        <v/>
      </c>
      <c r="AU504" s="124" t="str">
        <f t="shared" ca="1" si="137"/>
        <v/>
      </c>
      <c r="AV504" s="124" t="str">
        <f t="shared" ca="1" si="137"/>
        <v/>
      </c>
      <c r="AW504" s="124" t="str">
        <f t="shared" ca="1" si="137"/>
        <v/>
      </c>
      <c r="AX504" s="124" t="str">
        <f t="shared" ca="1" si="137"/>
        <v/>
      </c>
      <c r="AY504" s="124" t="str">
        <f t="shared" ca="1" si="137"/>
        <v/>
      </c>
      <c r="AZ504" s="124" t="str">
        <f t="shared" ca="1" si="137"/>
        <v/>
      </c>
      <c r="BA504" s="124" t="str">
        <f t="shared" ca="1" si="137"/>
        <v/>
      </c>
      <c r="BB504" s="124" t="str">
        <f t="shared" ca="1" si="136"/>
        <v/>
      </c>
      <c r="BC504" s="124" t="str">
        <f t="shared" ca="1" si="96"/>
        <v/>
      </c>
      <c r="BD504" s="124" t="str">
        <f t="shared" ca="1" si="96"/>
        <v/>
      </c>
      <c r="BE504" s="124" t="str">
        <f t="shared" ca="1" si="96"/>
        <v/>
      </c>
      <c r="BF504" s="124" t="str">
        <f t="shared" ca="1" si="96"/>
        <v/>
      </c>
      <c r="BG504" s="124" t="str">
        <f t="shared" ca="1" si="96"/>
        <v/>
      </c>
      <c r="BH504" s="124" t="str">
        <f t="shared" ca="1" si="96"/>
        <v/>
      </c>
      <c r="BI504" s="124" t="str">
        <f t="shared" ca="1" si="96"/>
        <v/>
      </c>
      <c r="BJ504" s="124" t="str">
        <f t="shared" ca="1" si="96"/>
        <v/>
      </c>
      <c r="BK504" s="124" t="str">
        <f t="shared" ca="1" si="96"/>
        <v/>
      </c>
      <c r="BL504" s="124" t="str">
        <f t="shared" ca="1" si="96"/>
        <v/>
      </c>
      <c r="BM504" s="124" t="str">
        <f t="shared" ca="1" si="96"/>
        <v/>
      </c>
      <c r="BN504" s="124" t="str">
        <f t="shared" ca="1" si="96"/>
        <v/>
      </c>
      <c r="BO504" s="124" t="str">
        <f t="shared" ca="1" si="96"/>
        <v/>
      </c>
      <c r="BP504" s="124" t="str">
        <f t="shared" ca="1" si="96"/>
        <v/>
      </c>
      <c r="BQ504" s="124" t="str">
        <f t="shared" ca="1" si="96"/>
        <v/>
      </c>
      <c r="BR504" s="124" t="str">
        <f t="shared" ca="1" si="96"/>
        <v/>
      </c>
      <c r="BS504" s="124" t="str">
        <f t="shared" ca="1" si="135"/>
        <v/>
      </c>
      <c r="BT504" s="124" t="str">
        <f t="shared" ca="1" si="135"/>
        <v/>
      </c>
      <c r="BU504" s="124" t="str">
        <f t="shared" ca="1" si="97"/>
        <v/>
      </c>
    </row>
    <row r="505" spans="1:73" x14ac:dyDescent="0.15">
      <c r="A505">
        <v>85</v>
      </c>
      <c r="B505" s="124" t="str">
        <f t="shared" ca="1" si="98"/>
        <v/>
      </c>
      <c r="C505" s="123" t="str">
        <f ca="1">IF(A505&lt;=①簡易状況入力!$AC$5,INDIRECT("A"&amp;VLOOKUP($A505,①簡易状況入力!$Y$5:$AB$104,4,FALSE)),"")</f>
        <v/>
      </c>
      <c r="D505" s="125" t="str">
        <f t="shared" ca="1" si="99"/>
        <v/>
      </c>
      <c r="E505" s="125" t="str">
        <f t="shared" ca="1" si="100"/>
        <v/>
      </c>
      <c r="F505" s="125" t="str">
        <f t="shared" ca="1" si="101"/>
        <v/>
      </c>
      <c r="G505" s="125" t="str">
        <f t="shared" ca="1" si="102"/>
        <v/>
      </c>
      <c r="H505" s="125" t="str">
        <f t="shared" ca="1" si="103"/>
        <v/>
      </c>
      <c r="I505" s="125" t="str">
        <f t="shared" ca="1" si="104"/>
        <v/>
      </c>
      <c r="J505" s="125" t="str">
        <f t="shared" ca="1" si="105"/>
        <v/>
      </c>
      <c r="K505" s="125" t="str">
        <f t="shared" ca="1" si="106"/>
        <v/>
      </c>
      <c r="L505" s="125" t="str">
        <f t="shared" ca="1" si="107"/>
        <v/>
      </c>
      <c r="M505" s="125" t="str">
        <f t="shared" ca="1" si="108"/>
        <v/>
      </c>
      <c r="N505" s="125" t="str">
        <f t="shared" ca="1" si="109"/>
        <v/>
      </c>
      <c r="O505" s="125" t="str">
        <f t="shared" ca="1" si="110"/>
        <v/>
      </c>
      <c r="P505" s="125" t="str">
        <f t="shared" ca="1" si="111"/>
        <v/>
      </c>
      <c r="Q505" s="125" t="str">
        <f t="shared" ca="1" si="112"/>
        <v/>
      </c>
      <c r="R505" s="125" t="str">
        <f t="shared" ca="1" si="113"/>
        <v/>
      </c>
      <c r="S505" s="125" t="str">
        <f t="shared" ca="1" si="114"/>
        <v/>
      </c>
      <c r="T505" s="125" t="str">
        <f t="shared" ca="1" si="115"/>
        <v/>
      </c>
      <c r="U505" s="125" t="str">
        <f t="shared" ca="1" si="116"/>
        <v/>
      </c>
      <c r="V505" s="125" t="str">
        <f t="shared" ca="1" si="117"/>
        <v/>
      </c>
      <c r="W505" s="125" t="str">
        <f t="shared" ca="1" si="118"/>
        <v/>
      </c>
      <c r="X505" s="125" t="str">
        <f t="shared" ca="1" si="119"/>
        <v/>
      </c>
      <c r="Y505" s="125" t="str">
        <f t="shared" ca="1" si="120"/>
        <v/>
      </c>
      <c r="Z505" s="125" t="str">
        <f t="shared" ca="1" si="121"/>
        <v/>
      </c>
      <c r="AA505" s="125" t="str">
        <f t="shared" ca="1" si="122"/>
        <v/>
      </c>
      <c r="AB505" s="125" t="str">
        <f t="shared" ca="1" si="123"/>
        <v/>
      </c>
      <c r="AC505" s="125" t="str">
        <f t="shared" ca="1" si="124"/>
        <v/>
      </c>
      <c r="AD505" s="125" t="str">
        <f t="shared" ca="1" si="125"/>
        <v/>
      </c>
      <c r="AE505" s="125" t="str">
        <f t="shared" ca="1" si="126"/>
        <v/>
      </c>
      <c r="AF505" s="125" t="str">
        <f t="shared" ca="1" si="127"/>
        <v/>
      </c>
      <c r="AG505" s="125" t="str">
        <f t="shared" ca="1" si="128"/>
        <v/>
      </c>
      <c r="AH505" s="125" t="str">
        <f t="shared" ca="1" si="129"/>
        <v/>
      </c>
      <c r="AI505" s="125" t="str">
        <f t="shared" ca="1" si="130"/>
        <v/>
      </c>
      <c r="AJ505" s="125" t="str">
        <f t="shared" ca="1" si="131"/>
        <v/>
      </c>
      <c r="AK505" s="125" t="str">
        <f t="shared" ca="1" si="132"/>
        <v/>
      </c>
      <c r="AL505" s="125" t="str">
        <f t="shared" ca="1" si="133"/>
        <v/>
      </c>
      <c r="AM505" s="124" t="str">
        <f t="shared" ca="1" si="137"/>
        <v/>
      </c>
      <c r="AN505" s="124" t="str">
        <f t="shared" ca="1" si="137"/>
        <v/>
      </c>
      <c r="AO505" s="124" t="str">
        <f t="shared" ca="1" si="137"/>
        <v/>
      </c>
      <c r="AP505" s="124" t="str">
        <f t="shared" ca="1" si="137"/>
        <v/>
      </c>
      <c r="AQ505" s="124" t="str">
        <f t="shared" ca="1" si="137"/>
        <v/>
      </c>
      <c r="AR505" s="124" t="str">
        <f t="shared" ca="1" si="137"/>
        <v/>
      </c>
      <c r="AS505" s="124" t="str">
        <f t="shared" ca="1" si="137"/>
        <v/>
      </c>
      <c r="AT505" s="124" t="str">
        <f t="shared" ca="1" si="137"/>
        <v/>
      </c>
      <c r="AU505" s="124" t="str">
        <f t="shared" ca="1" si="137"/>
        <v/>
      </c>
      <c r="AV505" s="124" t="str">
        <f t="shared" ca="1" si="137"/>
        <v/>
      </c>
      <c r="AW505" s="124" t="str">
        <f t="shared" ca="1" si="137"/>
        <v/>
      </c>
      <c r="AX505" s="124" t="str">
        <f t="shared" ca="1" si="137"/>
        <v/>
      </c>
      <c r="AY505" s="124" t="str">
        <f t="shared" ca="1" si="137"/>
        <v/>
      </c>
      <c r="AZ505" s="124" t="str">
        <f t="shared" ca="1" si="137"/>
        <v/>
      </c>
      <c r="BA505" s="124" t="str">
        <f t="shared" ca="1" si="137"/>
        <v/>
      </c>
      <c r="BB505" s="124" t="str">
        <f t="shared" ca="1" si="136"/>
        <v/>
      </c>
      <c r="BC505" s="124" t="str">
        <f t="shared" ca="1" si="96"/>
        <v/>
      </c>
      <c r="BD505" s="124" t="str">
        <f t="shared" ca="1" si="96"/>
        <v/>
      </c>
      <c r="BE505" s="124" t="str">
        <f t="shared" ca="1" si="96"/>
        <v/>
      </c>
      <c r="BF505" s="124" t="str">
        <f t="shared" ca="1" si="96"/>
        <v/>
      </c>
      <c r="BG505" s="124" t="str">
        <f t="shared" ca="1" si="96"/>
        <v/>
      </c>
      <c r="BH505" s="124" t="str">
        <f t="shared" ca="1" si="96"/>
        <v/>
      </c>
      <c r="BI505" s="124" t="str">
        <f t="shared" ca="1" si="96"/>
        <v/>
      </c>
      <c r="BJ505" s="124" t="str">
        <f t="shared" ca="1" si="96"/>
        <v/>
      </c>
      <c r="BK505" s="124" t="str">
        <f t="shared" ca="1" si="96"/>
        <v/>
      </c>
      <c r="BL505" s="124" t="str">
        <f t="shared" ref="BL505:BR520" ca="1" si="138">IF($C505&lt;&gt;"",SUMIFS(BL$4:BL$413,$A$4:$A$413,$C505,$B$4:$B$413,"合計"),"")</f>
        <v/>
      </c>
      <c r="BM505" s="124" t="str">
        <f t="shared" ca="1" si="138"/>
        <v/>
      </c>
      <c r="BN505" s="124" t="str">
        <f t="shared" ca="1" si="138"/>
        <v/>
      </c>
      <c r="BO505" s="124" t="str">
        <f t="shared" ca="1" si="138"/>
        <v/>
      </c>
      <c r="BP505" s="124" t="str">
        <f t="shared" ca="1" si="138"/>
        <v/>
      </c>
      <c r="BQ505" s="124" t="str">
        <f t="shared" ca="1" si="138"/>
        <v/>
      </c>
      <c r="BR505" s="124" t="str">
        <f t="shared" ca="1" si="138"/>
        <v/>
      </c>
      <c r="BS505" s="124" t="str">
        <f t="shared" ca="1" si="135"/>
        <v/>
      </c>
      <c r="BT505" s="124" t="str">
        <f t="shared" ca="1" si="135"/>
        <v/>
      </c>
      <c r="BU505" s="124" t="str">
        <f t="shared" ca="1" si="97"/>
        <v/>
      </c>
    </row>
    <row r="506" spans="1:73" x14ac:dyDescent="0.15">
      <c r="A506">
        <v>86</v>
      </c>
      <c r="B506" s="124" t="str">
        <f t="shared" ca="1" si="98"/>
        <v/>
      </c>
      <c r="C506" s="123" t="str">
        <f ca="1">IF(A506&lt;=①簡易状況入力!$AC$5,INDIRECT("A"&amp;VLOOKUP($A506,①簡易状況入力!$Y$5:$AB$104,4,FALSE)),"")</f>
        <v/>
      </c>
      <c r="D506" s="125" t="str">
        <f t="shared" ca="1" si="99"/>
        <v/>
      </c>
      <c r="E506" s="125" t="str">
        <f t="shared" ca="1" si="100"/>
        <v/>
      </c>
      <c r="F506" s="125" t="str">
        <f t="shared" ca="1" si="101"/>
        <v/>
      </c>
      <c r="G506" s="125" t="str">
        <f t="shared" ca="1" si="102"/>
        <v/>
      </c>
      <c r="H506" s="125" t="str">
        <f t="shared" ca="1" si="103"/>
        <v/>
      </c>
      <c r="I506" s="125" t="str">
        <f t="shared" ca="1" si="104"/>
        <v/>
      </c>
      <c r="J506" s="125" t="str">
        <f t="shared" ca="1" si="105"/>
        <v/>
      </c>
      <c r="K506" s="125" t="str">
        <f t="shared" ca="1" si="106"/>
        <v/>
      </c>
      <c r="L506" s="125" t="str">
        <f t="shared" ca="1" si="107"/>
        <v/>
      </c>
      <c r="M506" s="125" t="str">
        <f t="shared" ca="1" si="108"/>
        <v/>
      </c>
      <c r="N506" s="125" t="str">
        <f t="shared" ca="1" si="109"/>
        <v/>
      </c>
      <c r="O506" s="125" t="str">
        <f t="shared" ca="1" si="110"/>
        <v/>
      </c>
      <c r="P506" s="125" t="str">
        <f t="shared" ca="1" si="111"/>
        <v/>
      </c>
      <c r="Q506" s="125" t="str">
        <f t="shared" ca="1" si="112"/>
        <v/>
      </c>
      <c r="R506" s="125" t="str">
        <f t="shared" ca="1" si="113"/>
        <v/>
      </c>
      <c r="S506" s="125" t="str">
        <f t="shared" ca="1" si="114"/>
        <v/>
      </c>
      <c r="T506" s="125" t="str">
        <f t="shared" ca="1" si="115"/>
        <v/>
      </c>
      <c r="U506" s="125" t="str">
        <f t="shared" ca="1" si="116"/>
        <v/>
      </c>
      <c r="V506" s="125" t="str">
        <f t="shared" ca="1" si="117"/>
        <v/>
      </c>
      <c r="W506" s="125" t="str">
        <f t="shared" ca="1" si="118"/>
        <v/>
      </c>
      <c r="X506" s="125" t="str">
        <f t="shared" ca="1" si="119"/>
        <v/>
      </c>
      <c r="Y506" s="125" t="str">
        <f t="shared" ca="1" si="120"/>
        <v/>
      </c>
      <c r="Z506" s="125" t="str">
        <f t="shared" ca="1" si="121"/>
        <v/>
      </c>
      <c r="AA506" s="125" t="str">
        <f t="shared" ca="1" si="122"/>
        <v/>
      </c>
      <c r="AB506" s="125" t="str">
        <f t="shared" ca="1" si="123"/>
        <v/>
      </c>
      <c r="AC506" s="125" t="str">
        <f t="shared" ca="1" si="124"/>
        <v/>
      </c>
      <c r="AD506" s="125" t="str">
        <f t="shared" ca="1" si="125"/>
        <v/>
      </c>
      <c r="AE506" s="125" t="str">
        <f t="shared" ca="1" si="126"/>
        <v/>
      </c>
      <c r="AF506" s="125" t="str">
        <f t="shared" ca="1" si="127"/>
        <v/>
      </c>
      <c r="AG506" s="125" t="str">
        <f t="shared" ca="1" si="128"/>
        <v/>
      </c>
      <c r="AH506" s="125" t="str">
        <f t="shared" ca="1" si="129"/>
        <v/>
      </c>
      <c r="AI506" s="125" t="str">
        <f t="shared" ca="1" si="130"/>
        <v/>
      </c>
      <c r="AJ506" s="125" t="str">
        <f t="shared" ca="1" si="131"/>
        <v/>
      </c>
      <c r="AK506" s="125" t="str">
        <f t="shared" ca="1" si="132"/>
        <v/>
      </c>
      <c r="AL506" s="125" t="str">
        <f t="shared" ca="1" si="133"/>
        <v/>
      </c>
      <c r="AM506" s="124" t="str">
        <f t="shared" ca="1" si="137"/>
        <v/>
      </c>
      <c r="AN506" s="124" t="str">
        <f t="shared" ca="1" si="137"/>
        <v/>
      </c>
      <c r="AO506" s="124" t="str">
        <f t="shared" ca="1" si="137"/>
        <v/>
      </c>
      <c r="AP506" s="124" t="str">
        <f t="shared" ca="1" si="137"/>
        <v/>
      </c>
      <c r="AQ506" s="124" t="str">
        <f t="shared" ca="1" si="137"/>
        <v/>
      </c>
      <c r="AR506" s="124" t="str">
        <f t="shared" ca="1" si="137"/>
        <v/>
      </c>
      <c r="AS506" s="124" t="str">
        <f t="shared" ca="1" si="137"/>
        <v/>
      </c>
      <c r="AT506" s="124" t="str">
        <f t="shared" ca="1" si="137"/>
        <v/>
      </c>
      <c r="AU506" s="124" t="str">
        <f t="shared" ca="1" si="137"/>
        <v/>
      </c>
      <c r="AV506" s="124" t="str">
        <f t="shared" ca="1" si="137"/>
        <v/>
      </c>
      <c r="AW506" s="124" t="str">
        <f t="shared" ca="1" si="137"/>
        <v/>
      </c>
      <c r="AX506" s="124" t="str">
        <f t="shared" ca="1" si="137"/>
        <v/>
      </c>
      <c r="AY506" s="124" t="str">
        <f t="shared" ca="1" si="137"/>
        <v/>
      </c>
      <c r="AZ506" s="124" t="str">
        <f t="shared" ca="1" si="137"/>
        <v/>
      </c>
      <c r="BA506" s="124" t="str">
        <f t="shared" ca="1" si="137"/>
        <v/>
      </c>
      <c r="BB506" s="124" t="str">
        <f t="shared" ca="1" si="136"/>
        <v/>
      </c>
      <c r="BC506" s="124" t="str">
        <f t="shared" ca="1" si="136"/>
        <v/>
      </c>
      <c r="BD506" s="124" t="str">
        <f t="shared" ca="1" si="136"/>
        <v/>
      </c>
      <c r="BE506" s="124" t="str">
        <f t="shared" ca="1" si="136"/>
        <v/>
      </c>
      <c r="BF506" s="124" t="str">
        <f t="shared" ca="1" si="136"/>
        <v/>
      </c>
      <c r="BG506" s="124" t="str">
        <f t="shared" ca="1" si="136"/>
        <v/>
      </c>
      <c r="BH506" s="124" t="str">
        <f t="shared" ca="1" si="136"/>
        <v/>
      </c>
      <c r="BI506" s="124" t="str">
        <f t="shared" ca="1" si="136"/>
        <v/>
      </c>
      <c r="BJ506" s="124" t="str">
        <f t="shared" ca="1" si="136"/>
        <v/>
      </c>
      <c r="BK506" s="124" t="str">
        <f t="shared" ca="1" si="136"/>
        <v/>
      </c>
      <c r="BL506" s="124" t="str">
        <f t="shared" ca="1" si="138"/>
        <v/>
      </c>
      <c r="BM506" s="124" t="str">
        <f t="shared" ca="1" si="138"/>
        <v/>
      </c>
      <c r="BN506" s="124" t="str">
        <f t="shared" ca="1" si="138"/>
        <v/>
      </c>
      <c r="BO506" s="124" t="str">
        <f t="shared" ca="1" si="138"/>
        <v/>
      </c>
      <c r="BP506" s="124" t="str">
        <f t="shared" ca="1" si="138"/>
        <v/>
      </c>
      <c r="BQ506" s="124" t="str">
        <f t="shared" ca="1" si="138"/>
        <v/>
      </c>
      <c r="BR506" s="124" t="str">
        <f t="shared" ca="1" si="138"/>
        <v/>
      </c>
      <c r="BS506" s="124" t="str">
        <f t="shared" ca="1" si="135"/>
        <v/>
      </c>
      <c r="BT506" s="124" t="str">
        <f t="shared" ca="1" si="135"/>
        <v/>
      </c>
      <c r="BU506" s="124" t="str">
        <f t="shared" ca="1" si="97"/>
        <v/>
      </c>
    </row>
    <row r="507" spans="1:73" x14ac:dyDescent="0.15">
      <c r="A507">
        <v>87</v>
      </c>
      <c r="B507" s="124" t="str">
        <f t="shared" ca="1" si="98"/>
        <v/>
      </c>
      <c r="C507" s="123" t="str">
        <f ca="1">IF(A507&lt;=①簡易状況入力!$AC$5,INDIRECT("A"&amp;VLOOKUP($A507,①簡易状況入力!$Y$5:$AB$104,4,FALSE)),"")</f>
        <v/>
      </c>
      <c r="D507" s="125" t="str">
        <f t="shared" ca="1" si="99"/>
        <v/>
      </c>
      <c r="E507" s="125" t="str">
        <f t="shared" ca="1" si="100"/>
        <v/>
      </c>
      <c r="F507" s="125" t="str">
        <f t="shared" ca="1" si="101"/>
        <v/>
      </c>
      <c r="G507" s="125" t="str">
        <f t="shared" ca="1" si="102"/>
        <v/>
      </c>
      <c r="H507" s="125" t="str">
        <f t="shared" ca="1" si="103"/>
        <v/>
      </c>
      <c r="I507" s="125" t="str">
        <f t="shared" ca="1" si="104"/>
        <v/>
      </c>
      <c r="J507" s="125" t="str">
        <f t="shared" ca="1" si="105"/>
        <v/>
      </c>
      <c r="K507" s="125" t="str">
        <f t="shared" ca="1" si="106"/>
        <v/>
      </c>
      <c r="L507" s="125" t="str">
        <f t="shared" ca="1" si="107"/>
        <v/>
      </c>
      <c r="M507" s="125" t="str">
        <f t="shared" ca="1" si="108"/>
        <v/>
      </c>
      <c r="N507" s="125" t="str">
        <f t="shared" ca="1" si="109"/>
        <v/>
      </c>
      <c r="O507" s="125" t="str">
        <f t="shared" ca="1" si="110"/>
        <v/>
      </c>
      <c r="P507" s="125" t="str">
        <f t="shared" ca="1" si="111"/>
        <v/>
      </c>
      <c r="Q507" s="125" t="str">
        <f t="shared" ca="1" si="112"/>
        <v/>
      </c>
      <c r="R507" s="125" t="str">
        <f t="shared" ca="1" si="113"/>
        <v/>
      </c>
      <c r="S507" s="125" t="str">
        <f t="shared" ca="1" si="114"/>
        <v/>
      </c>
      <c r="T507" s="125" t="str">
        <f t="shared" ca="1" si="115"/>
        <v/>
      </c>
      <c r="U507" s="125" t="str">
        <f t="shared" ca="1" si="116"/>
        <v/>
      </c>
      <c r="V507" s="125" t="str">
        <f t="shared" ca="1" si="117"/>
        <v/>
      </c>
      <c r="W507" s="125" t="str">
        <f t="shared" ca="1" si="118"/>
        <v/>
      </c>
      <c r="X507" s="125" t="str">
        <f t="shared" ca="1" si="119"/>
        <v/>
      </c>
      <c r="Y507" s="125" t="str">
        <f t="shared" ca="1" si="120"/>
        <v/>
      </c>
      <c r="Z507" s="125" t="str">
        <f t="shared" ca="1" si="121"/>
        <v/>
      </c>
      <c r="AA507" s="125" t="str">
        <f t="shared" ca="1" si="122"/>
        <v/>
      </c>
      <c r="AB507" s="125" t="str">
        <f t="shared" ca="1" si="123"/>
        <v/>
      </c>
      <c r="AC507" s="125" t="str">
        <f t="shared" ca="1" si="124"/>
        <v/>
      </c>
      <c r="AD507" s="125" t="str">
        <f t="shared" ca="1" si="125"/>
        <v/>
      </c>
      <c r="AE507" s="125" t="str">
        <f t="shared" ca="1" si="126"/>
        <v/>
      </c>
      <c r="AF507" s="125" t="str">
        <f t="shared" ca="1" si="127"/>
        <v/>
      </c>
      <c r="AG507" s="125" t="str">
        <f t="shared" ca="1" si="128"/>
        <v/>
      </c>
      <c r="AH507" s="125" t="str">
        <f t="shared" ca="1" si="129"/>
        <v/>
      </c>
      <c r="AI507" s="125" t="str">
        <f t="shared" ca="1" si="130"/>
        <v/>
      </c>
      <c r="AJ507" s="125" t="str">
        <f t="shared" ca="1" si="131"/>
        <v/>
      </c>
      <c r="AK507" s="125" t="str">
        <f t="shared" ca="1" si="132"/>
        <v/>
      </c>
      <c r="AL507" s="125" t="str">
        <f t="shared" ca="1" si="133"/>
        <v/>
      </c>
      <c r="AM507" s="124" t="str">
        <f t="shared" ca="1" si="137"/>
        <v/>
      </c>
      <c r="AN507" s="124" t="str">
        <f t="shared" ca="1" si="137"/>
        <v/>
      </c>
      <c r="AO507" s="124" t="str">
        <f t="shared" ca="1" si="137"/>
        <v/>
      </c>
      <c r="AP507" s="124" t="str">
        <f t="shared" ca="1" si="137"/>
        <v/>
      </c>
      <c r="AQ507" s="124" t="str">
        <f t="shared" ca="1" si="137"/>
        <v/>
      </c>
      <c r="AR507" s="124" t="str">
        <f t="shared" ca="1" si="137"/>
        <v/>
      </c>
      <c r="AS507" s="124" t="str">
        <f t="shared" ca="1" si="137"/>
        <v/>
      </c>
      <c r="AT507" s="124" t="str">
        <f t="shared" ca="1" si="137"/>
        <v/>
      </c>
      <c r="AU507" s="124" t="str">
        <f t="shared" ca="1" si="137"/>
        <v/>
      </c>
      <c r="AV507" s="124" t="str">
        <f t="shared" ca="1" si="137"/>
        <v/>
      </c>
      <c r="AW507" s="124" t="str">
        <f t="shared" ca="1" si="137"/>
        <v/>
      </c>
      <c r="AX507" s="124" t="str">
        <f t="shared" ca="1" si="137"/>
        <v/>
      </c>
      <c r="AY507" s="124" t="str">
        <f t="shared" ca="1" si="137"/>
        <v/>
      </c>
      <c r="AZ507" s="124" t="str">
        <f t="shared" ca="1" si="137"/>
        <v/>
      </c>
      <c r="BA507" s="124" t="str">
        <f t="shared" ca="1" si="137"/>
        <v/>
      </c>
      <c r="BB507" s="124" t="str">
        <f t="shared" ca="1" si="136"/>
        <v/>
      </c>
      <c r="BC507" s="124" t="str">
        <f t="shared" ca="1" si="136"/>
        <v/>
      </c>
      <c r="BD507" s="124" t="str">
        <f t="shared" ca="1" si="136"/>
        <v/>
      </c>
      <c r="BE507" s="124" t="str">
        <f t="shared" ca="1" si="136"/>
        <v/>
      </c>
      <c r="BF507" s="124" t="str">
        <f t="shared" ca="1" si="136"/>
        <v/>
      </c>
      <c r="BG507" s="124" t="str">
        <f t="shared" ca="1" si="136"/>
        <v/>
      </c>
      <c r="BH507" s="124" t="str">
        <f t="shared" ca="1" si="136"/>
        <v/>
      </c>
      <c r="BI507" s="124" t="str">
        <f t="shared" ca="1" si="136"/>
        <v/>
      </c>
      <c r="BJ507" s="124" t="str">
        <f t="shared" ca="1" si="136"/>
        <v/>
      </c>
      <c r="BK507" s="124" t="str">
        <f t="shared" ca="1" si="136"/>
        <v/>
      </c>
      <c r="BL507" s="124" t="str">
        <f t="shared" ca="1" si="138"/>
        <v/>
      </c>
      <c r="BM507" s="124" t="str">
        <f t="shared" ca="1" si="138"/>
        <v/>
      </c>
      <c r="BN507" s="124" t="str">
        <f t="shared" ca="1" si="138"/>
        <v/>
      </c>
      <c r="BO507" s="124" t="str">
        <f t="shared" ca="1" si="138"/>
        <v/>
      </c>
      <c r="BP507" s="124" t="str">
        <f t="shared" ca="1" si="138"/>
        <v/>
      </c>
      <c r="BQ507" s="124" t="str">
        <f t="shared" ca="1" si="138"/>
        <v/>
      </c>
      <c r="BR507" s="124" t="str">
        <f t="shared" ca="1" si="138"/>
        <v/>
      </c>
      <c r="BS507" s="124" t="str">
        <f t="shared" ca="1" si="135"/>
        <v/>
      </c>
      <c r="BT507" s="124" t="str">
        <f t="shared" ca="1" si="135"/>
        <v/>
      </c>
      <c r="BU507" s="124" t="str">
        <f t="shared" ca="1" si="97"/>
        <v/>
      </c>
    </row>
    <row r="508" spans="1:73" x14ac:dyDescent="0.15">
      <c r="A508">
        <v>88</v>
      </c>
      <c r="B508" s="124" t="str">
        <f t="shared" ca="1" si="98"/>
        <v/>
      </c>
      <c r="C508" s="123" t="str">
        <f ca="1">IF(A508&lt;=①簡易状況入力!$AC$5,INDIRECT("A"&amp;VLOOKUP($A508,①簡易状況入力!$Y$5:$AB$104,4,FALSE)),"")</f>
        <v/>
      </c>
      <c r="D508" s="125" t="str">
        <f t="shared" ca="1" si="99"/>
        <v/>
      </c>
      <c r="E508" s="125" t="str">
        <f t="shared" ca="1" si="100"/>
        <v/>
      </c>
      <c r="F508" s="125" t="str">
        <f t="shared" ca="1" si="101"/>
        <v/>
      </c>
      <c r="G508" s="125" t="str">
        <f t="shared" ca="1" si="102"/>
        <v/>
      </c>
      <c r="H508" s="125" t="str">
        <f t="shared" ca="1" si="103"/>
        <v/>
      </c>
      <c r="I508" s="125" t="str">
        <f t="shared" ca="1" si="104"/>
        <v/>
      </c>
      <c r="J508" s="125" t="str">
        <f t="shared" ca="1" si="105"/>
        <v/>
      </c>
      <c r="K508" s="125" t="str">
        <f t="shared" ca="1" si="106"/>
        <v/>
      </c>
      <c r="L508" s="125" t="str">
        <f t="shared" ca="1" si="107"/>
        <v/>
      </c>
      <c r="M508" s="125" t="str">
        <f t="shared" ca="1" si="108"/>
        <v/>
      </c>
      <c r="N508" s="125" t="str">
        <f t="shared" ca="1" si="109"/>
        <v/>
      </c>
      <c r="O508" s="125" t="str">
        <f t="shared" ca="1" si="110"/>
        <v/>
      </c>
      <c r="P508" s="125" t="str">
        <f t="shared" ca="1" si="111"/>
        <v/>
      </c>
      <c r="Q508" s="125" t="str">
        <f t="shared" ca="1" si="112"/>
        <v/>
      </c>
      <c r="R508" s="125" t="str">
        <f t="shared" ca="1" si="113"/>
        <v/>
      </c>
      <c r="S508" s="125" t="str">
        <f t="shared" ca="1" si="114"/>
        <v/>
      </c>
      <c r="T508" s="125" t="str">
        <f t="shared" ca="1" si="115"/>
        <v/>
      </c>
      <c r="U508" s="125" t="str">
        <f t="shared" ca="1" si="116"/>
        <v/>
      </c>
      <c r="V508" s="125" t="str">
        <f t="shared" ca="1" si="117"/>
        <v/>
      </c>
      <c r="W508" s="125" t="str">
        <f t="shared" ca="1" si="118"/>
        <v/>
      </c>
      <c r="X508" s="125" t="str">
        <f t="shared" ca="1" si="119"/>
        <v/>
      </c>
      <c r="Y508" s="125" t="str">
        <f t="shared" ca="1" si="120"/>
        <v/>
      </c>
      <c r="Z508" s="125" t="str">
        <f t="shared" ca="1" si="121"/>
        <v/>
      </c>
      <c r="AA508" s="125" t="str">
        <f t="shared" ca="1" si="122"/>
        <v/>
      </c>
      <c r="AB508" s="125" t="str">
        <f t="shared" ca="1" si="123"/>
        <v/>
      </c>
      <c r="AC508" s="125" t="str">
        <f t="shared" ca="1" si="124"/>
        <v/>
      </c>
      <c r="AD508" s="125" t="str">
        <f t="shared" ca="1" si="125"/>
        <v/>
      </c>
      <c r="AE508" s="125" t="str">
        <f t="shared" ca="1" si="126"/>
        <v/>
      </c>
      <c r="AF508" s="125" t="str">
        <f t="shared" ca="1" si="127"/>
        <v/>
      </c>
      <c r="AG508" s="125" t="str">
        <f t="shared" ca="1" si="128"/>
        <v/>
      </c>
      <c r="AH508" s="125" t="str">
        <f t="shared" ca="1" si="129"/>
        <v/>
      </c>
      <c r="AI508" s="125" t="str">
        <f t="shared" ca="1" si="130"/>
        <v/>
      </c>
      <c r="AJ508" s="125" t="str">
        <f t="shared" ca="1" si="131"/>
        <v/>
      </c>
      <c r="AK508" s="125" t="str">
        <f t="shared" ca="1" si="132"/>
        <v/>
      </c>
      <c r="AL508" s="125" t="str">
        <f t="shared" ca="1" si="133"/>
        <v/>
      </c>
      <c r="AM508" s="124" t="str">
        <f t="shared" ca="1" si="137"/>
        <v/>
      </c>
      <c r="AN508" s="124" t="str">
        <f t="shared" ca="1" si="137"/>
        <v/>
      </c>
      <c r="AO508" s="124" t="str">
        <f t="shared" ca="1" si="137"/>
        <v/>
      </c>
      <c r="AP508" s="124" t="str">
        <f t="shared" ca="1" si="137"/>
        <v/>
      </c>
      <c r="AQ508" s="124" t="str">
        <f t="shared" ca="1" si="137"/>
        <v/>
      </c>
      <c r="AR508" s="124" t="str">
        <f t="shared" ca="1" si="137"/>
        <v/>
      </c>
      <c r="AS508" s="124" t="str">
        <f t="shared" ca="1" si="137"/>
        <v/>
      </c>
      <c r="AT508" s="124" t="str">
        <f t="shared" ca="1" si="137"/>
        <v/>
      </c>
      <c r="AU508" s="124" t="str">
        <f t="shared" ca="1" si="137"/>
        <v/>
      </c>
      <c r="AV508" s="124" t="str">
        <f t="shared" ca="1" si="137"/>
        <v/>
      </c>
      <c r="AW508" s="124" t="str">
        <f t="shared" ca="1" si="137"/>
        <v/>
      </c>
      <c r="AX508" s="124" t="str">
        <f t="shared" ca="1" si="137"/>
        <v/>
      </c>
      <c r="AY508" s="124" t="str">
        <f t="shared" ca="1" si="137"/>
        <v/>
      </c>
      <c r="AZ508" s="124" t="str">
        <f t="shared" ca="1" si="137"/>
        <v/>
      </c>
      <c r="BA508" s="124" t="str">
        <f t="shared" ca="1" si="137"/>
        <v/>
      </c>
      <c r="BB508" s="124" t="str">
        <f t="shared" ca="1" si="136"/>
        <v/>
      </c>
      <c r="BC508" s="124" t="str">
        <f t="shared" ca="1" si="136"/>
        <v/>
      </c>
      <c r="BD508" s="124" t="str">
        <f t="shared" ca="1" si="136"/>
        <v/>
      </c>
      <c r="BE508" s="124" t="str">
        <f t="shared" ca="1" si="136"/>
        <v/>
      </c>
      <c r="BF508" s="124" t="str">
        <f t="shared" ca="1" si="136"/>
        <v/>
      </c>
      <c r="BG508" s="124" t="str">
        <f t="shared" ca="1" si="136"/>
        <v/>
      </c>
      <c r="BH508" s="124" t="str">
        <f t="shared" ca="1" si="136"/>
        <v/>
      </c>
      <c r="BI508" s="124" t="str">
        <f t="shared" ca="1" si="136"/>
        <v/>
      </c>
      <c r="BJ508" s="124" t="str">
        <f t="shared" ca="1" si="136"/>
        <v/>
      </c>
      <c r="BK508" s="124" t="str">
        <f t="shared" ca="1" si="136"/>
        <v/>
      </c>
      <c r="BL508" s="124" t="str">
        <f t="shared" ca="1" si="138"/>
        <v/>
      </c>
      <c r="BM508" s="124" t="str">
        <f t="shared" ca="1" si="138"/>
        <v/>
      </c>
      <c r="BN508" s="124" t="str">
        <f t="shared" ca="1" si="138"/>
        <v/>
      </c>
      <c r="BO508" s="124" t="str">
        <f t="shared" ca="1" si="138"/>
        <v/>
      </c>
      <c r="BP508" s="124" t="str">
        <f t="shared" ca="1" si="138"/>
        <v/>
      </c>
      <c r="BQ508" s="124" t="str">
        <f t="shared" ca="1" si="138"/>
        <v/>
      </c>
      <c r="BR508" s="124" t="str">
        <f t="shared" ca="1" si="138"/>
        <v/>
      </c>
      <c r="BS508" s="124" t="str">
        <f t="shared" ca="1" si="135"/>
        <v/>
      </c>
      <c r="BT508" s="124" t="str">
        <f t="shared" ca="1" si="135"/>
        <v/>
      </c>
      <c r="BU508" s="124" t="str">
        <f t="shared" ca="1" si="97"/>
        <v/>
      </c>
    </row>
    <row r="509" spans="1:73" x14ac:dyDescent="0.15">
      <c r="A509">
        <v>89</v>
      </c>
      <c r="B509" s="124" t="str">
        <f t="shared" ca="1" si="98"/>
        <v/>
      </c>
      <c r="C509" s="123" t="str">
        <f ca="1">IF(A509&lt;=①簡易状況入力!$AC$5,INDIRECT("A"&amp;VLOOKUP($A509,①簡易状況入力!$Y$5:$AB$104,4,FALSE)),"")</f>
        <v/>
      </c>
      <c r="D509" s="125" t="str">
        <f t="shared" ca="1" si="99"/>
        <v/>
      </c>
      <c r="E509" s="125" t="str">
        <f t="shared" ca="1" si="100"/>
        <v/>
      </c>
      <c r="F509" s="125" t="str">
        <f t="shared" ca="1" si="101"/>
        <v/>
      </c>
      <c r="G509" s="125" t="str">
        <f t="shared" ca="1" si="102"/>
        <v/>
      </c>
      <c r="H509" s="125" t="str">
        <f t="shared" ca="1" si="103"/>
        <v/>
      </c>
      <c r="I509" s="125" t="str">
        <f t="shared" ca="1" si="104"/>
        <v/>
      </c>
      <c r="J509" s="125" t="str">
        <f t="shared" ca="1" si="105"/>
        <v/>
      </c>
      <c r="K509" s="125" t="str">
        <f t="shared" ca="1" si="106"/>
        <v/>
      </c>
      <c r="L509" s="125" t="str">
        <f t="shared" ca="1" si="107"/>
        <v/>
      </c>
      <c r="M509" s="125" t="str">
        <f t="shared" ca="1" si="108"/>
        <v/>
      </c>
      <c r="N509" s="125" t="str">
        <f t="shared" ca="1" si="109"/>
        <v/>
      </c>
      <c r="O509" s="125" t="str">
        <f t="shared" ca="1" si="110"/>
        <v/>
      </c>
      <c r="P509" s="125" t="str">
        <f t="shared" ca="1" si="111"/>
        <v/>
      </c>
      <c r="Q509" s="125" t="str">
        <f t="shared" ca="1" si="112"/>
        <v/>
      </c>
      <c r="R509" s="125" t="str">
        <f t="shared" ca="1" si="113"/>
        <v/>
      </c>
      <c r="S509" s="125" t="str">
        <f t="shared" ca="1" si="114"/>
        <v/>
      </c>
      <c r="T509" s="125" t="str">
        <f t="shared" ca="1" si="115"/>
        <v/>
      </c>
      <c r="U509" s="125" t="str">
        <f t="shared" ca="1" si="116"/>
        <v/>
      </c>
      <c r="V509" s="125" t="str">
        <f t="shared" ca="1" si="117"/>
        <v/>
      </c>
      <c r="W509" s="125" t="str">
        <f t="shared" ca="1" si="118"/>
        <v/>
      </c>
      <c r="X509" s="125" t="str">
        <f t="shared" ca="1" si="119"/>
        <v/>
      </c>
      <c r="Y509" s="125" t="str">
        <f t="shared" ca="1" si="120"/>
        <v/>
      </c>
      <c r="Z509" s="125" t="str">
        <f t="shared" ca="1" si="121"/>
        <v/>
      </c>
      <c r="AA509" s="125" t="str">
        <f t="shared" ca="1" si="122"/>
        <v/>
      </c>
      <c r="AB509" s="125" t="str">
        <f t="shared" ca="1" si="123"/>
        <v/>
      </c>
      <c r="AC509" s="125" t="str">
        <f t="shared" ca="1" si="124"/>
        <v/>
      </c>
      <c r="AD509" s="125" t="str">
        <f t="shared" ca="1" si="125"/>
        <v/>
      </c>
      <c r="AE509" s="125" t="str">
        <f t="shared" ca="1" si="126"/>
        <v/>
      </c>
      <c r="AF509" s="125" t="str">
        <f t="shared" ca="1" si="127"/>
        <v/>
      </c>
      <c r="AG509" s="125" t="str">
        <f t="shared" ca="1" si="128"/>
        <v/>
      </c>
      <c r="AH509" s="125" t="str">
        <f t="shared" ca="1" si="129"/>
        <v/>
      </c>
      <c r="AI509" s="125" t="str">
        <f t="shared" ca="1" si="130"/>
        <v/>
      </c>
      <c r="AJ509" s="125" t="str">
        <f t="shared" ca="1" si="131"/>
        <v/>
      </c>
      <c r="AK509" s="125" t="str">
        <f t="shared" ca="1" si="132"/>
        <v/>
      </c>
      <c r="AL509" s="125" t="str">
        <f t="shared" ca="1" si="133"/>
        <v/>
      </c>
      <c r="AM509" s="124" t="str">
        <f t="shared" ca="1" si="137"/>
        <v/>
      </c>
      <c r="AN509" s="124" t="str">
        <f t="shared" ca="1" si="137"/>
        <v/>
      </c>
      <c r="AO509" s="124" t="str">
        <f t="shared" ca="1" si="137"/>
        <v/>
      </c>
      <c r="AP509" s="124" t="str">
        <f t="shared" ca="1" si="137"/>
        <v/>
      </c>
      <c r="AQ509" s="124" t="str">
        <f t="shared" ca="1" si="137"/>
        <v/>
      </c>
      <c r="AR509" s="124" t="str">
        <f t="shared" ca="1" si="137"/>
        <v/>
      </c>
      <c r="AS509" s="124" t="str">
        <f t="shared" ca="1" si="137"/>
        <v/>
      </c>
      <c r="AT509" s="124" t="str">
        <f t="shared" ca="1" si="137"/>
        <v/>
      </c>
      <c r="AU509" s="124" t="str">
        <f t="shared" ca="1" si="137"/>
        <v/>
      </c>
      <c r="AV509" s="124" t="str">
        <f t="shared" ca="1" si="137"/>
        <v/>
      </c>
      <c r="AW509" s="124" t="str">
        <f t="shared" ca="1" si="137"/>
        <v/>
      </c>
      <c r="AX509" s="124" t="str">
        <f t="shared" ca="1" si="137"/>
        <v/>
      </c>
      <c r="AY509" s="124" t="str">
        <f t="shared" ca="1" si="137"/>
        <v/>
      </c>
      <c r="AZ509" s="124" t="str">
        <f t="shared" ca="1" si="137"/>
        <v/>
      </c>
      <c r="BA509" s="124" t="str">
        <f t="shared" ca="1" si="137"/>
        <v/>
      </c>
      <c r="BB509" s="124" t="str">
        <f t="shared" ca="1" si="136"/>
        <v/>
      </c>
      <c r="BC509" s="124" t="str">
        <f t="shared" ca="1" si="136"/>
        <v/>
      </c>
      <c r="BD509" s="124" t="str">
        <f t="shared" ca="1" si="136"/>
        <v/>
      </c>
      <c r="BE509" s="124" t="str">
        <f t="shared" ca="1" si="136"/>
        <v/>
      </c>
      <c r="BF509" s="124" t="str">
        <f t="shared" ca="1" si="136"/>
        <v/>
      </c>
      <c r="BG509" s="124" t="str">
        <f t="shared" ca="1" si="136"/>
        <v/>
      </c>
      <c r="BH509" s="124" t="str">
        <f t="shared" ca="1" si="136"/>
        <v/>
      </c>
      <c r="BI509" s="124" t="str">
        <f t="shared" ca="1" si="136"/>
        <v/>
      </c>
      <c r="BJ509" s="124" t="str">
        <f t="shared" ca="1" si="136"/>
        <v/>
      </c>
      <c r="BK509" s="124" t="str">
        <f t="shared" ca="1" si="136"/>
        <v/>
      </c>
      <c r="BL509" s="124" t="str">
        <f t="shared" ca="1" si="138"/>
        <v/>
      </c>
      <c r="BM509" s="124" t="str">
        <f t="shared" ca="1" si="138"/>
        <v/>
      </c>
      <c r="BN509" s="124" t="str">
        <f t="shared" ca="1" si="138"/>
        <v/>
      </c>
      <c r="BO509" s="124" t="str">
        <f t="shared" ca="1" si="138"/>
        <v/>
      </c>
      <c r="BP509" s="124" t="str">
        <f t="shared" ca="1" si="138"/>
        <v/>
      </c>
      <c r="BQ509" s="124" t="str">
        <f t="shared" ca="1" si="138"/>
        <v/>
      </c>
      <c r="BR509" s="124" t="str">
        <f t="shared" ca="1" si="138"/>
        <v/>
      </c>
      <c r="BS509" s="124" t="str">
        <f t="shared" ca="1" si="135"/>
        <v/>
      </c>
      <c r="BT509" s="124" t="str">
        <f t="shared" ca="1" si="135"/>
        <v/>
      </c>
      <c r="BU509" s="124" t="str">
        <f t="shared" ca="1" si="97"/>
        <v/>
      </c>
    </row>
    <row r="510" spans="1:73" x14ac:dyDescent="0.15">
      <c r="A510">
        <v>90</v>
      </c>
      <c r="B510" s="124" t="str">
        <f t="shared" ca="1" si="98"/>
        <v/>
      </c>
      <c r="C510" s="123" t="str">
        <f ca="1">IF(A510&lt;=①簡易状況入力!$AC$5,INDIRECT("A"&amp;VLOOKUP($A510,①簡易状況入力!$Y$5:$AB$104,4,FALSE)),"")</f>
        <v/>
      </c>
      <c r="D510" s="125" t="str">
        <f t="shared" ca="1" si="99"/>
        <v/>
      </c>
      <c r="E510" s="125" t="str">
        <f t="shared" ca="1" si="100"/>
        <v/>
      </c>
      <c r="F510" s="125" t="str">
        <f t="shared" ca="1" si="101"/>
        <v/>
      </c>
      <c r="G510" s="125" t="str">
        <f t="shared" ca="1" si="102"/>
        <v/>
      </c>
      <c r="H510" s="125" t="str">
        <f t="shared" ca="1" si="103"/>
        <v/>
      </c>
      <c r="I510" s="125" t="str">
        <f t="shared" ca="1" si="104"/>
        <v/>
      </c>
      <c r="J510" s="125" t="str">
        <f t="shared" ca="1" si="105"/>
        <v/>
      </c>
      <c r="K510" s="125" t="str">
        <f t="shared" ca="1" si="106"/>
        <v/>
      </c>
      <c r="L510" s="125" t="str">
        <f t="shared" ca="1" si="107"/>
        <v/>
      </c>
      <c r="M510" s="125" t="str">
        <f t="shared" ca="1" si="108"/>
        <v/>
      </c>
      <c r="N510" s="125" t="str">
        <f t="shared" ca="1" si="109"/>
        <v/>
      </c>
      <c r="O510" s="125" t="str">
        <f t="shared" ca="1" si="110"/>
        <v/>
      </c>
      <c r="P510" s="125" t="str">
        <f t="shared" ca="1" si="111"/>
        <v/>
      </c>
      <c r="Q510" s="125" t="str">
        <f t="shared" ca="1" si="112"/>
        <v/>
      </c>
      <c r="R510" s="125" t="str">
        <f t="shared" ca="1" si="113"/>
        <v/>
      </c>
      <c r="S510" s="125" t="str">
        <f t="shared" ca="1" si="114"/>
        <v/>
      </c>
      <c r="T510" s="125" t="str">
        <f t="shared" ca="1" si="115"/>
        <v/>
      </c>
      <c r="U510" s="125" t="str">
        <f t="shared" ca="1" si="116"/>
        <v/>
      </c>
      <c r="V510" s="125" t="str">
        <f t="shared" ca="1" si="117"/>
        <v/>
      </c>
      <c r="W510" s="125" t="str">
        <f t="shared" ca="1" si="118"/>
        <v/>
      </c>
      <c r="X510" s="125" t="str">
        <f t="shared" ca="1" si="119"/>
        <v/>
      </c>
      <c r="Y510" s="125" t="str">
        <f t="shared" ca="1" si="120"/>
        <v/>
      </c>
      <c r="Z510" s="125" t="str">
        <f t="shared" ca="1" si="121"/>
        <v/>
      </c>
      <c r="AA510" s="125" t="str">
        <f t="shared" ca="1" si="122"/>
        <v/>
      </c>
      <c r="AB510" s="125" t="str">
        <f t="shared" ca="1" si="123"/>
        <v/>
      </c>
      <c r="AC510" s="125" t="str">
        <f t="shared" ca="1" si="124"/>
        <v/>
      </c>
      <c r="AD510" s="125" t="str">
        <f t="shared" ca="1" si="125"/>
        <v/>
      </c>
      <c r="AE510" s="125" t="str">
        <f t="shared" ca="1" si="126"/>
        <v/>
      </c>
      <c r="AF510" s="125" t="str">
        <f t="shared" ca="1" si="127"/>
        <v/>
      </c>
      <c r="AG510" s="125" t="str">
        <f t="shared" ca="1" si="128"/>
        <v/>
      </c>
      <c r="AH510" s="125" t="str">
        <f t="shared" ca="1" si="129"/>
        <v/>
      </c>
      <c r="AI510" s="125" t="str">
        <f t="shared" ca="1" si="130"/>
        <v/>
      </c>
      <c r="AJ510" s="125" t="str">
        <f t="shared" ca="1" si="131"/>
        <v/>
      </c>
      <c r="AK510" s="125" t="str">
        <f t="shared" ca="1" si="132"/>
        <v/>
      </c>
      <c r="AL510" s="125" t="str">
        <f t="shared" ca="1" si="133"/>
        <v/>
      </c>
      <c r="AM510" s="124" t="str">
        <f t="shared" ca="1" si="137"/>
        <v/>
      </c>
      <c r="AN510" s="124" t="str">
        <f t="shared" ca="1" si="137"/>
        <v/>
      </c>
      <c r="AO510" s="124" t="str">
        <f t="shared" ca="1" si="137"/>
        <v/>
      </c>
      <c r="AP510" s="124" t="str">
        <f t="shared" ca="1" si="137"/>
        <v/>
      </c>
      <c r="AQ510" s="124" t="str">
        <f t="shared" ca="1" si="137"/>
        <v/>
      </c>
      <c r="AR510" s="124" t="str">
        <f t="shared" ca="1" si="137"/>
        <v/>
      </c>
      <c r="AS510" s="124" t="str">
        <f t="shared" ca="1" si="137"/>
        <v/>
      </c>
      <c r="AT510" s="124" t="str">
        <f t="shared" ca="1" si="137"/>
        <v/>
      </c>
      <c r="AU510" s="124" t="str">
        <f t="shared" ca="1" si="137"/>
        <v/>
      </c>
      <c r="AV510" s="124" t="str">
        <f t="shared" ca="1" si="137"/>
        <v/>
      </c>
      <c r="AW510" s="124" t="str">
        <f t="shared" ca="1" si="137"/>
        <v/>
      </c>
      <c r="AX510" s="124" t="str">
        <f t="shared" ca="1" si="137"/>
        <v/>
      </c>
      <c r="AY510" s="124" t="str">
        <f t="shared" ca="1" si="137"/>
        <v/>
      </c>
      <c r="AZ510" s="124" t="str">
        <f t="shared" ca="1" si="137"/>
        <v/>
      </c>
      <c r="BA510" s="124" t="str">
        <f t="shared" ca="1" si="137"/>
        <v/>
      </c>
      <c r="BB510" s="124" t="str">
        <f t="shared" ca="1" si="136"/>
        <v/>
      </c>
      <c r="BC510" s="124" t="str">
        <f t="shared" ca="1" si="136"/>
        <v/>
      </c>
      <c r="BD510" s="124" t="str">
        <f t="shared" ca="1" si="136"/>
        <v/>
      </c>
      <c r="BE510" s="124" t="str">
        <f t="shared" ca="1" si="136"/>
        <v/>
      </c>
      <c r="BF510" s="124" t="str">
        <f t="shared" ca="1" si="136"/>
        <v/>
      </c>
      <c r="BG510" s="124" t="str">
        <f t="shared" ca="1" si="136"/>
        <v/>
      </c>
      <c r="BH510" s="124" t="str">
        <f t="shared" ca="1" si="136"/>
        <v/>
      </c>
      <c r="BI510" s="124" t="str">
        <f t="shared" ca="1" si="136"/>
        <v/>
      </c>
      <c r="BJ510" s="124" t="str">
        <f t="shared" ca="1" si="136"/>
        <v/>
      </c>
      <c r="BK510" s="124" t="str">
        <f t="shared" ca="1" si="136"/>
        <v/>
      </c>
      <c r="BL510" s="124" t="str">
        <f t="shared" ca="1" si="138"/>
        <v/>
      </c>
      <c r="BM510" s="124" t="str">
        <f t="shared" ca="1" si="138"/>
        <v/>
      </c>
      <c r="BN510" s="124" t="str">
        <f t="shared" ca="1" si="138"/>
        <v/>
      </c>
      <c r="BO510" s="124" t="str">
        <f t="shared" ca="1" si="138"/>
        <v/>
      </c>
      <c r="BP510" s="124" t="str">
        <f t="shared" ca="1" si="138"/>
        <v/>
      </c>
      <c r="BQ510" s="124" t="str">
        <f t="shared" ca="1" si="138"/>
        <v/>
      </c>
      <c r="BR510" s="124" t="str">
        <f t="shared" ca="1" si="138"/>
        <v/>
      </c>
      <c r="BS510" s="124" t="str">
        <f t="shared" ca="1" si="135"/>
        <v/>
      </c>
      <c r="BT510" s="124" t="str">
        <f t="shared" ca="1" si="135"/>
        <v/>
      </c>
      <c r="BU510" s="124" t="str">
        <f t="shared" ca="1" si="97"/>
        <v/>
      </c>
    </row>
    <row r="511" spans="1:73" x14ac:dyDescent="0.15">
      <c r="A511">
        <v>91</v>
      </c>
      <c r="B511" s="124" t="str">
        <f t="shared" ca="1" si="98"/>
        <v/>
      </c>
      <c r="C511" s="123" t="str">
        <f ca="1">IF(A511&lt;=①簡易状況入力!$AC$5,INDIRECT("A"&amp;VLOOKUP($A511,①簡易状況入力!$Y$5:$AB$104,4,FALSE)),"")</f>
        <v/>
      </c>
      <c r="D511" s="125" t="str">
        <f t="shared" ca="1" si="99"/>
        <v/>
      </c>
      <c r="E511" s="125" t="str">
        <f t="shared" ca="1" si="100"/>
        <v/>
      </c>
      <c r="F511" s="125" t="str">
        <f t="shared" ca="1" si="101"/>
        <v/>
      </c>
      <c r="G511" s="125" t="str">
        <f t="shared" ca="1" si="102"/>
        <v/>
      </c>
      <c r="H511" s="125" t="str">
        <f t="shared" ca="1" si="103"/>
        <v/>
      </c>
      <c r="I511" s="125" t="str">
        <f t="shared" ca="1" si="104"/>
        <v/>
      </c>
      <c r="J511" s="125" t="str">
        <f t="shared" ca="1" si="105"/>
        <v/>
      </c>
      <c r="K511" s="125" t="str">
        <f t="shared" ca="1" si="106"/>
        <v/>
      </c>
      <c r="L511" s="125" t="str">
        <f t="shared" ca="1" si="107"/>
        <v/>
      </c>
      <c r="M511" s="125" t="str">
        <f t="shared" ca="1" si="108"/>
        <v/>
      </c>
      <c r="N511" s="125" t="str">
        <f t="shared" ca="1" si="109"/>
        <v/>
      </c>
      <c r="O511" s="125" t="str">
        <f t="shared" ca="1" si="110"/>
        <v/>
      </c>
      <c r="P511" s="125" t="str">
        <f t="shared" ca="1" si="111"/>
        <v/>
      </c>
      <c r="Q511" s="125" t="str">
        <f t="shared" ca="1" si="112"/>
        <v/>
      </c>
      <c r="R511" s="125" t="str">
        <f t="shared" ca="1" si="113"/>
        <v/>
      </c>
      <c r="S511" s="125" t="str">
        <f t="shared" ca="1" si="114"/>
        <v/>
      </c>
      <c r="T511" s="125" t="str">
        <f t="shared" ca="1" si="115"/>
        <v/>
      </c>
      <c r="U511" s="125" t="str">
        <f t="shared" ca="1" si="116"/>
        <v/>
      </c>
      <c r="V511" s="125" t="str">
        <f t="shared" ca="1" si="117"/>
        <v/>
      </c>
      <c r="W511" s="125" t="str">
        <f t="shared" ca="1" si="118"/>
        <v/>
      </c>
      <c r="X511" s="125" t="str">
        <f t="shared" ca="1" si="119"/>
        <v/>
      </c>
      <c r="Y511" s="125" t="str">
        <f t="shared" ca="1" si="120"/>
        <v/>
      </c>
      <c r="Z511" s="125" t="str">
        <f t="shared" ca="1" si="121"/>
        <v/>
      </c>
      <c r="AA511" s="125" t="str">
        <f t="shared" ca="1" si="122"/>
        <v/>
      </c>
      <c r="AB511" s="125" t="str">
        <f t="shared" ca="1" si="123"/>
        <v/>
      </c>
      <c r="AC511" s="125" t="str">
        <f t="shared" ca="1" si="124"/>
        <v/>
      </c>
      <c r="AD511" s="125" t="str">
        <f t="shared" ca="1" si="125"/>
        <v/>
      </c>
      <c r="AE511" s="125" t="str">
        <f t="shared" ca="1" si="126"/>
        <v/>
      </c>
      <c r="AF511" s="125" t="str">
        <f t="shared" ca="1" si="127"/>
        <v/>
      </c>
      <c r="AG511" s="125" t="str">
        <f t="shared" ca="1" si="128"/>
        <v/>
      </c>
      <c r="AH511" s="125" t="str">
        <f t="shared" ca="1" si="129"/>
        <v/>
      </c>
      <c r="AI511" s="125" t="str">
        <f t="shared" ca="1" si="130"/>
        <v/>
      </c>
      <c r="AJ511" s="125" t="str">
        <f t="shared" ca="1" si="131"/>
        <v/>
      </c>
      <c r="AK511" s="125" t="str">
        <f t="shared" ca="1" si="132"/>
        <v/>
      </c>
      <c r="AL511" s="125" t="str">
        <f t="shared" ca="1" si="133"/>
        <v/>
      </c>
      <c r="AM511" s="124" t="str">
        <f t="shared" ca="1" si="137"/>
        <v/>
      </c>
      <c r="AN511" s="124" t="str">
        <f t="shared" ca="1" si="137"/>
        <v/>
      </c>
      <c r="AO511" s="124" t="str">
        <f t="shared" ca="1" si="137"/>
        <v/>
      </c>
      <c r="AP511" s="124" t="str">
        <f t="shared" ca="1" si="137"/>
        <v/>
      </c>
      <c r="AQ511" s="124" t="str">
        <f t="shared" ca="1" si="137"/>
        <v/>
      </c>
      <c r="AR511" s="124" t="str">
        <f t="shared" ca="1" si="137"/>
        <v/>
      </c>
      <c r="AS511" s="124" t="str">
        <f t="shared" ca="1" si="137"/>
        <v/>
      </c>
      <c r="AT511" s="124" t="str">
        <f t="shared" ca="1" si="137"/>
        <v/>
      </c>
      <c r="AU511" s="124" t="str">
        <f t="shared" ca="1" si="137"/>
        <v/>
      </c>
      <c r="AV511" s="124" t="str">
        <f t="shared" ca="1" si="137"/>
        <v/>
      </c>
      <c r="AW511" s="124" t="str">
        <f t="shared" ca="1" si="137"/>
        <v/>
      </c>
      <c r="AX511" s="124" t="str">
        <f t="shared" ca="1" si="137"/>
        <v/>
      </c>
      <c r="AY511" s="124" t="str">
        <f t="shared" ca="1" si="137"/>
        <v/>
      </c>
      <c r="AZ511" s="124" t="str">
        <f t="shared" ca="1" si="137"/>
        <v/>
      </c>
      <c r="BA511" s="124" t="str">
        <f t="shared" ca="1" si="137"/>
        <v/>
      </c>
      <c r="BB511" s="124" t="str">
        <f t="shared" ca="1" si="136"/>
        <v/>
      </c>
      <c r="BC511" s="124" t="str">
        <f t="shared" ca="1" si="136"/>
        <v/>
      </c>
      <c r="BD511" s="124" t="str">
        <f t="shared" ca="1" si="136"/>
        <v/>
      </c>
      <c r="BE511" s="124" t="str">
        <f t="shared" ca="1" si="136"/>
        <v/>
      </c>
      <c r="BF511" s="124" t="str">
        <f t="shared" ca="1" si="136"/>
        <v/>
      </c>
      <c r="BG511" s="124" t="str">
        <f t="shared" ca="1" si="136"/>
        <v/>
      </c>
      <c r="BH511" s="124" t="str">
        <f t="shared" ca="1" si="136"/>
        <v/>
      </c>
      <c r="BI511" s="124" t="str">
        <f t="shared" ca="1" si="136"/>
        <v/>
      </c>
      <c r="BJ511" s="124" t="str">
        <f t="shared" ca="1" si="136"/>
        <v/>
      </c>
      <c r="BK511" s="124" t="str">
        <f t="shared" ca="1" si="136"/>
        <v/>
      </c>
      <c r="BL511" s="124" t="str">
        <f t="shared" ca="1" si="138"/>
        <v/>
      </c>
      <c r="BM511" s="124" t="str">
        <f t="shared" ca="1" si="138"/>
        <v/>
      </c>
      <c r="BN511" s="124" t="str">
        <f t="shared" ca="1" si="138"/>
        <v/>
      </c>
      <c r="BO511" s="124" t="str">
        <f t="shared" ca="1" si="138"/>
        <v/>
      </c>
      <c r="BP511" s="124" t="str">
        <f t="shared" ca="1" si="138"/>
        <v/>
      </c>
      <c r="BQ511" s="124" t="str">
        <f t="shared" ca="1" si="138"/>
        <v/>
      </c>
      <c r="BR511" s="124" t="str">
        <f t="shared" ca="1" si="138"/>
        <v/>
      </c>
      <c r="BS511" s="124" t="str">
        <f t="shared" ca="1" si="135"/>
        <v/>
      </c>
      <c r="BT511" s="124" t="str">
        <f t="shared" ca="1" si="135"/>
        <v/>
      </c>
      <c r="BU511" s="124" t="str">
        <f t="shared" ca="1" si="97"/>
        <v/>
      </c>
    </row>
    <row r="512" spans="1:73" x14ac:dyDescent="0.15">
      <c r="A512">
        <v>92</v>
      </c>
      <c r="B512" s="124" t="str">
        <f t="shared" ca="1" si="98"/>
        <v/>
      </c>
      <c r="C512" s="123" t="str">
        <f ca="1">IF(A512&lt;=①簡易状況入力!$AC$5,INDIRECT("A"&amp;VLOOKUP($A512,①簡易状況入力!$Y$5:$AB$104,4,FALSE)),"")</f>
        <v/>
      </c>
      <c r="D512" s="125" t="str">
        <f t="shared" ca="1" si="99"/>
        <v/>
      </c>
      <c r="E512" s="125" t="str">
        <f t="shared" ca="1" si="100"/>
        <v/>
      </c>
      <c r="F512" s="125" t="str">
        <f t="shared" ca="1" si="101"/>
        <v/>
      </c>
      <c r="G512" s="125" t="str">
        <f t="shared" ca="1" si="102"/>
        <v/>
      </c>
      <c r="H512" s="125" t="str">
        <f t="shared" ca="1" si="103"/>
        <v/>
      </c>
      <c r="I512" s="125" t="str">
        <f t="shared" ca="1" si="104"/>
        <v/>
      </c>
      <c r="J512" s="125" t="str">
        <f t="shared" ca="1" si="105"/>
        <v/>
      </c>
      <c r="K512" s="125" t="str">
        <f t="shared" ca="1" si="106"/>
        <v/>
      </c>
      <c r="L512" s="125" t="str">
        <f t="shared" ca="1" si="107"/>
        <v/>
      </c>
      <c r="M512" s="125" t="str">
        <f t="shared" ca="1" si="108"/>
        <v/>
      </c>
      <c r="N512" s="125" t="str">
        <f t="shared" ca="1" si="109"/>
        <v/>
      </c>
      <c r="O512" s="125" t="str">
        <f t="shared" ca="1" si="110"/>
        <v/>
      </c>
      <c r="P512" s="125" t="str">
        <f t="shared" ca="1" si="111"/>
        <v/>
      </c>
      <c r="Q512" s="125" t="str">
        <f t="shared" ca="1" si="112"/>
        <v/>
      </c>
      <c r="R512" s="125" t="str">
        <f t="shared" ca="1" si="113"/>
        <v/>
      </c>
      <c r="S512" s="125" t="str">
        <f t="shared" ca="1" si="114"/>
        <v/>
      </c>
      <c r="T512" s="125" t="str">
        <f t="shared" ca="1" si="115"/>
        <v/>
      </c>
      <c r="U512" s="125" t="str">
        <f t="shared" ca="1" si="116"/>
        <v/>
      </c>
      <c r="V512" s="125" t="str">
        <f t="shared" ca="1" si="117"/>
        <v/>
      </c>
      <c r="W512" s="125" t="str">
        <f t="shared" ca="1" si="118"/>
        <v/>
      </c>
      <c r="X512" s="125" t="str">
        <f t="shared" ca="1" si="119"/>
        <v/>
      </c>
      <c r="Y512" s="125" t="str">
        <f t="shared" ca="1" si="120"/>
        <v/>
      </c>
      <c r="Z512" s="125" t="str">
        <f t="shared" ca="1" si="121"/>
        <v/>
      </c>
      <c r="AA512" s="125" t="str">
        <f t="shared" ca="1" si="122"/>
        <v/>
      </c>
      <c r="AB512" s="125" t="str">
        <f t="shared" ca="1" si="123"/>
        <v/>
      </c>
      <c r="AC512" s="125" t="str">
        <f t="shared" ca="1" si="124"/>
        <v/>
      </c>
      <c r="AD512" s="125" t="str">
        <f t="shared" ca="1" si="125"/>
        <v/>
      </c>
      <c r="AE512" s="125" t="str">
        <f t="shared" ca="1" si="126"/>
        <v/>
      </c>
      <c r="AF512" s="125" t="str">
        <f t="shared" ca="1" si="127"/>
        <v/>
      </c>
      <c r="AG512" s="125" t="str">
        <f t="shared" ca="1" si="128"/>
        <v/>
      </c>
      <c r="AH512" s="125" t="str">
        <f t="shared" ca="1" si="129"/>
        <v/>
      </c>
      <c r="AI512" s="125" t="str">
        <f t="shared" ca="1" si="130"/>
        <v/>
      </c>
      <c r="AJ512" s="125" t="str">
        <f t="shared" ca="1" si="131"/>
        <v/>
      </c>
      <c r="AK512" s="125" t="str">
        <f t="shared" ca="1" si="132"/>
        <v/>
      </c>
      <c r="AL512" s="125" t="str">
        <f t="shared" ca="1" si="133"/>
        <v/>
      </c>
      <c r="AM512" s="124" t="str">
        <f t="shared" ca="1" si="137"/>
        <v/>
      </c>
      <c r="AN512" s="124" t="str">
        <f t="shared" ca="1" si="137"/>
        <v/>
      </c>
      <c r="AO512" s="124" t="str">
        <f t="shared" ca="1" si="137"/>
        <v/>
      </c>
      <c r="AP512" s="124" t="str">
        <f t="shared" ca="1" si="137"/>
        <v/>
      </c>
      <c r="AQ512" s="124" t="str">
        <f t="shared" ca="1" si="137"/>
        <v/>
      </c>
      <c r="AR512" s="124" t="str">
        <f t="shared" ca="1" si="137"/>
        <v/>
      </c>
      <c r="AS512" s="124" t="str">
        <f t="shared" ca="1" si="137"/>
        <v/>
      </c>
      <c r="AT512" s="124" t="str">
        <f t="shared" ca="1" si="137"/>
        <v/>
      </c>
      <c r="AU512" s="124" t="str">
        <f t="shared" ca="1" si="137"/>
        <v/>
      </c>
      <c r="AV512" s="124" t="str">
        <f t="shared" ca="1" si="137"/>
        <v/>
      </c>
      <c r="AW512" s="124" t="str">
        <f t="shared" ca="1" si="137"/>
        <v/>
      </c>
      <c r="AX512" s="124" t="str">
        <f t="shared" ca="1" si="137"/>
        <v/>
      </c>
      <c r="AY512" s="124" t="str">
        <f t="shared" ca="1" si="137"/>
        <v/>
      </c>
      <c r="AZ512" s="124" t="str">
        <f t="shared" ca="1" si="137"/>
        <v/>
      </c>
      <c r="BA512" s="124" t="str">
        <f t="shared" ca="1" si="137"/>
        <v/>
      </c>
      <c r="BB512" s="124" t="str">
        <f t="shared" ca="1" si="136"/>
        <v/>
      </c>
      <c r="BC512" s="124" t="str">
        <f t="shared" ca="1" si="136"/>
        <v/>
      </c>
      <c r="BD512" s="124" t="str">
        <f t="shared" ca="1" si="136"/>
        <v/>
      </c>
      <c r="BE512" s="124" t="str">
        <f t="shared" ca="1" si="136"/>
        <v/>
      </c>
      <c r="BF512" s="124" t="str">
        <f t="shared" ca="1" si="136"/>
        <v/>
      </c>
      <c r="BG512" s="124" t="str">
        <f t="shared" ca="1" si="136"/>
        <v/>
      </c>
      <c r="BH512" s="124" t="str">
        <f t="shared" ca="1" si="136"/>
        <v/>
      </c>
      <c r="BI512" s="124" t="str">
        <f t="shared" ca="1" si="136"/>
        <v/>
      </c>
      <c r="BJ512" s="124" t="str">
        <f t="shared" ca="1" si="136"/>
        <v/>
      </c>
      <c r="BK512" s="124" t="str">
        <f t="shared" ca="1" si="136"/>
        <v/>
      </c>
      <c r="BL512" s="124" t="str">
        <f t="shared" ca="1" si="138"/>
        <v/>
      </c>
      <c r="BM512" s="124" t="str">
        <f t="shared" ca="1" si="138"/>
        <v/>
      </c>
      <c r="BN512" s="124" t="str">
        <f t="shared" ca="1" si="138"/>
        <v/>
      </c>
      <c r="BO512" s="124" t="str">
        <f t="shared" ca="1" si="138"/>
        <v/>
      </c>
      <c r="BP512" s="124" t="str">
        <f t="shared" ca="1" si="138"/>
        <v/>
      </c>
      <c r="BQ512" s="124" t="str">
        <f t="shared" ca="1" si="138"/>
        <v/>
      </c>
      <c r="BR512" s="124" t="str">
        <f t="shared" ca="1" si="138"/>
        <v/>
      </c>
      <c r="BS512" s="124" t="str">
        <f t="shared" ca="1" si="135"/>
        <v/>
      </c>
      <c r="BT512" s="124" t="str">
        <f t="shared" ca="1" si="135"/>
        <v/>
      </c>
      <c r="BU512" s="124" t="str">
        <f t="shared" ca="1" si="97"/>
        <v/>
      </c>
    </row>
    <row r="513" spans="1:73" x14ac:dyDescent="0.15">
      <c r="A513">
        <v>93</v>
      </c>
      <c r="B513" s="124" t="str">
        <f t="shared" ca="1" si="98"/>
        <v/>
      </c>
      <c r="C513" s="123" t="str">
        <f ca="1">IF(A513&lt;=①簡易状況入力!$AC$5,INDIRECT("A"&amp;VLOOKUP($A513,①簡易状況入力!$Y$5:$AB$104,4,FALSE)),"")</f>
        <v/>
      </c>
      <c r="D513" s="125" t="str">
        <f t="shared" ca="1" si="99"/>
        <v/>
      </c>
      <c r="E513" s="125" t="str">
        <f t="shared" ca="1" si="100"/>
        <v/>
      </c>
      <c r="F513" s="125" t="str">
        <f t="shared" ca="1" si="101"/>
        <v/>
      </c>
      <c r="G513" s="125" t="str">
        <f t="shared" ca="1" si="102"/>
        <v/>
      </c>
      <c r="H513" s="125" t="str">
        <f t="shared" ca="1" si="103"/>
        <v/>
      </c>
      <c r="I513" s="125" t="str">
        <f t="shared" ca="1" si="104"/>
        <v/>
      </c>
      <c r="J513" s="125" t="str">
        <f t="shared" ca="1" si="105"/>
        <v/>
      </c>
      <c r="K513" s="125" t="str">
        <f t="shared" ca="1" si="106"/>
        <v/>
      </c>
      <c r="L513" s="125" t="str">
        <f t="shared" ca="1" si="107"/>
        <v/>
      </c>
      <c r="M513" s="125" t="str">
        <f t="shared" ca="1" si="108"/>
        <v/>
      </c>
      <c r="N513" s="125" t="str">
        <f t="shared" ca="1" si="109"/>
        <v/>
      </c>
      <c r="O513" s="125" t="str">
        <f t="shared" ca="1" si="110"/>
        <v/>
      </c>
      <c r="P513" s="125" t="str">
        <f t="shared" ca="1" si="111"/>
        <v/>
      </c>
      <c r="Q513" s="125" t="str">
        <f t="shared" ca="1" si="112"/>
        <v/>
      </c>
      <c r="R513" s="125" t="str">
        <f t="shared" ca="1" si="113"/>
        <v/>
      </c>
      <c r="S513" s="125" t="str">
        <f t="shared" ca="1" si="114"/>
        <v/>
      </c>
      <c r="T513" s="125" t="str">
        <f t="shared" ca="1" si="115"/>
        <v/>
      </c>
      <c r="U513" s="125" t="str">
        <f t="shared" ca="1" si="116"/>
        <v/>
      </c>
      <c r="V513" s="125" t="str">
        <f t="shared" ca="1" si="117"/>
        <v/>
      </c>
      <c r="W513" s="125" t="str">
        <f t="shared" ca="1" si="118"/>
        <v/>
      </c>
      <c r="X513" s="125" t="str">
        <f t="shared" ca="1" si="119"/>
        <v/>
      </c>
      <c r="Y513" s="125" t="str">
        <f t="shared" ca="1" si="120"/>
        <v/>
      </c>
      <c r="Z513" s="125" t="str">
        <f t="shared" ca="1" si="121"/>
        <v/>
      </c>
      <c r="AA513" s="125" t="str">
        <f t="shared" ca="1" si="122"/>
        <v/>
      </c>
      <c r="AB513" s="125" t="str">
        <f t="shared" ca="1" si="123"/>
        <v/>
      </c>
      <c r="AC513" s="125" t="str">
        <f t="shared" ca="1" si="124"/>
        <v/>
      </c>
      <c r="AD513" s="125" t="str">
        <f t="shared" ca="1" si="125"/>
        <v/>
      </c>
      <c r="AE513" s="125" t="str">
        <f t="shared" ca="1" si="126"/>
        <v/>
      </c>
      <c r="AF513" s="125" t="str">
        <f t="shared" ca="1" si="127"/>
        <v/>
      </c>
      <c r="AG513" s="125" t="str">
        <f t="shared" ca="1" si="128"/>
        <v/>
      </c>
      <c r="AH513" s="125" t="str">
        <f t="shared" ca="1" si="129"/>
        <v/>
      </c>
      <c r="AI513" s="125" t="str">
        <f t="shared" ca="1" si="130"/>
        <v/>
      </c>
      <c r="AJ513" s="125" t="str">
        <f t="shared" ca="1" si="131"/>
        <v/>
      </c>
      <c r="AK513" s="125" t="str">
        <f t="shared" ca="1" si="132"/>
        <v/>
      </c>
      <c r="AL513" s="125" t="str">
        <f t="shared" ca="1" si="133"/>
        <v/>
      </c>
      <c r="AM513" s="124" t="str">
        <f t="shared" ca="1" si="137"/>
        <v/>
      </c>
      <c r="AN513" s="124" t="str">
        <f t="shared" ca="1" si="137"/>
        <v/>
      </c>
      <c r="AO513" s="124" t="str">
        <f t="shared" ca="1" si="137"/>
        <v/>
      </c>
      <c r="AP513" s="124" t="str">
        <f t="shared" ca="1" si="137"/>
        <v/>
      </c>
      <c r="AQ513" s="124" t="str">
        <f t="shared" ca="1" si="137"/>
        <v/>
      </c>
      <c r="AR513" s="124" t="str">
        <f t="shared" ca="1" si="137"/>
        <v/>
      </c>
      <c r="AS513" s="124" t="str">
        <f t="shared" ca="1" si="137"/>
        <v/>
      </c>
      <c r="AT513" s="124" t="str">
        <f t="shared" ca="1" si="137"/>
        <v/>
      </c>
      <c r="AU513" s="124" t="str">
        <f t="shared" ca="1" si="137"/>
        <v/>
      </c>
      <c r="AV513" s="124" t="str">
        <f t="shared" ca="1" si="137"/>
        <v/>
      </c>
      <c r="AW513" s="124" t="str">
        <f t="shared" ca="1" si="137"/>
        <v/>
      </c>
      <c r="AX513" s="124" t="str">
        <f t="shared" ca="1" si="137"/>
        <v/>
      </c>
      <c r="AY513" s="124" t="str">
        <f t="shared" ca="1" si="137"/>
        <v/>
      </c>
      <c r="AZ513" s="124" t="str">
        <f t="shared" ca="1" si="137"/>
        <v/>
      </c>
      <c r="BA513" s="124" t="str">
        <f t="shared" ca="1" si="137"/>
        <v/>
      </c>
      <c r="BB513" s="124" t="str">
        <f t="shared" ca="1" si="136"/>
        <v/>
      </c>
      <c r="BC513" s="124" t="str">
        <f t="shared" ca="1" si="136"/>
        <v/>
      </c>
      <c r="BD513" s="124" t="str">
        <f t="shared" ca="1" si="136"/>
        <v/>
      </c>
      <c r="BE513" s="124" t="str">
        <f t="shared" ca="1" si="136"/>
        <v/>
      </c>
      <c r="BF513" s="124" t="str">
        <f t="shared" ca="1" si="136"/>
        <v/>
      </c>
      <c r="BG513" s="124" t="str">
        <f t="shared" ca="1" si="136"/>
        <v/>
      </c>
      <c r="BH513" s="124" t="str">
        <f t="shared" ca="1" si="136"/>
        <v/>
      </c>
      <c r="BI513" s="124" t="str">
        <f t="shared" ca="1" si="136"/>
        <v/>
      </c>
      <c r="BJ513" s="124" t="str">
        <f t="shared" ca="1" si="136"/>
        <v/>
      </c>
      <c r="BK513" s="124" t="str">
        <f t="shared" ca="1" si="136"/>
        <v/>
      </c>
      <c r="BL513" s="124" t="str">
        <f t="shared" ca="1" si="138"/>
        <v/>
      </c>
      <c r="BM513" s="124" t="str">
        <f t="shared" ca="1" si="138"/>
        <v/>
      </c>
      <c r="BN513" s="124" t="str">
        <f t="shared" ca="1" si="138"/>
        <v/>
      </c>
      <c r="BO513" s="124" t="str">
        <f t="shared" ca="1" si="138"/>
        <v/>
      </c>
      <c r="BP513" s="124" t="str">
        <f t="shared" ca="1" si="138"/>
        <v/>
      </c>
      <c r="BQ513" s="124" t="str">
        <f t="shared" ca="1" si="138"/>
        <v/>
      </c>
      <c r="BR513" s="124" t="str">
        <f t="shared" ca="1" si="138"/>
        <v/>
      </c>
      <c r="BS513" s="124" t="str">
        <f t="shared" ca="1" si="135"/>
        <v/>
      </c>
      <c r="BT513" s="124" t="str">
        <f t="shared" ca="1" si="135"/>
        <v/>
      </c>
      <c r="BU513" s="124" t="str">
        <f t="shared" ca="1" si="97"/>
        <v/>
      </c>
    </row>
    <row r="514" spans="1:73" x14ac:dyDescent="0.15">
      <c r="A514">
        <v>94</v>
      </c>
      <c r="B514" s="124" t="str">
        <f t="shared" ca="1" si="98"/>
        <v/>
      </c>
      <c r="C514" s="123" t="str">
        <f ca="1">IF(A514&lt;=①簡易状況入力!$AC$5,INDIRECT("A"&amp;VLOOKUP($A514,①簡易状況入力!$Y$5:$AB$104,4,FALSE)),"")</f>
        <v/>
      </c>
      <c r="D514" s="125" t="str">
        <f t="shared" ca="1" si="99"/>
        <v/>
      </c>
      <c r="E514" s="125" t="str">
        <f t="shared" ca="1" si="100"/>
        <v/>
      </c>
      <c r="F514" s="125" t="str">
        <f t="shared" ca="1" si="101"/>
        <v/>
      </c>
      <c r="G514" s="125" t="str">
        <f t="shared" ca="1" si="102"/>
        <v/>
      </c>
      <c r="H514" s="125" t="str">
        <f t="shared" ca="1" si="103"/>
        <v/>
      </c>
      <c r="I514" s="125" t="str">
        <f t="shared" ca="1" si="104"/>
        <v/>
      </c>
      <c r="J514" s="125" t="str">
        <f t="shared" ca="1" si="105"/>
        <v/>
      </c>
      <c r="K514" s="125" t="str">
        <f t="shared" ca="1" si="106"/>
        <v/>
      </c>
      <c r="L514" s="125" t="str">
        <f t="shared" ca="1" si="107"/>
        <v/>
      </c>
      <c r="M514" s="125" t="str">
        <f t="shared" ca="1" si="108"/>
        <v/>
      </c>
      <c r="N514" s="125" t="str">
        <f t="shared" ca="1" si="109"/>
        <v/>
      </c>
      <c r="O514" s="125" t="str">
        <f t="shared" ca="1" si="110"/>
        <v/>
      </c>
      <c r="P514" s="125" t="str">
        <f t="shared" ca="1" si="111"/>
        <v/>
      </c>
      <c r="Q514" s="125" t="str">
        <f t="shared" ca="1" si="112"/>
        <v/>
      </c>
      <c r="R514" s="125" t="str">
        <f t="shared" ca="1" si="113"/>
        <v/>
      </c>
      <c r="S514" s="125" t="str">
        <f t="shared" ca="1" si="114"/>
        <v/>
      </c>
      <c r="T514" s="125" t="str">
        <f t="shared" ca="1" si="115"/>
        <v/>
      </c>
      <c r="U514" s="125" t="str">
        <f t="shared" ca="1" si="116"/>
        <v/>
      </c>
      <c r="V514" s="125" t="str">
        <f t="shared" ca="1" si="117"/>
        <v/>
      </c>
      <c r="W514" s="125" t="str">
        <f t="shared" ca="1" si="118"/>
        <v/>
      </c>
      <c r="X514" s="125" t="str">
        <f t="shared" ca="1" si="119"/>
        <v/>
      </c>
      <c r="Y514" s="125" t="str">
        <f t="shared" ca="1" si="120"/>
        <v/>
      </c>
      <c r="Z514" s="125" t="str">
        <f t="shared" ca="1" si="121"/>
        <v/>
      </c>
      <c r="AA514" s="125" t="str">
        <f t="shared" ca="1" si="122"/>
        <v/>
      </c>
      <c r="AB514" s="125" t="str">
        <f t="shared" ca="1" si="123"/>
        <v/>
      </c>
      <c r="AC514" s="125" t="str">
        <f t="shared" ca="1" si="124"/>
        <v/>
      </c>
      <c r="AD514" s="125" t="str">
        <f t="shared" ca="1" si="125"/>
        <v/>
      </c>
      <c r="AE514" s="125" t="str">
        <f t="shared" ca="1" si="126"/>
        <v/>
      </c>
      <c r="AF514" s="125" t="str">
        <f t="shared" ca="1" si="127"/>
        <v/>
      </c>
      <c r="AG514" s="125" t="str">
        <f t="shared" ca="1" si="128"/>
        <v/>
      </c>
      <c r="AH514" s="125" t="str">
        <f t="shared" ca="1" si="129"/>
        <v/>
      </c>
      <c r="AI514" s="125" t="str">
        <f t="shared" ca="1" si="130"/>
        <v/>
      </c>
      <c r="AJ514" s="125" t="str">
        <f t="shared" ca="1" si="131"/>
        <v/>
      </c>
      <c r="AK514" s="125" t="str">
        <f t="shared" ca="1" si="132"/>
        <v/>
      </c>
      <c r="AL514" s="125" t="str">
        <f t="shared" ca="1" si="133"/>
        <v/>
      </c>
      <c r="AM514" s="124" t="str">
        <f t="shared" ca="1" si="137"/>
        <v/>
      </c>
      <c r="AN514" s="124" t="str">
        <f t="shared" ca="1" si="137"/>
        <v/>
      </c>
      <c r="AO514" s="124" t="str">
        <f t="shared" ca="1" si="137"/>
        <v/>
      </c>
      <c r="AP514" s="124" t="str">
        <f t="shared" ca="1" si="137"/>
        <v/>
      </c>
      <c r="AQ514" s="124" t="str">
        <f t="shared" ca="1" si="137"/>
        <v/>
      </c>
      <c r="AR514" s="124" t="str">
        <f t="shared" ca="1" si="137"/>
        <v/>
      </c>
      <c r="AS514" s="124" t="str">
        <f t="shared" ca="1" si="137"/>
        <v/>
      </c>
      <c r="AT514" s="124" t="str">
        <f t="shared" ca="1" si="137"/>
        <v/>
      </c>
      <c r="AU514" s="124" t="str">
        <f t="shared" ca="1" si="137"/>
        <v/>
      </c>
      <c r="AV514" s="124" t="str">
        <f t="shared" ca="1" si="137"/>
        <v/>
      </c>
      <c r="AW514" s="124" t="str">
        <f t="shared" ca="1" si="137"/>
        <v/>
      </c>
      <c r="AX514" s="124" t="str">
        <f t="shared" ca="1" si="137"/>
        <v/>
      </c>
      <c r="AY514" s="124" t="str">
        <f t="shared" ca="1" si="137"/>
        <v/>
      </c>
      <c r="AZ514" s="124" t="str">
        <f t="shared" ca="1" si="137"/>
        <v/>
      </c>
      <c r="BA514" s="124" t="str">
        <f t="shared" ca="1" si="137"/>
        <v/>
      </c>
      <c r="BB514" s="124" t="str">
        <f t="shared" ca="1" si="136"/>
        <v/>
      </c>
      <c r="BC514" s="124" t="str">
        <f t="shared" ca="1" si="136"/>
        <v/>
      </c>
      <c r="BD514" s="124" t="str">
        <f t="shared" ca="1" si="136"/>
        <v/>
      </c>
      <c r="BE514" s="124" t="str">
        <f t="shared" ca="1" si="136"/>
        <v/>
      </c>
      <c r="BF514" s="124" t="str">
        <f t="shared" ca="1" si="136"/>
        <v/>
      </c>
      <c r="BG514" s="124" t="str">
        <f t="shared" ca="1" si="136"/>
        <v/>
      </c>
      <c r="BH514" s="124" t="str">
        <f t="shared" ca="1" si="136"/>
        <v/>
      </c>
      <c r="BI514" s="124" t="str">
        <f t="shared" ca="1" si="136"/>
        <v/>
      </c>
      <c r="BJ514" s="124" t="str">
        <f t="shared" ca="1" si="136"/>
        <v/>
      </c>
      <c r="BK514" s="124" t="str">
        <f t="shared" ca="1" si="136"/>
        <v/>
      </c>
      <c r="BL514" s="124" t="str">
        <f t="shared" ca="1" si="138"/>
        <v/>
      </c>
      <c r="BM514" s="124" t="str">
        <f t="shared" ca="1" si="138"/>
        <v/>
      </c>
      <c r="BN514" s="124" t="str">
        <f t="shared" ca="1" si="138"/>
        <v/>
      </c>
      <c r="BO514" s="124" t="str">
        <f t="shared" ca="1" si="138"/>
        <v/>
      </c>
      <c r="BP514" s="124" t="str">
        <f t="shared" ca="1" si="138"/>
        <v/>
      </c>
      <c r="BQ514" s="124" t="str">
        <f t="shared" ca="1" si="138"/>
        <v/>
      </c>
      <c r="BR514" s="124" t="str">
        <f t="shared" ca="1" si="138"/>
        <v/>
      </c>
      <c r="BS514" s="124" t="str">
        <f t="shared" ca="1" si="135"/>
        <v/>
      </c>
      <c r="BT514" s="124" t="str">
        <f t="shared" ca="1" si="135"/>
        <v/>
      </c>
      <c r="BU514" s="124" t="str">
        <f t="shared" ca="1" si="97"/>
        <v/>
      </c>
    </row>
    <row r="515" spans="1:73" x14ac:dyDescent="0.15">
      <c r="A515">
        <v>95</v>
      </c>
      <c r="B515" s="124" t="str">
        <f t="shared" ca="1" si="98"/>
        <v/>
      </c>
      <c r="C515" s="123" t="str">
        <f ca="1">IF(A515&lt;=①簡易状況入力!$AC$5,INDIRECT("A"&amp;VLOOKUP($A515,①簡易状況入力!$Y$5:$AB$104,4,FALSE)),"")</f>
        <v/>
      </c>
      <c r="D515" s="125" t="str">
        <f t="shared" ca="1" si="99"/>
        <v/>
      </c>
      <c r="E515" s="125" t="str">
        <f t="shared" ca="1" si="100"/>
        <v/>
      </c>
      <c r="F515" s="125" t="str">
        <f t="shared" ca="1" si="101"/>
        <v/>
      </c>
      <c r="G515" s="125" t="str">
        <f t="shared" ca="1" si="102"/>
        <v/>
      </c>
      <c r="H515" s="125" t="str">
        <f t="shared" ca="1" si="103"/>
        <v/>
      </c>
      <c r="I515" s="125" t="str">
        <f t="shared" ca="1" si="104"/>
        <v/>
      </c>
      <c r="J515" s="125" t="str">
        <f t="shared" ca="1" si="105"/>
        <v/>
      </c>
      <c r="K515" s="125" t="str">
        <f t="shared" ca="1" si="106"/>
        <v/>
      </c>
      <c r="L515" s="125" t="str">
        <f t="shared" ca="1" si="107"/>
        <v/>
      </c>
      <c r="M515" s="125" t="str">
        <f t="shared" ca="1" si="108"/>
        <v/>
      </c>
      <c r="N515" s="125" t="str">
        <f t="shared" ca="1" si="109"/>
        <v/>
      </c>
      <c r="O515" s="125" t="str">
        <f t="shared" ca="1" si="110"/>
        <v/>
      </c>
      <c r="P515" s="125" t="str">
        <f t="shared" ca="1" si="111"/>
        <v/>
      </c>
      <c r="Q515" s="125" t="str">
        <f t="shared" ca="1" si="112"/>
        <v/>
      </c>
      <c r="R515" s="125" t="str">
        <f t="shared" ca="1" si="113"/>
        <v/>
      </c>
      <c r="S515" s="125" t="str">
        <f t="shared" ca="1" si="114"/>
        <v/>
      </c>
      <c r="T515" s="125" t="str">
        <f t="shared" ca="1" si="115"/>
        <v/>
      </c>
      <c r="U515" s="125" t="str">
        <f t="shared" ca="1" si="116"/>
        <v/>
      </c>
      <c r="V515" s="125" t="str">
        <f t="shared" ca="1" si="117"/>
        <v/>
      </c>
      <c r="W515" s="125" t="str">
        <f t="shared" ca="1" si="118"/>
        <v/>
      </c>
      <c r="X515" s="125" t="str">
        <f t="shared" ca="1" si="119"/>
        <v/>
      </c>
      <c r="Y515" s="125" t="str">
        <f t="shared" ca="1" si="120"/>
        <v/>
      </c>
      <c r="Z515" s="125" t="str">
        <f t="shared" ca="1" si="121"/>
        <v/>
      </c>
      <c r="AA515" s="125" t="str">
        <f t="shared" ca="1" si="122"/>
        <v/>
      </c>
      <c r="AB515" s="125" t="str">
        <f t="shared" ca="1" si="123"/>
        <v/>
      </c>
      <c r="AC515" s="125" t="str">
        <f t="shared" ca="1" si="124"/>
        <v/>
      </c>
      <c r="AD515" s="125" t="str">
        <f t="shared" ca="1" si="125"/>
        <v/>
      </c>
      <c r="AE515" s="125" t="str">
        <f t="shared" ca="1" si="126"/>
        <v/>
      </c>
      <c r="AF515" s="125" t="str">
        <f t="shared" ca="1" si="127"/>
        <v/>
      </c>
      <c r="AG515" s="125" t="str">
        <f t="shared" ca="1" si="128"/>
        <v/>
      </c>
      <c r="AH515" s="125" t="str">
        <f t="shared" ca="1" si="129"/>
        <v/>
      </c>
      <c r="AI515" s="125" t="str">
        <f t="shared" ca="1" si="130"/>
        <v/>
      </c>
      <c r="AJ515" s="125" t="str">
        <f t="shared" ca="1" si="131"/>
        <v/>
      </c>
      <c r="AK515" s="125" t="str">
        <f t="shared" ca="1" si="132"/>
        <v/>
      </c>
      <c r="AL515" s="125" t="str">
        <f t="shared" ca="1" si="133"/>
        <v/>
      </c>
      <c r="AM515" s="124" t="str">
        <f t="shared" ca="1" si="137"/>
        <v/>
      </c>
      <c r="AN515" s="124" t="str">
        <f t="shared" ca="1" si="137"/>
        <v/>
      </c>
      <c r="AO515" s="124" t="str">
        <f t="shared" ca="1" si="137"/>
        <v/>
      </c>
      <c r="AP515" s="124" t="str">
        <f t="shared" ca="1" si="137"/>
        <v/>
      </c>
      <c r="AQ515" s="124" t="str">
        <f t="shared" ca="1" si="137"/>
        <v/>
      </c>
      <c r="AR515" s="124" t="str">
        <f t="shared" ca="1" si="137"/>
        <v/>
      </c>
      <c r="AS515" s="124" t="str">
        <f t="shared" ca="1" si="137"/>
        <v/>
      </c>
      <c r="AT515" s="124" t="str">
        <f t="shared" ca="1" si="137"/>
        <v/>
      </c>
      <c r="AU515" s="124" t="str">
        <f t="shared" ca="1" si="137"/>
        <v/>
      </c>
      <c r="AV515" s="124" t="str">
        <f t="shared" ca="1" si="137"/>
        <v/>
      </c>
      <c r="AW515" s="124" t="str">
        <f t="shared" ca="1" si="137"/>
        <v/>
      </c>
      <c r="AX515" s="124" t="str">
        <f t="shared" ca="1" si="137"/>
        <v/>
      </c>
      <c r="AY515" s="124" t="str">
        <f t="shared" ca="1" si="137"/>
        <v/>
      </c>
      <c r="AZ515" s="124" t="str">
        <f t="shared" ca="1" si="137"/>
        <v/>
      </c>
      <c r="BA515" s="124" t="str">
        <f t="shared" ca="1" si="137"/>
        <v/>
      </c>
      <c r="BB515" s="124" t="str">
        <f t="shared" ca="1" si="136"/>
        <v/>
      </c>
      <c r="BC515" s="124" t="str">
        <f t="shared" ca="1" si="136"/>
        <v/>
      </c>
      <c r="BD515" s="124" t="str">
        <f t="shared" ca="1" si="136"/>
        <v/>
      </c>
      <c r="BE515" s="124" t="str">
        <f t="shared" ca="1" si="136"/>
        <v/>
      </c>
      <c r="BF515" s="124" t="str">
        <f t="shared" ca="1" si="136"/>
        <v/>
      </c>
      <c r="BG515" s="124" t="str">
        <f t="shared" ca="1" si="136"/>
        <v/>
      </c>
      <c r="BH515" s="124" t="str">
        <f t="shared" ca="1" si="136"/>
        <v/>
      </c>
      <c r="BI515" s="124" t="str">
        <f t="shared" ca="1" si="136"/>
        <v/>
      </c>
      <c r="BJ515" s="124" t="str">
        <f t="shared" ca="1" si="136"/>
        <v/>
      </c>
      <c r="BK515" s="124" t="str">
        <f t="shared" ca="1" si="136"/>
        <v/>
      </c>
      <c r="BL515" s="124" t="str">
        <f t="shared" ca="1" si="138"/>
        <v/>
      </c>
      <c r="BM515" s="124" t="str">
        <f t="shared" ca="1" si="138"/>
        <v/>
      </c>
      <c r="BN515" s="124" t="str">
        <f t="shared" ca="1" si="138"/>
        <v/>
      </c>
      <c r="BO515" s="124" t="str">
        <f t="shared" ca="1" si="138"/>
        <v/>
      </c>
      <c r="BP515" s="124" t="str">
        <f t="shared" ca="1" si="138"/>
        <v/>
      </c>
      <c r="BQ515" s="124" t="str">
        <f t="shared" ca="1" si="138"/>
        <v/>
      </c>
      <c r="BR515" s="124" t="str">
        <f t="shared" ca="1" si="138"/>
        <v/>
      </c>
      <c r="BS515" s="124" t="str">
        <f t="shared" ca="1" si="135"/>
        <v/>
      </c>
      <c r="BT515" s="124" t="str">
        <f t="shared" ca="1" si="135"/>
        <v/>
      </c>
      <c r="BU515" s="124" t="str">
        <f t="shared" ca="1" si="97"/>
        <v/>
      </c>
    </row>
    <row r="516" spans="1:73" x14ac:dyDescent="0.15">
      <c r="A516">
        <v>96</v>
      </c>
      <c r="B516" s="124" t="str">
        <f t="shared" ca="1" si="98"/>
        <v/>
      </c>
      <c r="C516" s="123" t="str">
        <f ca="1">IF(A516&lt;=①簡易状況入力!$AC$5,INDIRECT("A"&amp;VLOOKUP($A516,①簡易状況入力!$Y$5:$AB$104,4,FALSE)),"")</f>
        <v/>
      </c>
      <c r="D516" s="125" t="str">
        <f t="shared" ca="1" si="99"/>
        <v/>
      </c>
      <c r="E516" s="125" t="str">
        <f t="shared" ca="1" si="100"/>
        <v/>
      </c>
      <c r="F516" s="125" t="str">
        <f t="shared" ca="1" si="101"/>
        <v/>
      </c>
      <c r="G516" s="125" t="str">
        <f t="shared" ca="1" si="102"/>
        <v/>
      </c>
      <c r="H516" s="125" t="str">
        <f t="shared" ca="1" si="103"/>
        <v/>
      </c>
      <c r="I516" s="125" t="str">
        <f t="shared" ca="1" si="104"/>
        <v/>
      </c>
      <c r="J516" s="125" t="str">
        <f t="shared" ca="1" si="105"/>
        <v/>
      </c>
      <c r="K516" s="125" t="str">
        <f t="shared" ca="1" si="106"/>
        <v/>
      </c>
      <c r="L516" s="125" t="str">
        <f t="shared" ca="1" si="107"/>
        <v/>
      </c>
      <c r="M516" s="125" t="str">
        <f t="shared" ca="1" si="108"/>
        <v/>
      </c>
      <c r="N516" s="125" t="str">
        <f t="shared" ca="1" si="109"/>
        <v/>
      </c>
      <c r="O516" s="125" t="str">
        <f t="shared" ca="1" si="110"/>
        <v/>
      </c>
      <c r="P516" s="125" t="str">
        <f t="shared" ca="1" si="111"/>
        <v/>
      </c>
      <c r="Q516" s="125" t="str">
        <f t="shared" ca="1" si="112"/>
        <v/>
      </c>
      <c r="R516" s="125" t="str">
        <f t="shared" ca="1" si="113"/>
        <v/>
      </c>
      <c r="S516" s="125" t="str">
        <f t="shared" ca="1" si="114"/>
        <v/>
      </c>
      <c r="T516" s="125" t="str">
        <f t="shared" ca="1" si="115"/>
        <v/>
      </c>
      <c r="U516" s="125" t="str">
        <f t="shared" ca="1" si="116"/>
        <v/>
      </c>
      <c r="V516" s="125" t="str">
        <f t="shared" ca="1" si="117"/>
        <v/>
      </c>
      <c r="W516" s="125" t="str">
        <f t="shared" ca="1" si="118"/>
        <v/>
      </c>
      <c r="X516" s="125" t="str">
        <f t="shared" ca="1" si="119"/>
        <v/>
      </c>
      <c r="Y516" s="125" t="str">
        <f t="shared" ca="1" si="120"/>
        <v/>
      </c>
      <c r="Z516" s="125" t="str">
        <f t="shared" ca="1" si="121"/>
        <v/>
      </c>
      <c r="AA516" s="125" t="str">
        <f t="shared" ca="1" si="122"/>
        <v/>
      </c>
      <c r="AB516" s="125" t="str">
        <f t="shared" ca="1" si="123"/>
        <v/>
      </c>
      <c r="AC516" s="125" t="str">
        <f t="shared" ca="1" si="124"/>
        <v/>
      </c>
      <c r="AD516" s="125" t="str">
        <f t="shared" ca="1" si="125"/>
        <v/>
      </c>
      <c r="AE516" s="125" t="str">
        <f t="shared" ca="1" si="126"/>
        <v/>
      </c>
      <c r="AF516" s="125" t="str">
        <f t="shared" ca="1" si="127"/>
        <v/>
      </c>
      <c r="AG516" s="125" t="str">
        <f t="shared" ca="1" si="128"/>
        <v/>
      </c>
      <c r="AH516" s="125" t="str">
        <f t="shared" ca="1" si="129"/>
        <v/>
      </c>
      <c r="AI516" s="125" t="str">
        <f t="shared" ca="1" si="130"/>
        <v/>
      </c>
      <c r="AJ516" s="125" t="str">
        <f t="shared" ca="1" si="131"/>
        <v/>
      </c>
      <c r="AK516" s="125" t="str">
        <f t="shared" ca="1" si="132"/>
        <v/>
      </c>
      <c r="AL516" s="125" t="str">
        <f t="shared" ca="1" si="133"/>
        <v/>
      </c>
      <c r="AM516" s="124" t="str">
        <f t="shared" ca="1" si="137"/>
        <v/>
      </c>
      <c r="AN516" s="124" t="str">
        <f t="shared" ca="1" si="137"/>
        <v/>
      </c>
      <c r="AO516" s="124" t="str">
        <f t="shared" ca="1" si="137"/>
        <v/>
      </c>
      <c r="AP516" s="124" t="str">
        <f t="shared" ca="1" si="137"/>
        <v/>
      </c>
      <c r="AQ516" s="124" t="str">
        <f t="shared" ca="1" si="137"/>
        <v/>
      </c>
      <c r="AR516" s="124" t="str">
        <f t="shared" ca="1" si="137"/>
        <v/>
      </c>
      <c r="AS516" s="124" t="str">
        <f t="shared" ca="1" si="137"/>
        <v/>
      </c>
      <c r="AT516" s="124" t="str">
        <f t="shared" ca="1" si="137"/>
        <v/>
      </c>
      <c r="AU516" s="124" t="str">
        <f t="shared" ca="1" si="137"/>
        <v/>
      </c>
      <c r="AV516" s="124" t="str">
        <f t="shared" ca="1" si="137"/>
        <v/>
      </c>
      <c r="AW516" s="124" t="str">
        <f t="shared" ca="1" si="137"/>
        <v/>
      </c>
      <c r="AX516" s="124" t="str">
        <f t="shared" ca="1" si="137"/>
        <v/>
      </c>
      <c r="AY516" s="124" t="str">
        <f t="shared" ca="1" si="137"/>
        <v/>
      </c>
      <c r="AZ516" s="124" t="str">
        <f t="shared" ca="1" si="137"/>
        <v/>
      </c>
      <c r="BA516" s="124" t="str">
        <f t="shared" ca="1" si="137"/>
        <v/>
      </c>
      <c r="BB516" s="124" t="str">
        <f t="shared" ca="1" si="136"/>
        <v/>
      </c>
      <c r="BC516" s="124" t="str">
        <f t="shared" ca="1" si="136"/>
        <v/>
      </c>
      <c r="BD516" s="124" t="str">
        <f t="shared" ca="1" si="136"/>
        <v/>
      </c>
      <c r="BE516" s="124" t="str">
        <f t="shared" ca="1" si="136"/>
        <v/>
      </c>
      <c r="BF516" s="124" t="str">
        <f t="shared" ca="1" si="136"/>
        <v/>
      </c>
      <c r="BG516" s="124" t="str">
        <f t="shared" ca="1" si="136"/>
        <v/>
      </c>
      <c r="BH516" s="124" t="str">
        <f t="shared" ca="1" si="136"/>
        <v/>
      </c>
      <c r="BI516" s="124" t="str">
        <f t="shared" ca="1" si="136"/>
        <v/>
      </c>
      <c r="BJ516" s="124" t="str">
        <f t="shared" ca="1" si="136"/>
        <v/>
      </c>
      <c r="BK516" s="124" t="str">
        <f t="shared" ca="1" si="136"/>
        <v/>
      </c>
      <c r="BL516" s="124" t="str">
        <f t="shared" ca="1" si="138"/>
        <v/>
      </c>
      <c r="BM516" s="124" t="str">
        <f t="shared" ca="1" si="138"/>
        <v/>
      </c>
      <c r="BN516" s="124" t="str">
        <f t="shared" ca="1" si="138"/>
        <v/>
      </c>
      <c r="BO516" s="124" t="str">
        <f t="shared" ca="1" si="138"/>
        <v/>
      </c>
      <c r="BP516" s="124" t="str">
        <f t="shared" ca="1" si="138"/>
        <v/>
      </c>
      <c r="BQ516" s="124" t="str">
        <f t="shared" ca="1" si="138"/>
        <v/>
      </c>
      <c r="BR516" s="124" t="str">
        <f t="shared" ca="1" si="138"/>
        <v/>
      </c>
      <c r="BS516" s="124" t="str">
        <f t="shared" ca="1" si="135"/>
        <v/>
      </c>
      <c r="BT516" s="124" t="str">
        <f t="shared" ca="1" si="135"/>
        <v/>
      </c>
      <c r="BU516" s="124" t="str">
        <f t="shared" ca="1" si="97"/>
        <v/>
      </c>
    </row>
    <row r="517" spans="1:73" x14ac:dyDescent="0.15">
      <c r="A517">
        <v>97</v>
      </c>
      <c r="B517" s="124" t="str">
        <f t="shared" ca="1" si="98"/>
        <v/>
      </c>
      <c r="C517" s="123" t="str">
        <f ca="1">IF(A517&lt;=①簡易状況入力!$AC$5,INDIRECT("A"&amp;VLOOKUP($A517,①簡易状況入力!$Y$5:$AB$104,4,FALSE)),"")</f>
        <v/>
      </c>
      <c r="D517" s="125" t="str">
        <f t="shared" ca="1" si="99"/>
        <v/>
      </c>
      <c r="E517" s="125" t="str">
        <f t="shared" ca="1" si="100"/>
        <v/>
      </c>
      <c r="F517" s="125" t="str">
        <f t="shared" ca="1" si="101"/>
        <v/>
      </c>
      <c r="G517" s="125" t="str">
        <f t="shared" ca="1" si="102"/>
        <v/>
      </c>
      <c r="H517" s="125" t="str">
        <f t="shared" ca="1" si="103"/>
        <v/>
      </c>
      <c r="I517" s="125" t="str">
        <f t="shared" ca="1" si="104"/>
        <v/>
      </c>
      <c r="J517" s="125" t="str">
        <f t="shared" ca="1" si="105"/>
        <v/>
      </c>
      <c r="K517" s="125" t="str">
        <f t="shared" ca="1" si="106"/>
        <v/>
      </c>
      <c r="L517" s="125" t="str">
        <f t="shared" ca="1" si="107"/>
        <v/>
      </c>
      <c r="M517" s="125" t="str">
        <f t="shared" ca="1" si="108"/>
        <v/>
      </c>
      <c r="N517" s="125" t="str">
        <f t="shared" ca="1" si="109"/>
        <v/>
      </c>
      <c r="O517" s="125" t="str">
        <f t="shared" ca="1" si="110"/>
        <v/>
      </c>
      <c r="P517" s="125" t="str">
        <f t="shared" ca="1" si="111"/>
        <v/>
      </c>
      <c r="Q517" s="125" t="str">
        <f t="shared" ca="1" si="112"/>
        <v/>
      </c>
      <c r="R517" s="125" t="str">
        <f t="shared" ca="1" si="113"/>
        <v/>
      </c>
      <c r="S517" s="125" t="str">
        <f t="shared" ca="1" si="114"/>
        <v/>
      </c>
      <c r="T517" s="125" t="str">
        <f t="shared" ca="1" si="115"/>
        <v/>
      </c>
      <c r="U517" s="125" t="str">
        <f t="shared" ca="1" si="116"/>
        <v/>
      </c>
      <c r="V517" s="125" t="str">
        <f t="shared" ca="1" si="117"/>
        <v/>
      </c>
      <c r="W517" s="125" t="str">
        <f t="shared" ca="1" si="118"/>
        <v/>
      </c>
      <c r="X517" s="125" t="str">
        <f t="shared" ca="1" si="119"/>
        <v/>
      </c>
      <c r="Y517" s="125" t="str">
        <f t="shared" ca="1" si="120"/>
        <v/>
      </c>
      <c r="Z517" s="125" t="str">
        <f t="shared" ca="1" si="121"/>
        <v/>
      </c>
      <c r="AA517" s="125" t="str">
        <f t="shared" ca="1" si="122"/>
        <v/>
      </c>
      <c r="AB517" s="125" t="str">
        <f t="shared" ca="1" si="123"/>
        <v/>
      </c>
      <c r="AC517" s="125" t="str">
        <f t="shared" ca="1" si="124"/>
        <v/>
      </c>
      <c r="AD517" s="125" t="str">
        <f t="shared" ca="1" si="125"/>
        <v/>
      </c>
      <c r="AE517" s="125" t="str">
        <f t="shared" ca="1" si="126"/>
        <v/>
      </c>
      <c r="AF517" s="125" t="str">
        <f t="shared" ca="1" si="127"/>
        <v/>
      </c>
      <c r="AG517" s="125" t="str">
        <f t="shared" ca="1" si="128"/>
        <v/>
      </c>
      <c r="AH517" s="125" t="str">
        <f t="shared" ca="1" si="129"/>
        <v/>
      </c>
      <c r="AI517" s="125" t="str">
        <f t="shared" ca="1" si="130"/>
        <v/>
      </c>
      <c r="AJ517" s="125" t="str">
        <f t="shared" ca="1" si="131"/>
        <v/>
      </c>
      <c r="AK517" s="125" t="str">
        <f t="shared" ca="1" si="132"/>
        <v/>
      </c>
      <c r="AL517" s="125" t="str">
        <f t="shared" ca="1" si="133"/>
        <v/>
      </c>
      <c r="AM517" s="124" t="str">
        <f t="shared" ca="1" si="137"/>
        <v/>
      </c>
      <c r="AN517" s="124" t="str">
        <f t="shared" ca="1" si="137"/>
        <v/>
      </c>
      <c r="AO517" s="124" t="str">
        <f t="shared" ca="1" si="137"/>
        <v/>
      </c>
      <c r="AP517" s="124" t="str">
        <f t="shared" ca="1" si="137"/>
        <v/>
      </c>
      <c r="AQ517" s="124" t="str">
        <f t="shared" ca="1" si="137"/>
        <v/>
      </c>
      <c r="AR517" s="124" t="str">
        <f t="shared" ca="1" si="137"/>
        <v/>
      </c>
      <c r="AS517" s="124" t="str">
        <f t="shared" ca="1" si="137"/>
        <v/>
      </c>
      <c r="AT517" s="124" t="str">
        <f t="shared" ca="1" si="137"/>
        <v/>
      </c>
      <c r="AU517" s="124" t="str">
        <f t="shared" ca="1" si="137"/>
        <v/>
      </c>
      <c r="AV517" s="124" t="str">
        <f t="shared" ca="1" si="137"/>
        <v/>
      </c>
      <c r="AW517" s="124" t="str">
        <f t="shared" ca="1" si="137"/>
        <v/>
      </c>
      <c r="AX517" s="124" t="str">
        <f t="shared" ca="1" si="137"/>
        <v/>
      </c>
      <c r="AY517" s="124" t="str">
        <f t="shared" ca="1" si="137"/>
        <v/>
      </c>
      <c r="AZ517" s="124" t="str">
        <f t="shared" ca="1" si="137"/>
        <v/>
      </c>
      <c r="BA517" s="124" t="str">
        <f t="shared" ca="1" si="137"/>
        <v/>
      </c>
      <c r="BB517" s="124" t="str">
        <f t="shared" ca="1" si="136"/>
        <v/>
      </c>
      <c r="BC517" s="124" t="str">
        <f t="shared" ca="1" si="136"/>
        <v/>
      </c>
      <c r="BD517" s="124" t="str">
        <f t="shared" ca="1" si="136"/>
        <v/>
      </c>
      <c r="BE517" s="124" t="str">
        <f t="shared" ca="1" si="136"/>
        <v/>
      </c>
      <c r="BF517" s="124" t="str">
        <f t="shared" ca="1" si="136"/>
        <v/>
      </c>
      <c r="BG517" s="124" t="str">
        <f t="shared" ca="1" si="136"/>
        <v/>
      </c>
      <c r="BH517" s="124" t="str">
        <f t="shared" ca="1" si="136"/>
        <v/>
      </c>
      <c r="BI517" s="124" t="str">
        <f t="shared" ca="1" si="136"/>
        <v/>
      </c>
      <c r="BJ517" s="124" t="str">
        <f t="shared" ca="1" si="136"/>
        <v/>
      </c>
      <c r="BK517" s="124" t="str">
        <f t="shared" ca="1" si="136"/>
        <v/>
      </c>
      <c r="BL517" s="124" t="str">
        <f t="shared" ca="1" si="138"/>
        <v/>
      </c>
      <c r="BM517" s="124" t="str">
        <f t="shared" ca="1" si="138"/>
        <v/>
      </c>
      <c r="BN517" s="124" t="str">
        <f t="shared" ca="1" si="138"/>
        <v/>
      </c>
      <c r="BO517" s="124" t="str">
        <f t="shared" ca="1" si="138"/>
        <v/>
      </c>
      <c r="BP517" s="124" t="str">
        <f t="shared" ca="1" si="138"/>
        <v/>
      </c>
      <c r="BQ517" s="124" t="str">
        <f t="shared" ca="1" si="138"/>
        <v/>
      </c>
      <c r="BR517" s="124" t="str">
        <f t="shared" ca="1" si="138"/>
        <v/>
      </c>
      <c r="BS517" s="124" t="str">
        <f t="shared" ca="1" si="135"/>
        <v/>
      </c>
      <c r="BT517" s="124" t="str">
        <f t="shared" ca="1" si="135"/>
        <v/>
      </c>
      <c r="BU517" s="124" t="str">
        <f t="shared" ca="1" si="97"/>
        <v/>
      </c>
    </row>
    <row r="518" spans="1:73" x14ac:dyDescent="0.15">
      <c r="A518">
        <v>98</v>
      </c>
      <c r="B518" s="124" t="str">
        <f t="shared" ca="1" si="98"/>
        <v/>
      </c>
      <c r="C518" s="123" t="str">
        <f ca="1">IF(A518&lt;=①簡易状況入力!$AC$5,INDIRECT("A"&amp;VLOOKUP($A518,①簡易状況入力!$Y$5:$AB$104,4,FALSE)),"")</f>
        <v/>
      </c>
      <c r="D518" s="125" t="str">
        <f t="shared" ca="1" si="99"/>
        <v/>
      </c>
      <c r="E518" s="125" t="str">
        <f t="shared" ca="1" si="100"/>
        <v/>
      </c>
      <c r="F518" s="125" t="str">
        <f t="shared" ca="1" si="101"/>
        <v/>
      </c>
      <c r="G518" s="125" t="str">
        <f t="shared" ca="1" si="102"/>
        <v/>
      </c>
      <c r="H518" s="125" t="str">
        <f t="shared" ca="1" si="103"/>
        <v/>
      </c>
      <c r="I518" s="125" t="str">
        <f t="shared" ca="1" si="104"/>
        <v/>
      </c>
      <c r="J518" s="125" t="str">
        <f t="shared" ca="1" si="105"/>
        <v/>
      </c>
      <c r="K518" s="125" t="str">
        <f t="shared" ca="1" si="106"/>
        <v/>
      </c>
      <c r="L518" s="125" t="str">
        <f t="shared" ca="1" si="107"/>
        <v/>
      </c>
      <c r="M518" s="125" t="str">
        <f t="shared" ca="1" si="108"/>
        <v/>
      </c>
      <c r="N518" s="125" t="str">
        <f t="shared" ca="1" si="109"/>
        <v/>
      </c>
      <c r="O518" s="125" t="str">
        <f t="shared" ca="1" si="110"/>
        <v/>
      </c>
      <c r="P518" s="125" t="str">
        <f t="shared" ca="1" si="111"/>
        <v/>
      </c>
      <c r="Q518" s="125" t="str">
        <f t="shared" ca="1" si="112"/>
        <v/>
      </c>
      <c r="R518" s="125" t="str">
        <f t="shared" ca="1" si="113"/>
        <v/>
      </c>
      <c r="S518" s="125" t="str">
        <f t="shared" ca="1" si="114"/>
        <v/>
      </c>
      <c r="T518" s="125" t="str">
        <f t="shared" ca="1" si="115"/>
        <v/>
      </c>
      <c r="U518" s="125" t="str">
        <f t="shared" ca="1" si="116"/>
        <v/>
      </c>
      <c r="V518" s="125" t="str">
        <f t="shared" ca="1" si="117"/>
        <v/>
      </c>
      <c r="W518" s="125" t="str">
        <f t="shared" ca="1" si="118"/>
        <v/>
      </c>
      <c r="X518" s="125" t="str">
        <f t="shared" ca="1" si="119"/>
        <v/>
      </c>
      <c r="Y518" s="125" t="str">
        <f t="shared" ca="1" si="120"/>
        <v/>
      </c>
      <c r="Z518" s="125" t="str">
        <f t="shared" ca="1" si="121"/>
        <v/>
      </c>
      <c r="AA518" s="125" t="str">
        <f t="shared" ca="1" si="122"/>
        <v/>
      </c>
      <c r="AB518" s="125" t="str">
        <f t="shared" ca="1" si="123"/>
        <v/>
      </c>
      <c r="AC518" s="125" t="str">
        <f t="shared" ca="1" si="124"/>
        <v/>
      </c>
      <c r="AD518" s="125" t="str">
        <f t="shared" ca="1" si="125"/>
        <v/>
      </c>
      <c r="AE518" s="125" t="str">
        <f t="shared" ca="1" si="126"/>
        <v/>
      </c>
      <c r="AF518" s="125" t="str">
        <f t="shared" ca="1" si="127"/>
        <v/>
      </c>
      <c r="AG518" s="125" t="str">
        <f t="shared" ca="1" si="128"/>
        <v/>
      </c>
      <c r="AH518" s="125" t="str">
        <f t="shared" ca="1" si="129"/>
        <v/>
      </c>
      <c r="AI518" s="125" t="str">
        <f t="shared" ca="1" si="130"/>
        <v/>
      </c>
      <c r="AJ518" s="125" t="str">
        <f t="shared" ca="1" si="131"/>
        <v/>
      </c>
      <c r="AK518" s="125" t="str">
        <f t="shared" ca="1" si="132"/>
        <v/>
      </c>
      <c r="AL518" s="125" t="str">
        <f t="shared" ca="1" si="133"/>
        <v/>
      </c>
      <c r="AM518" s="124" t="str">
        <f t="shared" ca="1" si="137"/>
        <v/>
      </c>
      <c r="AN518" s="124" t="str">
        <f t="shared" ca="1" si="137"/>
        <v/>
      </c>
      <c r="AO518" s="124" t="str">
        <f t="shared" ca="1" si="137"/>
        <v/>
      </c>
      <c r="AP518" s="124" t="str">
        <f t="shared" ca="1" si="137"/>
        <v/>
      </c>
      <c r="AQ518" s="124" t="str">
        <f t="shared" ca="1" si="137"/>
        <v/>
      </c>
      <c r="AR518" s="124" t="str">
        <f t="shared" ca="1" si="137"/>
        <v/>
      </c>
      <c r="AS518" s="124" t="str">
        <f t="shared" ca="1" si="137"/>
        <v/>
      </c>
      <c r="AT518" s="124" t="str">
        <f t="shared" ca="1" si="137"/>
        <v/>
      </c>
      <c r="AU518" s="124" t="str">
        <f t="shared" ca="1" si="137"/>
        <v/>
      </c>
      <c r="AV518" s="124" t="str">
        <f t="shared" ca="1" si="137"/>
        <v/>
      </c>
      <c r="AW518" s="124" t="str">
        <f t="shared" ca="1" si="137"/>
        <v/>
      </c>
      <c r="AX518" s="124" t="str">
        <f t="shared" ca="1" si="137"/>
        <v/>
      </c>
      <c r="AY518" s="124" t="str">
        <f t="shared" ca="1" si="137"/>
        <v/>
      </c>
      <c r="AZ518" s="124" t="str">
        <f t="shared" ca="1" si="137"/>
        <v/>
      </c>
      <c r="BA518" s="124" t="str">
        <f t="shared" ca="1" si="137"/>
        <v/>
      </c>
      <c r="BB518" s="124" t="str">
        <f t="shared" ca="1" si="136"/>
        <v/>
      </c>
      <c r="BC518" s="124" t="str">
        <f t="shared" ca="1" si="136"/>
        <v/>
      </c>
      <c r="BD518" s="124" t="str">
        <f t="shared" ca="1" si="136"/>
        <v/>
      </c>
      <c r="BE518" s="124" t="str">
        <f t="shared" ca="1" si="136"/>
        <v/>
      </c>
      <c r="BF518" s="124" t="str">
        <f t="shared" ca="1" si="136"/>
        <v/>
      </c>
      <c r="BG518" s="124" t="str">
        <f t="shared" ca="1" si="136"/>
        <v/>
      </c>
      <c r="BH518" s="124" t="str">
        <f t="shared" ca="1" si="136"/>
        <v/>
      </c>
      <c r="BI518" s="124" t="str">
        <f t="shared" ca="1" si="136"/>
        <v/>
      </c>
      <c r="BJ518" s="124" t="str">
        <f t="shared" ca="1" si="136"/>
        <v/>
      </c>
      <c r="BK518" s="124" t="str">
        <f t="shared" ca="1" si="136"/>
        <v/>
      </c>
      <c r="BL518" s="124" t="str">
        <f t="shared" ca="1" si="138"/>
        <v/>
      </c>
      <c r="BM518" s="124" t="str">
        <f t="shared" ca="1" si="138"/>
        <v/>
      </c>
      <c r="BN518" s="124" t="str">
        <f t="shared" ca="1" si="138"/>
        <v/>
      </c>
      <c r="BO518" s="124" t="str">
        <f t="shared" ca="1" si="138"/>
        <v/>
      </c>
      <c r="BP518" s="124" t="str">
        <f t="shared" ca="1" si="138"/>
        <v/>
      </c>
      <c r="BQ518" s="124" t="str">
        <f t="shared" ca="1" si="138"/>
        <v/>
      </c>
      <c r="BR518" s="124" t="str">
        <f t="shared" ca="1" si="138"/>
        <v/>
      </c>
      <c r="BS518" s="124" t="str">
        <f t="shared" ca="1" si="135"/>
        <v/>
      </c>
      <c r="BT518" s="124" t="str">
        <f t="shared" ca="1" si="135"/>
        <v/>
      </c>
      <c r="BU518" s="124" t="str">
        <f t="shared" ca="1" si="97"/>
        <v/>
      </c>
    </row>
    <row r="519" spans="1:73" x14ac:dyDescent="0.15">
      <c r="A519">
        <v>99</v>
      </c>
      <c r="B519" s="124" t="str">
        <f t="shared" ca="1" si="98"/>
        <v/>
      </c>
      <c r="C519" s="123" t="str">
        <f ca="1">IF(A519&lt;=①簡易状況入力!$AC$5,INDIRECT("A"&amp;VLOOKUP($A519,①簡易状況入力!$Y$5:$AB$104,4,FALSE)),"")</f>
        <v/>
      </c>
      <c r="D519" s="125" t="str">
        <f t="shared" ca="1" si="99"/>
        <v/>
      </c>
      <c r="E519" s="125" t="str">
        <f t="shared" ca="1" si="100"/>
        <v/>
      </c>
      <c r="F519" s="125" t="str">
        <f t="shared" ca="1" si="101"/>
        <v/>
      </c>
      <c r="G519" s="125" t="str">
        <f t="shared" ca="1" si="102"/>
        <v/>
      </c>
      <c r="H519" s="125" t="str">
        <f t="shared" ca="1" si="103"/>
        <v/>
      </c>
      <c r="I519" s="125" t="str">
        <f t="shared" ca="1" si="104"/>
        <v/>
      </c>
      <c r="J519" s="125" t="str">
        <f t="shared" ca="1" si="105"/>
        <v/>
      </c>
      <c r="K519" s="125" t="str">
        <f t="shared" ca="1" si="106"/>
        <v/>
      </c>
      <c r="L519" s="125" t="str">
        <f t="shared" ca="1" si="107"/>
        <v/>
      </c>
      <c r="M519" s="125" t="str">
        <f t="shared" ca="1" si="108"/>
        <v/>
      </c>
      <c r="N519" s="125" t="str">
        <f t="shared" ca="1" si="109"/>
        <v/>
      </c>
      <c r="O519" s="125" t="str">
        <f t="shared" ca="1" si="110"/>
        <v/>
      </c>
      <c r="P519" s="125" t="str">
        <f t="shared" ca="1" si="111"/>
        <v/>
      </c>
      <c r="Q519" s="125" t="str">
        <f t="shared" ca="1" si="112"/>
        <v/>
      </c>
      <c r="R519" s="125" t="str">
        <f t="shared" ca="1" si="113"/>
        <v/>
      </c>
      <c r="S519" s="125" t="str">
        <f t="shared" ca="1" si="114"/>
        <v/>
      </c>
      <c r="T519" s="125" t="str">
        <f t="shared" ca="1" si="115"/>
        <v/>
      </c>
      <c r="U519" s="125" t="str">
        <f t="shared" ca="1" si="116"/>
        <v/>
      </c>
      <c r="V519" s="125" t="str">
        <f t="shared" ca="1" si="117"/>
        <v/>
      </c>
      <c r="W519" s="125" t="str">
        <f t="shared" ca="1" si="118"/>
        <v/>
      </c>
      <c r="X519" s="125" t="str">
        <f t="shared" ca="1" si="119"/>
        <v/>
      </c>
      <c r="Y519" s="125" t="str">
        <f t="shared" ca="1" si="120"/>
        <v/>
      </c>
      <c r="Z519" s="125" t="str">
        <f t="shared" ca="1" si="121"/>
        <v/>
      </c>
      <c r="AA519" s="125" t="str">
        <f t="shared" ca="1" si="122"/>
        <v/>
      </c>
      <c r="AB519" s="125" t="str">
        <f t="shared" ca="1" si="123"/>
        <v/>
      </c>
      <c r="AC519" s="125" t="str">
        <f t="shared" ca="1" si="124"/>
        <v/>
      </c>
      <c r="AD519" s="125" t="str">
        <f t="shared" ca="1" si="125"/>
        <v/>
      </c>
      <c r="AE519" s="125" t="str">
        <f t="shared" ca="1" si="126"/>
        <v/>
      </c>
      <c r="AF519" s="125" t="str">
        <f t="shared" ca="1" si="127"/>
        <v/>
      </c>
      <c r="AG519" s="125" t="str">
        <f t="shared" ca="1" si="128"/>
        <v/>
      </c>
      <c r="AH519" s="125" t="str">
        <f t="shared" ca="1" si="129"/>
        <v/>
      </c>
      <c r="AI519" s="125" t="str">
        <f t="shared" ca="1" si="130"/>
        <v/>
      </c>
      <c r="AJ519" s="125" t="str">
        <f t="shared" ca="1" si="131"/>
        <v/>
      </c>
      <c r="AK519" s="125" t="str">
        <f t="shared" ca="1" si="132"/>
        <v/>
      </c>
      <c r="AL519" s="125" t="str">
        <f t="shared" ca="1" si="133"/>
        <v/>
      </c>
      <c r="AM519" s="124" t="str">
        <f t="shared" ca="1" si="137"/>
        <v/>
      </c>
      <c r="AN519" s="124" t="str">
        <f t="shared" ca="1" si="137"/>
        <v/>
      </c>
      <c r="AO519" s="124" t="str">
        <f t="shared" ca="1" si="137"/>
        <v/>
      </c>
      <c r="AP519" s="124" t="str">
        <f t="shared" ca="1" si="137"/>
        <v/>
      </c>
      <c r="AQ519" s="124" t="str">
        <f t="shared" ca="1" si="137"/>
        <v/>
      </c>
      <c r="AR519" s="124" t="str">
        <f t="shared" ca="1" si="137"/>
        <v/>
      </c>
      <c r="AS519" s="124" t="str">
        <f t="shared" ca="1" si="137"/>
        <v/>
      </c>
      <c r="AT519" s="124" t="str">
        <f t="shared" ca="1" si="137"/>
        <v/>
      </c>
      <c r="AU519" s="124" t="str">
        <f t="shared" ca="1" si="137"/>
        <v/>
      </c>
      <c r="AV519" s="124" t="str">
        <f t="shared" ca="1" si="137"/>
        <v/>
      </c>
      <c r="AW519" s="124" t="str">
        <f t="shared" ca="1" si="137"/>
        <v/>
      </c>
      <c r="AX519" s="124" t="str">
        <f t="shared" ca="1" si="137"/>
        <v/>
      </c>
      <c r="AY519" s="124" t="str">
        <f t="shared" ca="1" si="137"/>
        <v/>
      </c>
      <c r="AZ519" s="124" t="str">
        <f t="shared" ca="1" si="137"/>
        <v/>
      </c>
      <c r="BA519" s="124" t="str">
        <f t="shared" ca="1" si="137"/>
        <v/>
      </c>
      <c r="BB519" s="124" t="str">
        <f t="shared" ca="1" si="136"/>
        <v/>
      </c>
      <c r="BC519" s="124" t="str">
        <f t="shared" ca="1" si="136"/>
        <v/>
      </c>
      <c r="BD519" s="124" t="str">
        <f t="shared" ca="1" si="136"/>
        <v/>
      </c>
      <c r="BE519" s="124" t="str">
        <f t="shared" ca="1" si="136"/>
        <v/>
      </c>
      <c r="BF519" s="124" t="str">
        <f t="shared" ca="1" si="136"/>
        <v/>
      </c>
      <c r="BG519" s="124" t="str">
        <f t="shared" ca="1" si="136"/>
        <v/>
      </c>
      <c r="BH519" s="124" t="str">
        <f t="shared" ca="1" si="136"/>
        <v/>
      </c>
      <c r="BI519" s="124" t="str">
        <f t="shared" ca="1" si="136"/>
        <v/>
      </c>
      <c r="BJ519" s="124" t="str">
        <f t="shared" ca="1" si="136"/>
        <v/>
      </c>
      <c r="BK519" s="124" t="str">
        <f t="shared" ca="1" si="136"/>
        <v/>
      </c>
      <c r="BL519" s="124" t="str">
        <f t="shared" ca="1" si="138"/>
        <v/>
      </c>
      <c r="BM519" s="124" t="str">
        <f t="shared" ca="1" si="138"/>
        <v/>
      </c>
      <c r="BN519" s="124" t="str">
        <f t="shared" ca="1" si="138"/>
        <v/>
      </c>
      <c r="BO519" s="124" t="str">
        <f t="shared" ca="1" si="138"/>
        <v/>
      </c>
      <c r="BP519" s="124" t="str">
        <f t="shared" ca="1" si="138"/>
        <v/>
      </c>
      <c r="BQ519" s="124" t="str">
        <f t="shared" ca="1" si="138"/>
        <v/>
      </c>
      <c r="BR519" s="124" t="str">
        <f t="shared" ca="1" si="138"/>
        <v/>
      </c>
      <c r="BS519" s="124" t="str">
        <f t="shared" ca="1" si="135"/>
        <v/>
      </c>
      <c r="BT519" s="124" t="str">
        <f t="shared" ca="1" si="135"/>
        <v/>
      </c>
      <c r="BU519" s="124" t="str">
        <f t="shared" ca="1" si="97"/>
        <v/>
      </c>
    </row>
    <row r="520" spans="1:73" x14ac:dyDescent="0.15">
      <c r="A520">
        <v>100</v>
      </c>
      <c r="B520" s="124" t="str">
        <f t="shared" ca="1" si="98"/>
        <v/>
      </c>
      <c r="C520" s="123" t="str">
        <f ca="1">IF(A520&lt;=①簡易状況入力!$AC$5,INDIRECT("A"&amp;VLOOKUP($A520,①簡易状況入力!$Y$5:$AB$104,4,FALSE)),"")</f>
        <v/>
      </c>
      <c r="D520" s="125" t="str">
        <f t="shared" ca="1" si="99"/>
        <v/>
      </c>
      <c r="E520" s="125" t="str">
        <f t="shared" ca="1" si="100"/>
        <v/>
      </c>
      <c r="F520" s="125" t="str">
        <f t="shared" ca="1" si="101"/>
        <v/>
      </c>
      <c r="G520" s="125" t="str">
        <f t="shared" ca="1" si="102"/>
        <v/>
      </c>
      <c r="H520" s="125" t="str">
        <f t="shared" ca="1" si="103"/>
        <v/>
      </c>
      <c r="I520" s="125" t="str">
        <f t="shared" ca="1" si="104"/>
        <v/>
      </c>
      <c r="J520" s="125" t="str">
        <f t="shared" ca="1" si="105"/>
        <v/>
      </c>
      <c r="K520" s="125" t="str">
        <f t="shared" ca="1" si="106"/>
        <v/>
      </c>
      <c r="L520" s="125" t="str">
        <f t="shared" ca="1" si="107"/>
        <v/>
      </c>
      <c r="M520" s="125" t="str">
        <f t="shared" ca="1" si="108"/>
        <v/>
      </c>
      <c r="N520" s="125" t="str">
        <f t="shared" ca="1" si="109"/>
        <v/>
      </c>
      <c r="O520" s="125" t="str">
        <f t="shared" ca="1" si="110"/>
        <v/>
      </c>
      <c r="P520" s="125" t="str">
        <f t="shared" ca="1" si="111"/>
        <v/>
      </c>
      <c r="Q520" s="125" t="str">
        <f t="shared" ca="1" si="112"/>
        <v/>
      </c>
      <c r="R520" s="125" t="str">
        <f t="shared" ca="1" si="113"/>
        <v/>
      </c>
      <c r="S520" s="125" t="str">
        <f t="shared" ca="1" si="114"/>
        <v/>
      </c>
      <c r="T520" s="125" t="str">
        <f t="shared" ca="1" si="115"/>
        <v/>
      </c>
      <c r="U520" s="125" t="str">
        <f t="shared" ca="1" si="116"/>
        <v/>
      </c>
      <c r="V520" s="125" t="str">
        <f t="shared" ca="1" si="117"/>
        <v/>
      </c>
      <c r="W520" s="125" t="str">
        <f t="shared" ca="1" si="118"/>
        <v/>
      </c>
      <c r="X520" s="125" t="str">
        <f t="shared" ca="1" si="119"/>
        <v/>
      </c>
      <c r="Y520" s="125" t="str">
        <f t="shared" ca="1" si="120"/>
        <v/>
      </c>
      <c r="Z520" s="125" t="str">
        <f t="shared" ca="1" si="121"/>
        <v/>
      </c>
      <c r="AA520" s="125" t="str">
        <f t="shared" ca="1" si="122"/>
        <v/>
      </c>
      <c r="AB520" s="125" t="str">
        <f t="shared" ca="1" si="123"/>
        <v/>
      </c>
      <c r="AC520" s="125" t="str">
        <f t="shared" ca="1" si="124"/>
        <v/>
      </c>
      <c r="AD520" s="125" t="str">
        <f t="shared" ca="1" si="125"/>
        <v/>
      </c>
      <c r="AE520" s="125" t="str">
        <f t="shared" ca="1" si="126"/>
        <v/>
      </c>
      <c r="AF520" s="125" t="str">
        <f t="shared" ca="1" si="127"/>
        <v/>
      </c>
      <c r="AG520" s="125" t="str">
        <f t="shared" ca="1" si="128"/>
        <v/>
      </c>
      <c r="AH520" s="125" t="str">
        <f t="shared" ca="1" si="129"/>
        <v/>
      </c>
      <c r="AI520" s="125" t="str">
        <f t="shared" ca="1" si="130"/>
        <v/>
      </c>
      <c r="AJ520" s="125" t="str">
        <f t="shared" ca="1" si="131"/>
        <v/>
      </c>
      <c r="AK520" s="125" t="str">
        <f t="shared" ca="1" si="132"/>
        <v/>
      </c>
      <c r="AL520" s="125" t="str">
        <f t="shared" ca="1" si="133"/>
        <v/>
      </c>
      <c r="AM520" s="124" t="str">
        <f t="shared" ca="1" si="137"/>
        <v/>
      </c>
      <c r="AN520" s="124" t="str">
        <f t="shared" ca="1" si="137"/>
        <v/>
      </c>
      <c r="AO520" s="124" t="str">
        <f t="shared" ca="1" si="137"/>
        <v/>
      </c>
      <c r="AP520" s="124" t="str">
        <f t="shared" ca="1" si="137"/>
        <v/>
      </c>
      <c r="AQ520" s="124" t="str">
        <f t="shared" ca="1" si="137"/>
        <v/>
      </c>
      <c r="AR520" s="124" t="str">
        <f t="shared" ca="1" si="137"/>
        <v/>
      </c>
      <c r="AS520" s="124" t="str">
        <f t="shared" ca="1" si="137"/>
        <v/>
      </c>
      <c r="AT520" s="124" t="str">
        <f t="shared" ca="1" si="137"/>
        <v/>
      </c>
      <c r="AU520" s="124" t="str">
        <f t="shared" ca="1" si="137"/>
        <v/>
      </c>
      <c r="AV520" s="124" t="str">
        <f t="shared" ca="1" si="137"/>
        <v/>
      </c>
      <c r="AW520" s="124" t="str">
        <f t="shared" ca="1" si="137"/>
        <v/>
      </c>
      <c r="AX520" s="124" t="str">
        <f t="shared" ca="1" si="137"/>
        <v/>
      </c>
      <c r="AY520" s="124" t="str">
        <f t="shared" ca="1" si="137"/>
        <v/>
      </c>
      <c r="AZ520" s="124" t="str">
        <f t="shared" ca="1" si="137"/>
        <v/>
      </c>
      <c r="BA520" s="124" t="str">
        <f t="shared" ca="1" si="137"/>
        <v/>
      </c>
      <c r="BB520" s="124" t="str">
        <f t="shared" ca="1" si="136"/>
        <v/>
      </c>
      <c r="BC520" s="124" t="str">
        <f t="shared" ca="1" si="136"/>
        <v/>
      </c>
      <c r="BD520" s="124" t="str">
        <f t="shared" ca="1" si="136"/>
        <v/>
      </c>
      <c r="BE520" s="124" t="str">
        <f t="shared" ca="1" si="136"/>
        <v/>
      </c>
      <c r="BF520" s="124" t="str">
        <f t="shared" ca="1" si="136"/>
        <v/>
      </c>
      <c r="BG520" s="124" t="str">
        <f t="shared" ca="1" si="136"/>
        <v/>
      </c>
      <c r="BH520" s="124" t="str">
        <f t="shared" ca="1" si="136"/>
        <v/>
      </c>
      <c r="BI520" s="124" t="str">
        <f t="shared" ca="1" si="136"/>
        <v/>
      </c>
      <c r="BJ520" s="124" t="str">
        <f t="shared" ca="1" si="136"/>
        <v/>
      </c>
      <c r="BK520" s="124" t="str">
        <f t="shared" ca="1" si="136"/>
        <v/>
      </c>
      <c r="BL520" s="124" t="str">
        <f t="shared" ca="1" si="138"/>
        <v/>
      </c>
      <c r="BM520" s="124" t="str">
        <f t="shared" ca="1" si="138"/>
        <v/>
      </c>
      <c r="BN520" s="124" t="str">
        <f t="shared" ca="1" si="138"/>
        <v/>
      </c>
      <c r="BO520" s="124" t="str">
        <f t="shared" ca="1" si="138"/>
        <v/>
      </c>
      <c r="BP520" s="124" t="str">
        <f t="shared" ca="1" si="138"/>
        <v/>
      </c>
      <c r="BQ520" s="124" t="str">
        <f t="shared" ca="1" si="138"/>
        <v/>
      </c>
      <c r="BR520" s="124" t="str">
        <f t="shared" ca="1" si="138"/>
        <v/>
      </c>
      <c r="BS520" s="124" t="str">
        <f t="shared" ca="1" si="135"/>
        <v/>
      </c>
      <c r="BT520" s="124" t="str">
        <f t="shared" ca="1" si="135"/>
        <v/>
      </c>
      <c r="BU520" s="124" t="str">
        <f t="shared" ca="1" si="97"/>
        <v/>
      </c>
    </row>
    <row r="521" spans="1:73" x14ac:dyDescent="0.15">
      <c r="B521" s="127" t="s">
        <v>48</v>
      </c>
      <c r="C521" s="42" t="s">
        <v>238</v>
      </c>
      <c r="D521" s="126">
        <f>D420</f>
        <v>0</v>
      </c>
      <c r="E521" s="126">
        <f t="shared" ref="E521:AL521" si="139">E420</f>
        <v>10</v>
      </c>
      <c r="F521" s="126">
        <f t="shared" si="139"/>
        <v>20</v>
      </c>
      <c r="G521" s="126">
        <f t="shared" si="139"/>
        <v>30</v>
      </c>
      <c r="H521" s="126">
        <f t="shared" si="139"/>
        <v>40</v>
      </c>
      <c r="I521" s="126">
        <f t="shared" si="139"/>
        <v>50</v>
      </c>
      <c r="J521" s="126">
        <f t="shared" si="139"/>
        <v>60</v>
      </c>
      <c r="K521" s="126">
        <f t="shared" si="139"/>
        <v>70</v>
      </c>
      <c r="L521" s="126">
        <f t="shared" si="139"/>
        <v>80</v>
      </c>
      <c r="M521" s="126">
        <f t="shared" si="139"/>
        <v>90</v>
      </c>
      <c r="N521" s="126">
        <f t="shared" si="139"/>
        <v>100</v>
      </c>
      <c r="O521" s="126">
        <f t="shared" si="139"/>
        <v>120</v>
      </c>
      <c r="P521" s="126">
        <f t="shared" si="139"/>
        <v>140</v>
      </c>
      <c r="Q521" s="126">
        <f t="shared" si="139"/>
        <v>160</v>
      </c>
      <c r="R521" s="126">
        <f t="shared" si="139"/>
        <v>180</v>
      </c>
      <c r="S521" s="126">
        <f t="shared" si="139"/>
        <v>200</v>
      </c>
      <c r="T521" s="126">
        <f t="shared" si="139"/>
        <v>220</v>
      </c>
      <c r="U521" s="126">
        <f t="shared" si="139"/>
        <v>240</v>
      </c>
      <c r="V521" s="126">
        <f t="shared" si="139"/>
        <v>260</v>
      </c>
      <c r="W521" s="126">
        <f t="shared" si="139"/>
        <v>280</v>
      </c>
      <c r="X521" s="126">
        <f t="shared" si="139"/>
        <v>300</v>
      </c>
      <c r="Y521" s="126">
        <f t="shared" si="139"/>
        <v>350</v>
      </c>
      <c r="Z521" s="126">
        <f t="shared" si="139"/>
        <v>400</v>
      </c>
      <c r="AA521" s="126">
        <f t="shared" si="139"/>
        <v>450</v>
      </c>
      <c r="AB521" s="126">
        <f t="shared" si="139"/>
        <v>500</v>
      </c>
      <c r="AC521" s="126">
        <f t="shared" si="139"/>
        <v>600</v>
      </c>
      <c r="AD521" s="126">
        <f t="shared" si="139"/>
        <v>700</v>
      </c>
      <c r="AE521" s="126">
        <f t="shared" si="139"/>
        <v>800</v>
      </c>
      <c r="AF521" s="126">
        <f t="shared" si="139"/>
        <v>900</v>
      </c>
      <c r="AG521" s="126">
        <f t="shared" si="139"/>
        <v>1000</v>
      </c>
      <c r="AH521" s="126">
        <f t="shared" si="139"/>
        <v>1200</v>
      </c>
      <c r="AI521" s="126">
        <f t="shared" si="139"/>
        <v>1400</v>
      </c>
      <c r="AJ521" s="126">
        <f t="shared" si="139"/>
        <v>1600</v>
      </c>
      <c r="AK521" s="126">
        <f t="shared" si="139"/>
        <v>1800</v>
      </c>
      <c r="AL521" s="126">
        <f t="shared" si="139"/>
        <v>2000</v>
      </c>
      <c r="AM521" s="126">
        <f t="shared" ref="AM521:BU521" si="140">D521</f>
        <v>0</v>
      </c>
      <c r="AN521" s="126">
        <f t="shared" si="140"/>
        <v>10</v>
      </c>
      <c r="AO521" s="126">
        <f t="shared" si="140"/>
        <v>20</v>
      </c>
      <c r="AP521" s="126">
        <f t="shared" si="140"/>
        <v>30</v>
      </c>
      <c r="AQ521" s="126">
        <f t="shared" si="140"/>
        <v>40</v>
      </c>
      <c r="AR521" s="126">
        <f t="shared" si="140"/>
        <v>50</v>
      </c>
      <c r="AS521" s="126">
        <f t="shared" si="140"/>
        <v>60</v>
      </c>
      <c r="AT521" s="126">
        <f t="shared" si="140"/>
        <v>70</v>
      </c>
      <c r="AU521" s="126">
        <f t="shared" si="140"/>
        <v>80</v>
      </c>
      <c r="AV521" s="126">
        <f t="shared" si="140"/>
        <v>90</v>
      </c>
      <c r="AW521" s="126">
        <f t="shared" si="140"/>
        <v>100</v>
      </c>
      <c r="AX521" s="126">
        <f t="shared" si="140"/>
        <v>120</v>
      </c>
      <c r="AY521" s="126">
        <f t="shared" si="140"/>
        <v>140</v>
      </c>
      <c r="AZ521" s="126">
        <f t="shared" si="140"/>
        <v>160</v>
      </c>
      <c r="BA521" s="126">
        <f t="shared" si="140"/>
        <v>180</v>
      </c>
      <c r="BB521" s="126">
        <f t="shared" si="140"/>
        <v>200</v>
      </c>
      <c r="BC521" s="126">
        <f t="shared" si="140"/>
        <v>220</v>
      </c>
      <c r="BD521" s="126">
        <f t="shared" si="140"/>
        <v>240</v>
      </c>
      <c r="BE521" s="126">
        <f t="shared" si="140"/>
        <v>260</v>
      </c>
      <c r="BF521" s="126">
        <f t="shared" si="140"/>
        <v>280</v>
      </c>
      <c r="BG521" s="126">
        <f t="shared" si="140"/>
        <v>300</v>
      </c>
      <c r="BH521" s="126">
        <f t="shared" si="140"/>
        <v>350</v>
      </c>
      <c r="BI521" s="126">
        <f t="shared" si="140"/>
        <v>400</v>
      </c>
      <c r="BJ521" s="126">
        <f t="shared" si="140"/>
        <v>450</v>
      </c>
      <c r="BK521" s="126">
        <f t="shared" si="140"/>
        <v>500</v>
      </c>
      <c r="BL521" s="126">
        <f t="shared" si="140"/>
        <v>600</v>
      </c>
      <c r="BM521" s="126">
        <f t="shared" si="140"/>
        <v>700</v>
      </c>
      <c r="BN521" s="126">
        <f t="shared" si="140"/>
        <v>800</v>
      </c>
      <c r="BO521" s="126">
        <f t="shared" si="140"/>
        <v>900</v>
      </c>
      <c r="BP521" s="126">
        <f t="shared" si="140"/>
        <v>1000</v>
      </c>
      <c r="BQ521" s="126">
        <f t="shared" si="140"/>
        <v>1200</v>
      </c>
      <c r="BR521" s="126">
        <f t="shared" si="140"/>
        <v>1400</v>
      </c>
      <c r="BS521" s="126">
        <f t="shared" si="140"/>
        <v>1600</v>
      </c>
      <c r="BT521" s="126">
        <f t="shared" si="140"/>
        <v>1800</v>
      </c>
      <c r="BU521" s="126">
        <f t="shared" si="140"/>
        <v>2000</v>
      </c>
    </row>
    <row r="522" spans="1:73" x14ac:dyDescent="0.15">
      <c r="A522">
        <v>1</v>
      </c>
      <c r="B522" s="124" t="str">
        <f t="shared" ref="B522:B531" ca="1" si="141">IF($C522&lt;&gt;"",SUMIF($A$4:$A$413,$C522,C$4:C$413),"")</f>
        <v/>
      </c>
      <c r="C522" s="123" t="str">
        <f ca="1">IF(A522&lt;=①簡易状況入力!$AC$109,INDIRECT("A"&amp;VLOOKUP($A522,①簡易状況入力!$Y$109:$AB$118,4,FALSE)),"")</f>
        <v/>
      </c>
      <c r="D522" s="125" t="str">
        <f t="shared" ref="D522:D531" ca="1" si="142">IF(B522&lt;&gt;"",AM522/$B522,"")</f>
        <v/>
      </c>
      <c r="E522" s="125" t="str">
        <f t="shared" ref="E522:E531" ca="1" si="143">IF(D522&lt;&gt;"",AN522/$B522,"")</f>
        <v/>
      </c>
      <c r="F522" s="125" t="str">
        <f t="shared" ref="F522:F531" ca="1" si="144">IF(E522&lt;&gt;"",AO522/$B522,"")</f>
        <v/>
      </c>
      <c r="G522" s="125" t="str">
        <f t="shared" ref="G522:G531" ca="1" si="145">IF(F522&lt;&gt;"",AP522/$B522,"")</f>
        <v/>
      </c>
      <c r="H522" s="125" t="str">
        <f t="shared" ref="H522:H531" ca="1" si="146">IF(G522&lt;&gt;"",AQ522/$B522,"")</f>
        <v/>
      </c>
      <c r="I522" s="125" t="str">
        <f t="shared" ref="I522:I531" ca="1" si="147">IF(H522&lt;&gt;"",AR522/$B522,"")</f>
        <v/>
      </c>
      <c r="J522" s="125" t="str">
        <f t="shared" ref="J522:J531" ca="1" si="148">IF(I522&lt;&gt;"",AS522/$B522,"")</f>
        <v/>
      </c>
      <c r="K522" s="125" t="str">
        <f t="shared" ref="K522:K531" ca="1" si="149">IF(J522&lt;&gt;"",AT522/$B522,"")</f>
        <v/>
      </c>
      <c r="L522" s="125" t="str">
        <f t="shared" ref="L522:L531" ca="1" si="150">IF(K522&lt;&gt;"",AU522/$B522,"")</f>
        <v/>
      </c>
      <c r="M522" s="125" t="str">
        <f t="shared" ref="M522:M531" ca="1" si="151">IF(L522&lt;&gt;"",AV522/$B522,"")</f>
        <v/>
      </c>
      <c r="N522" s="125" t="str">
        <f t="shared" ref="N522:N531" ca="1" si="152">IF(M522&lt;&gt;"",AW522/$B522,"")</f>
        <v/>
      </c>
      <c r="O522" s="125" t="str">
        <f t="shared" ref="O522:O531" ca="1" si="153">IF(N522&lt;&gt;"",AX522/$B522,"")</f>
        <v/>
      </c>
      <c r="P522" s="125" t="str">
        <f t="shared" ref="P522:P531" ca="1" si="154">IF(O522&lt;&gt;"",AY522/$B522,"")</f>
        <v/>
      </c>
      <c r="Q522" s="125" t="str">
        <f t="shared" ref="Q522:Q531" ca="1" si="155">IF(P522&lt;&gt;"",AZ522/$B522,"")</f>
        <v/>
      </c>
      <c r="R522" s="125" t="str">
        <f t="shared" ref="R522:R531" ca="1" si="156">IF(Q522&lt;&gt;"",BA522/$B522,"")</f>
        <v/>
      </c>
      <c r="S522" s="125" t="str">
        <f t="shared" ref="S522:S531" ca="1" si="157">IF(R522&lt;&gt;"",BB522/$B522,"")</f>
        <v/>
      </c>
      <c r="T522" s="125" t="str">
        <f t="shared" ref="T522:T531" ca="1" si="158">IF(S522&lt;&gt;"",BC522/$B522,"")</f>
        <v/>
      </c>
      <c r="U522" s="125" t="str">
        <f t="shared" ref="U522:U531" ca="1" si="159">IF(T522&lt;&gt;"",BD522/$B522,"")</f>
        <v/>
      </c>
      <c r="V522" s="125" t="str">
        <f t="shared" ref="V522:V531" ca="1" si="160">IF(U522&lt;&gt;"",BE522/$B522,"")</f>
        <v/>
      </c>
      <c r="W522" s="125" t="str">
        <f t="shared" ref="W522:W531" ca="1" si="161">IF(V522&lt;&gt;"",BF522/$B522,"")</f>
        <v/>
      </c>
      <c r="X522" s="125" t="str">
        <f t="shared" ref="X522:X531" ca="1" si="162">IF(W522&lt;&gt;"",BG522/$B522,"")</f>
        <v/>
      </c>
      <c r="Y522" s="125" t="str">
        <f t="shared" ref="Y522:Y531" ca="1" si="163">IF(X522&lt;&gt;"",BH522/$B522,"")</f>
        <v/>
      </c>
      <c r="Z522" s="125" t="str">
        <f t="shared" ref="Z522:Z531" ca="1" si="164">IF(Y522&lt;&gt;"",BI522/$B522,"")</f>
        <v/>
      </c>
      <c r="AA522" s="125" t="str">
        <f t="shared" ref="AA522:AA531" ca="1" si="165">IF(Z522&lt;&gt;"",BJ522/$B522,"")</f>
        <v/>
      </c>
      <c r="AB522" s="125" t="str">
        <f t="shared" ref="AB522:AB531" ca="1" si="166">IF(AA522&lt;&gt;"",BK522/$B522,"")</f>
        <v/>
      </c>
      <c r="AC522" s="125" t="str">
        <f t="shared" ref="AC522:AC531" ca="1" si="167">IF(AB522&lt;&gt;"",BL522/$B522,"")</f>
        <v/>
      </c>
      <c r="AD522" s="125" t="str">
        <f t="shared" ref="AD522:AD531" ca="1" si="168">IF(AC522&lt;&gt;"",BM522/$B522,"")</f>
        <v/>
      </c>
      <c r="AE522" s="125" t="str">
        <f t="shared" ref="AE522:AE531" ca="1" si="169">IF(AD522&lt;&gt;"",BN522/$B522,"")</f>
        <v/>
      </c>
      <c r="AF522" s="125" t="str">
        <f t="shared" ref="AF522:AF531" ca="1" si="170">IF(AE522&lt;&gt;"",BO522/$B522,"")</f>
        <v/>
      </c>
      <c r="AG522" s="125" t="str">
        <f t="shared" ref="AG522:AG531" ca="1" si="171">IF(AF522&lt;&gt;"",BP522/$B522,"")</f>
        <v/>
      </c>
      <c r="AH522" s="125" t="str">
        <f t="shared" ref="AH522:AH531" ca="1" si="172">IF(AG522&lt;&gt;"",BQ522/$B522,"")</f>
        <v/>
      </c>
      <c r="AI522" s="125" t="str">
        <f t="shared" ref="AI522:AI531" ca="1" si="173">IF(AH522&lt;&gt;"",BR522/$B522,"")</f>
        <v/>
      </c>
      <c r="AJ522" s="125" t="str">
        <f t="shared" ref="AJ522:AJ531" ca="1" si="174">IF(AI522&lt;&gt;"",BS522/$B522,"")</f>
        <v/>
      </c>
      <c r="AK522" s="125" t="str">
        <f t="shared" ref="AK522:AK531" ca="1" si="175">IF(AJ522&lt;&gt;"",BT522/$B522,"")</f>
        <v/>
      </c>
      <c r="AL522" s="125" t="str">
        <f t="shared" ref="AL522:AL531" ca="1" si="176">IF(AK522&lt;&gt;"",BU522/$B522,"")</f>
        <v/>
      </c>
      <c r="AM522" s="124" t="str">
        <f t="shared" ref="AM522:AV531" ca="1" si="177">IF($C522&lt;&gt;"",SUMIF($A$4:$A$413,$C522,AM$4:AM$413),"")</f>
        <v/>
      </c>
      <c r="AN522" s="124" t="str">
        <f t="shared" ca="1" si="177"/>
        <v/>
      </c>
      <c r="AO522" s="124" t="str">
        <f t="shared" ca="1" si="177"/>
        <v/>
      </c>
      <c r="AP522" s="124" t="str">
        <f t="shared" ca="1" si="177"/>
        <v/>
      </c>
      <c r="AQ522" s="124" t="str">
        <f t="shared" ca="1" si="177"/>
        <v/>
      </c>
      <c r="AR522" s="124" t="str">
        <f t="shared" ca="1" si="177"/>
        <v/>
      </c>
      <c r="AS522" s="124" t="str">
        <f t="shared" ca="1" si="177"/>
        <v/>
      </c>
      <c r="AT522" s="124" t="str">
        <f t="shared" ca="1" si="177"/>
        <v/>
      </c>
      <c r="AU522" s="124" t="str">
        <f t="shared" ca="1" si="177"/>
        <v/>
      </c>
      <c r="AV522" s="124" t="str">
        <f t="shared" ca="1" si="177"/>
        <v/>
      </c>
      <c r="AW522" s="124" t="str">
        <f t="shared" ref="AW522:BF531" ca="1" si="178">IF($C522&lt;&gt;"",SUMIF($A$4:$A$413,$C522,AW$4:AW$413),"")</f>
        <v/>
      </c>
      <c r="AX522" s="124" t="str">
        <f t="shared" ca="1" si="178"/>
        <v/>
      </c>
      <c r="AY522" s="124" t="str">
        <f t="shared" ca="1" si="178"/>
        <v/>
      </c>
      <c r="AZ522" s="124" t="str">
        <f t="shared" ca="1" si="178"/>
        <v/>
      </c>
      <c r="BA522" s="124" t="str">
        <f t="shared" ca="1" si="178"/>
        <v/>
      </c>
      <c r="BB522" s="124" t="str">
        <f t="shared" ca="1" si="178"/>
        <v/>
      </c>
      <c r="BC522" s="124" t="str">
        <f t="shared" ca="1" si="178"/>
        <v/>
      </c>
      <c r="BD522" s="124" t="str">
        <f t="shared" ca="1" si="178"/>
        <v/>
      </c>
      <c r="BE522" s="124" t="str">
        <f t="shared" ca="1" si="178"/>
        <v/>
      </c>
      <c r="BF522" s="124" t="str">
        <f t="shared" ca="1" si="178"/>
        <v/>
      </c>
      <c r="BG522" s="124" t="str">
        <f t="shared" ref="BG522:BU531" ca="1" si="179">IF($C522&lt;&gt;"",SUMIF($A$4:$A$413,$C522,BG$4:BG$413),"")</f>
        <v/>
      </c>
      <c r="BH522" s="124" t="str">
        <f t="shared" ca="1" si="179"/>
        <v/>
      </c>
      <c r="BI522" s="124" t="str">
        <f t="shared" ca="1" si="179"/>
        <v/>
      </c>
      <c r="BJ522" s="124" t="str">
        <f t="shared" ca="1" si="179"/>
        <v/>
      </c>
      <c r="BK522" s="124" t="str">
        <f t="shared" ca="1" si="179"/>
        <v/>
      </c>
      <c r="BL522" s="124" t="str">
        <f t="shared" ca="1" si="179"/>
        <v/>
      </c>
      <c r="BM522" s="124" t="str">
        <f t="shared" ca="1" si="179"/>
        <v/>
      </c>
      <c r="BN522" s="124" t="str">
        <f t="shared" ca="1" si="179"/>
        <v/>
      </c>
      <c r="BO522" s="124" t="str">
        <f t="shared" ca="1" si="179"/>
        <v/>
      </c>
      <c r="BP522" s="124" t="str">
        <f t="shared" ca="1" si="179"/>
        <v/>
      </c>
      <c r="BQ522" s="124" t="str">
        <f t="shared" ca="1" si="179"/>
        <v/>
      </c>
      <c r="BR522" s="124" t="str">
        <f t="shared" ca="1" si="179"/>
        <v/>
      </c>
      <c r="BS522" s="124" t="str">
        <f t="shared" ca="1" si="179"/>
        <v/>
      </c>
      <c r="BT522" s="124" t="str">
        <f t="shared" ca="1" si="179"/>
        <v/>
      </c>
      <c r="BU522" s="124" t="str">
        <f t="shared" ca="1" si="179"/>
        <v/>
      </c>
    </row>
    <row r="523" spans="1:73" x14ac:dyDescent="0.15">
      <c r="A523">
        <v>2</v>
      </c>
      <c r="B523" s="124" t="str">
        <f t="shared" ca="1" si="141"/>
        <v/>
      </c>
      <c r="C523" s="123" t="str">
        <f ca="1">IF(A523&lt;=①簡易状況入力!$AC$109,INDIRECT("A"&amp;VLOOKUP($A523,①簡易状況入力!$Y$109:$AB$118,4,FALSE)),"")</f>
        <v/>
      </c>
      <c r="D523" s="125" t="str">
        <f t="shared" ca="1" si="142"/>
        <v/>
      </c>
      <c r="E523" s="125" t="str">
        <f t="shared" ca="1" si="143"/>
        <v/>
      </c>
      <c r="F523" s="125" t="str">
        <f t="shared" ca="1" si="144"/>
        <v/>
      </c>
      <c r="G523" s="125" t="str">
        <f t="shared" ca="1" si="145"/>
        <v/>
      </c>
      <c r="H523" s="125" t="str">
        <f t="shared" ca="1" si="146"/>
        <v/>
      </c>
      <c r="I523" s="125" t="str">
        <f t="shared" ca="1" si="147"/>
        <v/>
      </c>
      <c r="J523" s="125" t="str">
        <f t="shared" ca="1" si="148"/>
        <v/>
      </c>
      <c r="K523" s="125" t="str">
        <f t="shared" ca="1" si="149"/>
        <v/>
      </c>
      <c r="L523" s="125" t="str">
        <f t="shared" ca="1" si="150"/>
        <v/>
      </c>
      <c r="M523" s="125" t="str">
        <f t="shared" ca="1" si="151"/>
        <v/>
      </c>
      <c r="N523" s="125" t="str">
        <f t="shared" ca="1" si="152"/>
        <v/>
      </c>
      <c r="O523" s="125" t="str">
        <f t="shared" ca="1" si="153"/>
        <v/>
      </c>
      <c r="P523" s="125" t="str">
        <f t="shared" ca="1" si="154"/>
        <v/>
      </c>
      <c r="Q523" s="125" t="str">
        <f t="shared" ca="1" si="155"/>
        <v/>
      </c>
      <c r="R523" s="125" t="str">
        <f t="shared" ca="1" si="156"/>
        <v/>
      </c>
      <c r="S523" s="125" t="str">
        <f t="shared" ca="1" si="157"/>
        <v/>
      </c>
      <c r="T523" s="125" t="str">
        <f t="shared" ca="1" si="158"/>
        <v/>
      </c>
      <c r="U523" s="125" t="str">
        <f t="shared" ca="1" si="159"/>
        <v/>
      </c>
      <c r="V523" s="125" t="str">
        <f t="shared" ca="1" si="160"/>
        <v/>
      </c>
      <c r="W523" s="125" t="str">
        <f t="shared" ca="1" si="161"/>
        <v/>
      </c>
      <c r="X523" s="125" t="str">
        <f t="shared" ca="1" si="162"/>
        <v/>
      </c>
      <c r="Y523" s="125" t="str">
        <f t="shared" ca="1" si="163"/>
        <v/>
      </c>
      <c r="Z523" s="125" t="str">
        <f t="shared" ca="1" si="164"/>
        <v/>
      </c>
      <c r="AA523" s="125" t="str">
        <f t="shared" ca="1" si="165"/>
        <v/>
      </c>
      <c r="AB523" s="125" t="str">
        <f t="shared" ca="1" si="166"/>
        <v/>
      </c>
      <c r="AC523" s="125" t="str">
        <f t="shared" ca="1" si="167"/>
        <v/>
      </c>
      <c r="AD523" s="125" t="str">
        <f t="shared" ca="1" si="168"/>
        <v/>
      </c>
      <c r="AE523" s="125" t="str">
        <f t="shared" ca="1" si="169"/>
        <v/>
      </c>
      <c r="AF523" s="125" t="str">
        <f t="shared" ca="1" si="170"/>
        <v/>
      </c>
      <c r="AG523" s="125" t="str">
        <f t="shared" ca="1" si="171"/>
        <v/>
      </c>
      <c r="AH523" s="125" t="str">
        <f t="shared" ca="1" si="172"/>
        <v/>
      </c>
      <c r="AI523" s="125" t="str">
        <f t="shared" ca="1" si="173"/>
        <v/>
      </c>
      <c r="AJ523" s="125" t="str">
        <f t="shared" ca="1" si="174"/>
        <v/>
      </c>
      <c r="AK523" s="125" t="str">
        <f t="shared" ca="1" si="175"/>
        <v/>
      </c>
      <c r="AL523" s="125" t="str">
        <f t="shared" ca="1" si="176"/>
        <v/>
      </c>
      <c r="AM523" s="124" t="str">
        <f t="shared" ca="1" si="177"/>
        <v/>
      </c>
      <c r="AN523" s="124" t="str">
        <f t="shared" ca="1" si="177"/>
        <v/>
      </c>
      <c r="AO523" s="124" t="str">
        <f t="shared" ca="1" si="177"/>
        <v/>
      </c>
      <c r="AP523" s="124" t="str">
        <f t="shared" ca="1" si="177"/>
        <v/>
      </c>
      <c r="AQ523" s="124" t="str">
        <f t="shared" ca="1" si="177"/>
        <v/>
      </c>
      <c r="AR523" s="124" t="str">
        <f t="shared" ca="1" si="177"/>
        <v/>
      </c>
      <c r="AS523" s="124" t="str">
        <f t="shared" ca="1" si="177"/>
        <v/>
      </c>
      <c r="AT523" s="124" t="str">
        <f t="shared" ca="1" si="177"/>
        <v/>
      </c>
      <c r="AU523" s="124" t="str">
        <f t="shared" ca="1" si="177"/>
        <v/>
      </c>
      <c r="AV523" s="124" t="str">
        <f t="shared" ca="1" si="177"/>
        <v/>
      </c>
      <c r="AW523" s="124" t="str">
        <f t="shared" ca="1" si="178"/>
        <v/>
      </c>
      <c r="AX523" s="124" t="str">
        <f t="shared" ca="1" si="178"/>
        <v/>
      </c>
      <c r="AY523" s="124" t="str">
        <f t="shared" ca="1" si="178"/>
        <v/>
      </c>
      <c r="AZ523" s="124" t="str">
        <f t="shared" ca="1" si="178"/>
        <v/>
      </c>
      <c r="BA523" s="124" t="str">
        <f t="shared" ca="1" si="178"/>
        <v/>
      </c>
      <c r="BB523" s="124" t="str">
        <f t="shared" ca="1" si="178"/>
        <v/>
      </c>
      <c r="BC523" s="124" t="str">
        <f t="shared" ca="1" si="178"/>
        <v/>
      </c>
      <c r="BD523" s="124" t="str">
        <f t="shared" ca="1" si="178"/>
        <v/>
      </c>
      <c r="BE523" s="124" t="str">
        <f t="shared" ca="1" si="178"/>
        <v/>
      </c>
      <c r="BF523" s="124" t="str">
        <f t="shared" ca="1" si="178"/>
        <v/>
      </c>
      <c r="BG523" s="124" t="str">
        <f t="shared" ca="1" si="179"/>
        <v/>
      </c>
      <c r="BH523" s="124" t="str">
        <f t="shared" ca="1" si="179"/>
        <v/>
      </c>
      <c r="BI523" s="124" t="str">
        <f t="shared" ca="1" si="179"/>
        <v/>
      </c>
      <c r="BJ523" s="124" t="str">
        <f t="shared" ca="1" si="179"/>
        <v/>
      </c>
      <c r="BK523" s="124" t="str">
        <f t="shared" ca="1" si="179"/>
        <v/>
      </c>
      <c r="BL523" s="124" t="str">
        <f t="shared" ca="1" si="179"/>
        <v/>
      </c>
      <c r="BM523" s="124" t="str">
        <f t="shared" ca="1" si="179"/>
        <v/>
      </c>
      <c r="BN523" s="124" t="str">
        <f t="shared" ca="1" si="179"/>
        <v/>
      </c>
      <c r="BO523" s="124" t="str">
        <f t="shared" ca="1" si="179"/>
        <v/>
      </c>
      <c r="BP523" s="124" t="str">
        <f t="shared" ca="1" si="179"/>
        <v/>
      </c>
      <c r="BQ523" s="124" t="str">
        <f t="shared" ca="1" si="179"/>
        <v/>
      </c>
      <c r="BR523" s="124" t="str">
        <f t="shared" ca="1" si="179"/>
        <v/>
      </c>
      <c r="BS523" s="124" t="str">
        <f t="shared" ca="1" si="179"/>
        <v/>
      </c>
      <c r="BT523" s="124" t="str">
        <f t="shared" ca="1" si="179"/>
        <v/>
      </c>
      <c r="BU523" s="124" t="str">
        <f t="shared" ca="1" si="179"/>
        <v/>
      </c>
    </row>
    <row r="524" spans="1:73" x14ac:dyDescent="0.15">
      <c r="A524">
        <v>3</v>
      </c>
      <c r="B524" s="124" t="str">
        <f t="shared" ca="1" si="141"/>
        <v/>
      </c>
      <c r="C524" s="123" t="str">
        <f ca="1">IF(A524&lt;=①簡易状況入力!$AC$109,INDIRECT("A"&amp;VLOOKUP($A524,①簡易状況入力!$Y$109:$AB$118,4,FALSE)),"")</f>
        <v/>
      </c>
      <c r="D524" s="125" t="str">
        <f t="shared" ca="1" si="142"/>
        <v/>
      </c>
      <c r="E524" s="125" t="str">
        <f t="shared" ca="1" si="143"/>
        <v/>
      </c>
      <c r="F524" s="125" t="str">
        <f t="shared" ca="1" si="144"/>
        <v/>
      </c>
      <c r="G524" s="125" t="str">
        <f t="shared" ca="1" si="145"/>
        <v/>
      </c>
      <c r="H524" s="125" t="str">
        <f t="shared" ca="1" si="146"/>
        <v/>
      </c>
      <c r="I524" s="125" t="str">
        <f t="shared" ca="1" si="147"/>
        <v/>
      </c>
      <c r="J524" s="125" t="str">
        <f t="shared" ca="1" si="148"/>
        <v/>
      </c>
      <c r="K524" s="125" t="str">
        <f t="shared" ca="1" si="149"/>
        <v/>
      </c>
      <c r="L524" s="125" t="str">
        <f t="shared" ca="1" si="150"/>
        <v/>
      </c>
      <c r="M524" s="125" t="str">
        <f t="shared" ca="1" si="151"/>
        <v/>
      </c>
      <c r="N524" s="125" t="str">
        <f t="shared" ca="1" si="152"/>
        <v/>
      </c>
      <c r="O524" s="125" t="str">
        <f t="shared" ca="1" si="153"/>
        <v/>
      </c>
      <c r="P524" s="125" t="str">
        <f t="shared" ca="1" si="154"/>
        <v/>
      </c>
      <c r="Q524" s="125" t="str">
        <f t="shared" ca="1" si="155"/>
        <v/>
      </c>
      <c r="R524" s="125" t="str">
        <f t="shared" ca="1" si="156"/>
        <v/>
      </c>
      <c r="S524" s="125" t="str">
        <f t="shared" ca="1" si="157"/>
        <v/>
      </c>
      <c r="T524" s="125" t="str">
        <f t="shared" ca="1" si="158"/>
        <v/>
      </c>
      <c r="U524" s="125" t="str">
        <f t="shared" ca="1" si="159"/>
        <v/>
      </c>
      <c r="V524" s="125" t="str">
        <f t="shared" ca="1" si="160"/>
        <v/>
      </c>
      <c r="W524" s="125" t="str">
        <f t="shared" ca="1" si="161"/>
        <v/>
      </c>
      <c r="X524" s="125" t="str">
        <f t="shared" ca="1" si="162"/>
        <v/>
      </c>
      <c r="Y524" s="125" t="str">
        <f t="shared" ca="1" si="163"/>
        <v/>
      </c>
      <c r="Z524" s="125" t="str">
        <f t="shared" ca="1" si="164"/>
        <v/>
      </c>
      <c r="AA524" s="125" t="str">
        <f t="shared" ca="1" si="165"/>
        <v/>
      </c>
      <c r="AB524" s="125" t="str">
        <f t="shared" ca="1" si="166"/>
        <v/>
      </c>
      <c r="AC524" s="125" t="str">
        <f t="shared" ca="1" si="167"/>
        <v/>
      </c>
      <c r="AD524" s="125" t="str">
        <f t="shared" ca="1" si="168"/>
        <v/>
      </c>
      <c r="AE524" s="125" t="str">
        <f t="shared" ca="1" si="169"/>
        <v/>
      </c>
      <c r="AF524" s="125" t="str">
        <f t="shared" ca="1" si="170"/>
        <v/>
      </c>
      <c r="AG524" s="125" t="str">
        <f t="shared" ca="1" si="171"/>
        <v/>
      </c>
      <c r="AH524" s="125" t="str">
        <f t="shared" ca="1" si="172"/>
        <v/>
      </c>
      <c r="AI524" s="125" t="str">
        <f t="shared" ca="1" si="173"/>
        <v/>
      </c>
      <c r="AJ524" s="125" t="str">
        <f t="shared" ca="1" si="174"/>
        <v/>
      </c>
      <c r="AK524" s="125" t="str">
        <f t="shared" ca="1" si="175"/>
        <v/>
      </c>
      <c r="AL524" s="125" t="str">
        <f t="shared" ca="1" si="176"/>
        <v/>
      </c>
      <c r="AM524" s="124" t="str">
        <f t="shared" ca="1" si="177"/>
        <v/>
      </c>
      <c r="AN524" s="124" t="str">
        <f t="shared" ca="1" si="177"/>
        <v/>
      </c>
      <c r="AO524" s="124" t="str">
        <f t="shared" ca="1" si="177"/>
        <v/>
      </c>
      <c r="AP524" s="124" t="str">
        <f t="shared" ca="1" si="177"/>
        <v/>
      </c>
      <c r="AQ524" s="124" t="str">
        <f t="shared" ca="1" si="177"/>
        <v/>
      </c>
      <c r="AR524" s="124" t="str">
        <f t="shared" ca="1" si="177"/>
        <v/>
      </c>
      <c r="AS524" s="124" t="str">
        <f t="shared" ca="1" si="177"/>
        <v/>
      </c>
      <c r="AT524" s="124" t="str">
        <f t="shared" ca="1" si="177"/>
        <v/>
      </c>
      <c r="AU524" s="124" t="str">
        <f t="shared" ca="1" si="177"/>
        <v/>
      </c>
      <c r="AV524" s="124" t="str">
        <f t="shared" ca="1" si="177"/>
        <v/>
      </c>
      <c r="AW524" s="124" t="str">
        <f t="shared" ca="1" si="178"/>
        <v/>
      </c>
      <c r="AX524" s="124" t="str">
        <f t="shared" ca="1" si="178"/>
        <v/>
      </c>
      <c r="AY524" s="124" t="str">
        <f t="shared" ca="1" si="178"/>
        <v/>
      </c>
      <c r="AZ524" s="124" t="str">
        <f t="shared" ca="1" si="178"/>
        <v/>
      </c>
      <c r="BA524" s="124" t="str">
        <f t="shared" ca="1" si="178"/>
        <v/>
      </c>
      <c r="BB524" s="124" t="str">
        <f t="shared" ca="1" si="178"/>
        <v/>
      </c>
      <c r="BC524" s="124" t="str">
        <f t="shared" ca="1" si="178"/>
        <v/>
      </c>
      <c r="BD524" s="124" t="str">
        <f t="shared" ca="1" si="178"/>
        <v/>
      </c>
      <c r="BE524" s="124" t="str">
        <f t="shared" ca="1" si="178"/>
        <v/>
      </c>
      <c r="BF524" s="124" t="str">
        <f t="shared" ca="1" si="178"/>
        <v/>
      </c>
      <c r="BG524" s="124" t="str">
        <f t="shared" ca="1" si="179"/>
        <v/>
      </c>
      <c r="BH524" s="124" t="str">
        <f t="shared" ca="1" si="179"/>
        <v/>
      </c>
      <c r="BI524" s="124" t="str">
        <f t="shared" ca="1" si="179"/>
        <v/>
      </c>
      <c r="BJ524" s="124" t="str">
        <f t="shared" ca="1" si="179"/>
        <v/>
      </c>
      <c r="BK524" s="124" t="str">
        <f t="shared" ca="1" si="179"/>
        <v/>
      </c>
      <c r="BL524" s="124" t="str">
        <f t="shared" ca="1" si="179"/>
        <v/>
      </c>
      <c r="BM524" s="124" t="str">
        <f t="shared" ca="1" si="179"/>
        <v/>
      </c>
      <c r="BN524" s="124" t="str">
        <f t="shared" ca="1" si="179"/>
        <v/>
      </c>
      <c r="BO524" s="124" t="str">
        <f t="shared" ca="1" si="179"/>
        <v/>
      </c>
      <c r="BP524" s="124" t="str">
        <f t="shared" ca="1" si="179"/>
        <v/>
      </c>
      <c r="BQ524" s="124" t="str">
        <f t="shared" ca="1" si="179"/>
        <v/>
      </c>
      <c r="BR524" s="124" t="str">
        <f t="shared" ca="1" si="179"/>
        <v/>
      </c>
      <c r="BS524" s="124" t="str">
        <f t="shared" ca="1" si="179"/>
        <v/>
      </c>
      <c r="BT524" s="124" t="str">
        <f t="shared" ca="1" si="179"/>
        <v/>
      </c>
      <c r="BU524" s="124" t="str">
        <f t="shared" ca="1" si="179"/>
        <v/>
      </c>
    </row>
    <row r="525" spans="1:73" x14ac:dyDescent="0.15">
      <c r="A525">
        <v>4</v>
      </c>
      <c r="B525" s="124" t="str">
        <f t="shared" ca="1" si="141"/>
        <v/>
      </c>
      <c r="C525" s="123" t="str">
        <f ca="1">IF(A525&lt;=①簡易状況入力!$AC$109,INDIRECT("A"&amp;VLOOKUP($A525,①簡易状況入力!$Y$109:$AB$118,4,FALSE)),"")</f>
        <v/>
      </c>
      <c r="D525" s="125" t="str">
        <f t="shared" ca="1" si="142"/>
        <v/>
      </c>
      <c r="E525" s="125" t="str">
        <f t="shared" ca="1" si="143"/>
        <v/>
      </c>
      <c r="F525" s="125" t="str">
        <f t="shared" ca="1" si="144"/>
        <v/>
      </c>
      <c r="G525" s="125" t="str">
        <f t="shared" ca="1" si="145"/>
        <v/>
      </c>
      <c r="H525" s="125" t="str">
        <f t="shared" ca="1" si="146"/>
        <v/>
      </c>
      <c r="I525" s="125" t="str">
        <f t="shared" ca="1" si="147"/>
        <v/>
      </c>
      <c r="J525" s="125" t="str">
        <f t="shared" ca="1" si="148"/>
        <v/>
      </c>
      <c r="K525" s="125" t="str">
        <f t="shared" ca="1" si="149"/>
        <v/>
      </c>
      <c r="L525" s="125" t="str">
        <f t="shared" ca="1" si="150"/>
        <v/>
      </c>
      <c r="M525" s="125" t="str">
        <f t="shared" ca="1" si="151"/>
        <v/>
      </c>
      <c r="N525" s="125" t="str">
        <f t="shared" ca="1" si="152"/>
        <v/>
      </c>
      <c r="O525" s="125" t="str">
        <f t="shared" ca="1" si="153"/>
        <v/>
      </c>
      <c r="P525" s="125" t="str">
        <f t="shared" ca="1" si="154"/>
        <v/>
      </c>
      <c r="Q525" s="125" t="str">
        <f t="shared" ca="1" si="155"/>
        <v/>
      </c>
      <c r="R525" s="125" t="str">
        <f t="shared" ca="1" si="156"/>
        <v/>
      </c>
      <c r="S525" s="125" t="str">
        <f t="shared" ca="1" si="157"/>
        <v/>
      </c>
      <c r="T525" s="125" t="str">
        <f t="shared" ca="1" si="158"/>
        <v/>
      </c>
      <c r="U525" s="125" t="str">
        <f t="shared" ca="1" si="159"/>
        <v/>
      </c>
      <c r="V525" s="125" t="str">
        <f t="shared" ca="1" si="160"/>
        <v/>
      </c>
      <c r="W525" s="125" t="str">
        <f t="shared" ca="1" si="161"/>
        <v/>
      </c>
      <c r="X525" s="125" t="str">
        <f t="shared" ca="1" si="162"/>
        <v/>
      </c>
      <c r="Y525" s="125" t="str">
        <f t="shared" ca="1" si="163"/>
        <v/>
      </c>
      <c r="Z525" s="125" t="str">
        <f t="shared" ca="1" si="164"/>
        <v/>
      </c>
      <c r="AA525" s="125" t="str">
        <f t="shared" ca="1" si="165"/>
        <v/>
      </c>
      <c r="AB525" s="125" t="str">
        <f t="shared" ca="1" si="166"/>
        <v/>
      </c>
      <c r="AC525" s="125" t="str">
        <f t="shared" ca="1" si="167"/>
        <v/>
      </c>
      <c r="AD525" s="125" t="str">
        <f t="shared" ca="1" si="168"/>
        <v/>
      </c>
      <c r="AE525" s="125" t="str">
        <f t="shared" ca="1" si="169"/>
        <v/>
      </c>
      <c r="AF525" s="125" t="str">
        <f t="shared" ca="1" si="170"/>
        <v/>
      </c>
      <c r="AG525" s="125" t="str">
        <f t="shared" ca="1" si="171"/>
        <v/>
      </c>
      <c r="AH525" s="125" t="str">
        <f t="shared" ca="1" si="172"/>
        <v/>
      </c>
      <c r="AI525" s="125" t="str">
        <f t="shared" ca="1" si="173"/>
        <v/>
      </c>
      <c r="AJ525" s="125" t="str">
        <f t="shared" ca="1" si="174"/>
        <v/>
      </c>
      <c r="AK525" s="125" t="str">
        <f t="shared" ca="1" si="175"/>
        <v/>
      </c>
      <c r="AL525" s="125" t="str">
        <f t="shared" ca="1" si="176"/>
        <v/>
      </c>
      <c r="AM525" s="124" t="str">
        <f t="shared" ca="1" si="177"/>
        <v/>
      </c>
      <c r="AN525" s="124" t="str">
        <f t="shared" ca="1" si="177"/>
        <v/>
      </c>
      <c r="AO525" s="124" t="str">
        <f t="shared" ca="1" si="177"/>
        <v/>
      </c>
      <c r="AP525" s="124" t="str">
        <f t="shared" ca="1" si="177"/>
        <v/>
      </c>
      <c r="AQ525" s="124" t="str">
        <f t="shared" ca="1" si="177"/>
        <v/>
      </c>
      <c r="AR525" s="124" t="str">
        <f t="shared" ca="1" si="177"/>
        <v/>
      </c>
      <c r="AS525" s="124" t="str">
        <f t="shared" ca="1" si="177"/>
        <v/>
      </c>
      <c r="AT525" s="124" t="str">
        <f t="shared" ca="1" si="177"/>
        <v/>
      </c>
      <c r="AU525" s="124" t="str">
        <f t="shared" ca="1" si="177"/>
        <v/>
      </c>
      <c r="AV525" s="124" t="str">
        <f t="shared" ca="1" si="177"/>
        <v/>
      </c>
      <c r="AW525" s="124" t="str">
        <f t="shared" ca="1" si="178"/>
        <v/>
      </c>
      <c r="AX525" s="124" t="str">
        <f t="shared" ca="1" si="178"/>
        <v/>
      </c>
      <c r="AY525" s="124" t="str">
        <f t="shared" ca="1" si="178"/>
        <v/>
      </c>
      <c r="AZ525" s="124" t="str">
        <f t="shared" ca="1" si="178"/>
        <v/>
      </c>
      <c r="BA525" s="124" t="str">
        <f t="shared" ca="1" si="178"/>
        <v/>
      </c>
      <c r="BB525" s="124" t="str">
        <f t="shared" ca="1" si="178"/>
        <v/>
      </c>
      <c r="BC525" s="124" t="str">
        <f t="shared" ca="1" si="178"/>
        <v/>
      </c>
      <c r="BD525" s="124" t="str">
        <f t="shared" ca="1" si="178"/>
        <v/>
      </c>
      <c r="BE525" s="124" t="str">
        <f t="shared" ca="1" si="178"/>
        <v/>
      </c>
      <c r="BF525" s="124" t="str">
        <f t="shared" ca="1" si="178"/>
        <v/>
      </c>
      <c r="BG525" s="124" t="str">
        <f t="shared" ca="1" si="179"/>
        <v/>
      </c>
      <c r="BH525" s="124" t="str">
        <f t="shared" ca="1" si="179"/>
        <v/>
      </c>
      <c r="BI525" s="124" t="str">
        <f t="shared" ca="1" si="179"/>
        <v/>
      </c>
      <c r="BJ525" s="124" t="str">
        <f t="shared" ca="1" si="179"/>
        <v/>
      </c>
      <c r="BK525" s="124" t="str">
        <f t="shared" ca="1" si="179"/>
        <v/>
      </c>
      <c r="BL525" s="124" t="str">
        <f t="shared" ca="1" si="179"/>
        <v/>
      </c>
      <c r="BM525" s="124" t="str">
        <f t="shared" ca="1" si="179"/>
        <v/>
      </c>
      <c r="BN525" s="124" t="str">
        <f t="shared" ca="1" si="179"/>
        <v/>
      </c>
      <c r="BO525" s="124" t="str">
        <f t="shared" ca="1" si="179"/>
        <v/>
      </c>
      <c r="BP525" s="124" t="str">
        <f t="shared" ca="1" si="179"/>
        <v/>
      </c>
      <c r="BQ525" s="124" t="str">
        <f t="shared" ca="1" si="179"/>
        <v/>
      </c>
      <c r="BR525" s="124" t="str">
        <f t="shared" ca="1" si="179"/>
        <v/>
      </c>
      <c r="BS525" s="124" t="str">
        <f t="shared" ca="1" si="179"/>
        <v/>
      </c>
      <c r="BT525" s="124" t="str">
        <f t="shared" ca="1" si="179"/>
        <v/>
      </c>
      <c r="BU525" s="124" t="str">
        <f t="shared" ca="1" si="179"/>
        <v/>
      </c>
    </row>
    <row r="526" spans="1:73" x14ac:dyDescent="0.15">
      <c r="A526">
        <v>5</v>
      </c>
      <c r="B526" s="124" t="str">
        <f t="shared" ca="1" si="141"/>
        <v/>
      </c>
      <c r="C526" s="123" t="str">
        <f ca="1">IF(A526&lt;=①簡易状況入力!$AC$109,INDIRECT("A"&amp;VLOOKUP($A526,①簡易状況入力!$Y$109:$AB$118,4,FALSE)),"")</f>
        <v/>
      </c>
      <c r="D526" s="125" t="str">
        <f t="shared" ca="1" si="142"/>
        <v/>
      </c>
      <c r="E526" s="125" t="str">
        <f t="shared" ca="1" si="143"/>
        <v/>
      </c>
      <c r="F526" s="125" t="str">
        <f t="shared" ca="1" si="144"/>
        <v/>
      </c>
      <c r="G526" s="125" t="str">
        <f t="shared" ca="1" si="145"/>
        <v/>
      </c>
      <c r="H526" s="125" t="str">
        <f t="shared" ca="1" si="146"/>
        <v/>
      </c>
      <c r="I526" s="125" t="str">
        <f t="shared" ca="1" si="147"/>
        <v/>
      </c>
      <c r="J526" s="125" t="str">
        <f t="shared" ca="1" si="148"/>
        <v/>
      </c>
      <c r="K526" s="125" t="str">
        <f t="shared" ca="1" si="149"/>
        <v/>
      </c>
      <c r="L526" s="125" t="str">
        <f t="shared" ca="1" si="150"/>
        <v/>
      </c>
      <c r="M526" s="125" t="str">
        <f t="shared" ca="1" si="151"/>
        <v/>
      </c>
      <c r="N526" s="125" t="str">
        <f t="shared" ca="1" si="152"/>
        <v/>
      </c>
      <c r="O526" s="125" t="str">
        <f t="shared" ca="1" si="153"/>
        <v/>
      </c>
      <c r="P526" s="125" t="str">
        <f t="shared" ca="1" si="154"/>
        <v/>
      </c>
      <c r="Q526" s="125" t="str">
        <f t="shared" ca="1" si="155"/>
        <v/>
      </c>
      <c r="R526" s="125" t="str">
        <f t="shared" ca="1" si="156"/>
        <v/>
      </c>
      <c r="S526" s="125" t="str">
        <f t="shared" ca="1" si="157"/>
        <v/>
      </c>
      <c r="T526" s="125" t="str">
        <f t="shared" ca="1" si="158"/>
        <v/>
      </c>
      <c r="U526" s="125" t="str">
        <f t="shared" ca="1" si="159"/>
        <v/>
      </c>
      <c r="V526" s="125" t="str">
        <f t="shared" ca="1" si="160"/>
        <v/>
      </c>
      <c r="W526" s="125" t="str">
        <f t="shared" ca="1" si="161"/>
        <v/>
      </c>
      <c r="X526" s="125" t="str">
        <f t="shared" ca="1" si="162"/>
        <v/>
      </c>
      <c r="Y526" s="125" t="str">
        <f t="shared" ca="1" si="163"/>
        <v/>
      </c>
      <c r="Z526" s="125" t="str">
        <f t="shared" ca="1" si="164"/>
        <v/>
      </c>
      <c r="AA526" s="125" t="str">
        <f t="shared" ca="1" si="165"/>
        <v/>
      </c>
      <c r="AB526" s="125" t="str">
        <f t="shared" ca="1" si="166"/>
        <v/>
      </c>
      <c r="AC526" s="125" t="str">
        <f t="shared" ca="1" si="167"/>
        <v/>
      </c>
      <c r="AD526" s="125" t="str">
        <f t="shared" ca="1" si="168"/>
        <v/>
      </c>
      <c r="AE526" s="125" t="str">
        <f t="shared" ca="1" si="169"/>
        <v/>
      </c>
      <c r="AF526" s="125" t="str">
        <f t="shared" ca="1" si="170"/>
        <v/>
      </c>
      <c r="AG526" s="125" t="str">
        <f t="shared" ca="1" si="171"/>
        <v/>
      </c>
      <c r="AH526" s="125" t="str">
        <f t="shared" ca="1" si="172"/>
        <v/>
      </c>
      <c r="AI526" s="125" t="str">
        <f t="shared" ca="1" si="173"/>
        <v/>
      </c>
      <c r="AJ526" s="125" t="str">
        <f t="shared" ca="1" si="174"/>
        <v/>
      </c>
      <c r="AK526" s="125" t="str">
        <f t="shared" ca="1" si="175"/>
        <v/>
      </c>
      <c r="AL526" s="125" t="str">
        <f t="shared" ca="1" si="176"/>
        <v/>
      </c>
      <c r="AM526" s="124" t="str">
        <f t="shared" ca="1" si="177"/>
        <v/>
      </c>
      <c r="AN526" s="124" t="str">
        <f t="shared" ca="1" si="177"/>
        <v/>
      </c>
      <c r="AO526" s="124" t="str">
        <f t="shared" ca="1" si="177"/>
        <v/>
      </c>
      <c r="AP526" s="124" t="str">
        <f t="shared" ca="1" si="177"/>
        <v/>
      </c>
      <c r="AQ526" s="124" t="str">
        <f t="shared" ca="1" si="177"/>
        <v/>
      </c>
      <c r="AR526" s="124" t="str">
        <f t="shared" ca="1" si="177"/>
        <v/>
      </c>
      <c r="AS526" s="124" t="str">
        <f t="shared" ca="1" si="177"/>
        <v/>
      </c>
      <c r="AT526" s="124" t="str">
        <f t="shared" ca="1" si="177"/>
        <v/>
      </c>
      <c r="AU526" s="124" t="str">
        <f t="shared" ca="1" si="177"/>
        <v/>
      </c>
      <c r="AV526" s="124" t="str">
        <f t="shared" ca="1" si="177"/>
        <v/>
      </c>
      <c r="AW526" s="124" t="str">
        <f t="shared" ca="1" si="178"/>
        <v/>
      </c>
      <c r="AX526" s="124" t="str">
        <f t="shared" ca="1" si="178"/>
        <v/>
      </c>
      <c r="AY526" s="124" t="str">
        <f t="shared" ca="1" si="178"/>
        <v/>
      </c>
      <c r="AZ526" s="124" t="str">
        <f t="shared" ca="1" si="178"/>
        <v/>
      </c>
      <c r="BA526" s="124" t="str">
        <f t="shared" ca="1" si="178"/>
        <v/>
      </c>
      <c r="BB526" s="124" t="str">
        <f t="shared" ca="1" si="178"/>
        <v/>
      </c>
      <c r="BC526" s="124" t="str">
        <f t="shared" ca="1" si="178"/>
        <v/>
      </c>
      <c r="BD526" s="124" t="str">
        <f t="shared" ca="1" si="178"/>
        <v/>
      </c>
      <c r="BE526" s="124" t="str">
        <f t="shared" ca="1" si="178"/>
        <v/>
      </c>
      <c r="BF526" s="124" t="str">
        <f t="shared" ca="1" si="178"/>
        <v/>
      </c>
      <c r="BG526" s="124" t="str">
        <f t="shared" ca="1" si="179"/>
        <v/>
      </c>
      <c r="BH526" s="124" t="str">
        <f t="shared" ca="1" si="179"/>
        <v/>
      </c>
      <c r="BI526" s="124" t="str">
        <f t="shared" ca="1" si="179"/>
        <v/>
      </c>
      <c r="BJ526" s="124" t="str">
        <f t="shared" ca="1" si="179"/>
        <v/>
      </c>
      <c r="BK526" s="124" t="str">
        <f t="shared" ca="1" si="179"/>
        <v/>
      </c>
      <c r="BL526" s="124" t="str">
        <f t="shared" ca="1" si="179"/>
        <v/>
      </c>
      <c r="BM526" s="124" t="str">
        <f t="shared" ca="1" si="179"/>
        <v/>
      </c>
      <c r="BN526" s="124" t="str">
        <f t="shared" ca="1" si="179"/>
        <v/>
      </c>
      <c r="BO526" s="124" t="str">
        <f t="shared" ca="1" si="179"/>
        <v/>
      </c>
      <c r="BP526" s="124" t="str">
        <f t="shared" ca="1" si="179"/>
        <v/>
      </c>
      <c r="BQ526" s="124" t="str">
        <f t="shared" ca="1" si="179"/>
        <v/>
      </c>
      <c r="BR526" s="124" t="str">
        <f t="shared" ca="1" si="179"/>
        <v/>
      </c>
      <c r="BS526" s="124" t="str">
        <f t="shared" ca="1" si="179"/>
        <v/>
      </c>
      <c r="BT526" s="124" t="str">
        <f t="shared" ca="1" si="179"/>
        <v/>
      </c>
      <c r="BU526" s="124" t="str">
        <f t="shared" ca="1" si="179"/>
        <v/>
      </c>
    </row>
    <row r="527" spans="1:73" x14ac:dyDescent="0.15">
      <c r="A527">
        <v>6</v>
      </c>
      <c r="B527" s="124" t="str">
        <f t="shared" ca="1" si="141"/>
        <v/>
      </c>
      <c r="C527" s="123" t="str">
        <f ca="1">IF(A527&lt;=①簡易状況入力!$AC$109,INDIRECT("A"&amp;VLOOKUP($A527,①簡易状況入力!$Y$109:$AB$118,4,FALSE)),"")</f>
        <v/>
      </c>
      <c r="D527" s="125" t="str">
        <f t="shared" ca="1" si="142"/>
        <v/>
      </c>
      <c r="E527" s="125" t="str">
        <f t="shared" ca="1" si="143"/>
        <v/>
      </c>
      <c r="F527" s="125" t="str">
        <f t="shared" ca="1" si="144"/>
        <v/>
      </c>
      <c r="G527" s="125" t="str">
        <f t="shared" ca="1" si="145"/>
        <v/>
      </c>
      <c r="H527" s="125" t="str">
        <f t="shared" ca="1" si="146"/>
        <v/>
      </c>
      <c r="I527" s="125" t="str">
        <f t="shared" ca="1" si="147"/>
        <v/>
      </c>
      <c r="J527" s="125" t="str">
        <f t="shared" ca="1" si="148"/>
        <v/>
      </c>
      <c r="K527" s="125" t="str">
        <f t="shared" ca="1" si="149"/>
        <v/>
      </c>
      <c r="L527" s="125" t="str">
        <f t="shared" ca="1" si="150"/>
        <v/>
      </c>
      <c r="M527" s="125" t="str">
        <f t="shared" ca="1" si="151"/>
        <v/>
      </c>
      <c r="N527" s="125" t="str">
        <f t="shared" ca="1" si="152"/>
        <v/>
      </c>
      <c r="O527" s="125" t="str">
        <f t="shared" ca="1" si="153"/>
        <v/>
      </c>
      <c r="P527" s="125" t="str">
        <f t="shared" ca="1" si="154"/>
        <v/>
      </c>
      <c r="Q527" s="125" t="str">
        <f t="shared" ca="1" si="155"/>
        <v/>
      </c>
      <c r="R527" s="125" t="str">
        <f t="shared" ca="1" si="156"/>
        <v/>
      </c>
      <c r="S527" s="125" t="str">
        <f t="shared" ca="1" si="157"/>
        <v/>
      </c>
      <c r="T527" s="125" t="str">
        <f t="shared" ca="1" si="158"/>
        <v/>
      </c>
      <c r="U527" s="125" t="str">
        <f t="shared" ca="1" si="159"/>
        <v/>
      </c>
      <c r="V527" s="125" t="str">
        <f t="shared" ca="1" si="160"/>
        <v/>
      </c>
      <c r="W527" s="125" t="str">
        <f t="shared" ca="1" si="161"/>
        <v/>
      </c>
      <c r="X527" s="125" t="str">
        <f t="shared" ca="1" si="162"/>
        <v/>
      </c>
      <c r="Y527" s="125" t="str">
        <f t="shared" ca="1" si="163"/>
        <v/>
      </c>
      <c r="Z527" s="125" t="str">
        <f t="shared" ca="1" si="164"/>
        <v/>
      </c>
      <c r="AA527" s="125" t="str">
        <f t="shared" ca="1" si="165"/>
        <v/>
      </c>
      <c r="AB527" s="125" t="str">
        <f t="shared" ca="1" si="166"/>
        <v/>
      </c>
      <c r="AC527" s="125" t="str">
        <f t="shared" ca="1" si="167"/>
        <v/>
      </c>
      <c r="AD527" s="125" t="str">
        <f t="shared" ca="1" si="168"/>
        <v/>
      </c>
      <c r="AE527" s="125" t="str">
        <f t="shared" ca="1" si="169"/>
        <v/>
      </c>
      <c r="AF527" s="125" t="str">
        <f t="shared" ca="1" si="170"/>
        <v/>
      </c>
      <c r="AG527" s="125" t="str">
        <f t="shared" ca="1" si="171"/>
        <v/>
      </c>
      <c r="AH527" s="125" t="str">
        <f t="shared" ca="1" si="172"/>
        <v/>
      </c>
      <c r="AI527" s="125" t="str">
        <f t="shared" ca="1" si="173"/>
        <v/>
      </c>
      <c r="AJ527" s="125" t="str">
        <f t="shared" ca="1" si="174"/>
        <v/>
      </c>
      <c r="AK527" s="125" t="str">
        <f t="shared" ca="1" si="175"/>
        <v/>
      </c>
      <c r="AL527" s="125" t="str">
        <f t="shared" ca="1" si="176"/>
        <v/>
      </c>
      <c r="AM527" s="124" t="str">
        <f t="shared" ca="1" si="177"/>
        <v/>
      </c>
      <c r="AN527" s="124" t="str">
        <f t="shared" ca="1" si="177"/>
        <v/>
      </c>
      <c r="AO527" s="124" t="str">
        <f t="shared" ca="1" si="177"/>
        <v/>
      </c>
      <c r="AP527" s="124" t="str">
        <f t="shared" ca="1" si="177"/>
        <v/>
      </c>
      <c r="AQ527" s="124" t="str">
        <f t="shared" ca="1" si="177"/>
        <v/>
      </c>
      <c r="AR527" s="124" t="str">
        <f t="shared" ca="1" si="177"/>
        <v/>
      </c>
      <c r="AS527" s="124" t="str">
        <f t="shared" ca="1" si="177"/>
        <v/>
      </c>
      <c r="AT527" s="124" t="str">
        <f t="shared" ca="1" si="177"/>
        <v/>
      </c>
      <c r="AU527" s="124" t="str">
        <f t="shared" ca="1" si="177"/>
        <v/>
      </c>
      <c r="AV527" s="124" t="str">
        <f t="shared" ca="1" si="177"/>
        <v/>
      </c>
      <c r="AW527" s="124" t="str">
        <f t="shared" ca="1" si="178"/>
        <v/>
      </c>
      <c r="AX527" s="124" t="str">
        <f t="shared" ca="1" si="178"/>
        <v/>
      </c>
      <c r="AY527" s="124" t="str">
        <f t="shared" ca="1" si="178"/>
        <v/>
      </c>
      <c r="AZ527" s="124" t="str">
        <f t="shared" ca="1" si="178"/>
        <v/>
      </c>
      <c r="BA527" s="124" t="str">
        <f t="shared" ca="1" si="178"/>
        <v/>
      </c>
      <c r="BB527" s="124" t="str">
        <f t="shared" ca="1" si="178"/>
        <v/>
      </c>
      <c r="BC527" s="124" t="str">
        <f t="shared" ca="1" si="178"/>
        <v/>
      </c>
      <c r="BD527" s="124" t="str">
        <f t="shared" ca="1" si="178"/>
        <v/>
      </c>
      <c r="BE527" s="124" t="str">
        <f t="shared" ca="1" si="178"/>
        <v/>
      </c>
      <c r="BF527" s="124" t="str">
        <f t="shared" ca="1" si="178"/>
        <v/>
      </c>
      <c r="BG527" s="124" t="str">
        <f t="shared" ca="1" si="179"/>
        <v/>
      </c>
      <c r="BH527" s="124" t="str">
        <f t="shared" ca="1" si="179"/>
        <v/>
      </c>
      <c r="BI527" s="124" t="str">
        <f t="shared" ca="1" si="179"/>
        <v/>
      </c>
      <c r="BJ527" s="124" t="str">
        <f t="shared" ca="1" si="179"/>
        <v/>
      </c>
      <c r="BK527" s="124" t="str">
        <f t="shared" ca="1" si="179"/>
        <v/>
      </c>
      <c r="BL527" s="124" t="str">
        <f t="shared" ca="1" si="179"/>
        <v/>
      </c>
      <c r="BM527" s="124" t="str">
        <f t="shared" ca="1" si="179"/>
        <v/>
      </c>
      <c r="BN527" s="124" t="str">
        <f t="shared" ca="1" si="179"/>
        <v/>
      </c>
      <c r="BO527" s="124" t="str">
        <f t="shared" ca="1" si="179"/>
        <v/>
      </c>
      <c r="BP527" s="124" t="str">
        <f t="shared" ca="1" si="179"/>
        <v/>
      </c>
      <c r="BQ527" s="124" t="str">
        <f t="shared" ca="1" si="179"/>
        <v/>
      </c>
      <c r="BR527" s="124" t="str">
        <f t="shared" ca="1" si="179"/>
        <v/>
      </c>
      <c r="BS527" s="124" t="str">
        <f t="shared" ca="1" si="179"/>
        <v/>
      </c>
      <c r="BT527" s="124" t="str">
        <f t="shared" ca="1" si="179"/>
        <v/>
      </c>
      <c r="BU527" s="124" t="str">
        <f t="shared" ca="1" si="179"/>
        <v/>
      </c>
    </row>
    <row r="528" spans="1:73" x14ac:dyDescent="0.15">
      <c r="A528">
        <v>7</v>
      </c>
      <c r="B528" s="124" t="str">
        <f t="shared" ca="1" si="141"/>
        <v/>
      </c>
      <c r="C528" s="123" t="str">
        <f ca="1">IF(A528&lt;=①簡易状況入力!$AC$109,INDIRECT("A"&amp;VLOOKUP($A528,①簡易状況入力!$Y$109:$AB$118,4,FALSE)),"")</f>
        <v/>
      </c>
      <c r="D528" s="125" t="str">
        <f t="shared" ca="1" si="142"/>
        <v/>
      </c>
      <c r="E528" s="125" t="str">
        <f t="shared" ca="1" si="143"/>
        <v/>
      </c>
      <c r="F528" s="125" t="str">
        <f t="shared" ca="1" si="144"/>
        <v/>
      </c>
      <c r="G528" s="125" t="str">
        <f t="shared" ca="1" si="145"/>
        <v/>
      </c>
      <c r="H528" s="125" t="str">
        <f t="shared" ca="1" si="146"/>
        <v/>
      </c>
      <c r="I528" s="125" t="str">
        <f t="shared" ca="1" si="147"/>
        <v/>
      </c>
      <c r="J528" s="125" t="str">
        <f t="shared" ca="1" si="148"/>
        <v/>
      </c>
      <c r="K528" s="125" t="str">
        <f t="shared" ca="1" si="149"/>
        <v/>
      </c>
      <c r="L528" s="125" t="str">
        <f t="shared" ca="1" si="150"/>
        <v/>
      </c>
      <c r="M528" s="125" t="str">
        <f t="shared" ca="1" si="151"/>
        <v/>
      </c>
      <c r="N528" s="125" t="str">
        <f t="shared" ca="1" si="152"/>
        <v/>
      </c>
      <c r="O528" s="125" t="str">
        <f t="shared" ca="1" si="153"/>
        <v/>
      </c>
      <c r="P528" s="125" t="str">
        <f t="shared" ca="1" si="154"/>
        <v/>
      </c>
      <c r="Q528" s="125" t="str">
        <f t="shared" ca="1" si="155"/>
        <v/>
      </c>
      <c r="R528" s="125" t="str">
        <f t="shared" ca="1" si="156"/>
        <v/>
      </c>
      <c r="S528" s="125" t="str">
        <f t="shared" ca="1" si="157"/>
        <v/>
      </c>
      <c r="T528" s="125" t="str">
        <f t="shared" ca="1" si="158"/>
        <v/>
      </c>
      <c r="U528" s="125" t="str">
        <f t="shared" ca="1" si="159"/>
        <v/>
      </c>
      <c r="V528" s="125" t="str">
        <f t="shared" ca="1" si="160"/>
        <v/>
      </c>
      <c r="W528" s="125" t="str">
        <f t="shared" ca="1" si="161"/>
        <v/>
      </c>
      <c r="X528" s="125" t="str">
        <f t="shared" ca="1" si="162"/>
        <v/>
      </c>
      <c r="Y528" s="125" t="str">
        <f t="shared" ca="1" si="163"/>
        <v/>
      </c>
      <c r="Z528" s="125" t="str">
        <f t="shared" ca="1" si="164"/>
        <v/>
      </c>
      <c r="AA528" s="125" t="str">
        <f t="shared" ca="1" si="165"/>
        <v/>
      </c>
      <c r="AB528" s="125" t="str">
        <f t="shared" ca="1" si="166"/>
        <v/>
      </c>
      <c r="AC528" s="125" t="str">
        <f t="shared" ca="1" si="167"/>
        <v/>
      </c>
      <c r="AD528" s="125" t="str">
        <f t="shared" ca="1" si="168"/>
        <v/>
      </c>
      <c r="AE528" s="125" t="str">
        <f t="shared" ca="1" si="169"/>
        <v/>
      </c>
      <c r="AF528" s="125" t="str">
        <f t="shared" ca="1" si="170"/>
        <v/>
      </c>
      <c r="AG528" s="125" t="str">
        <f t="shared" ca="1" si="171"/>
        <v/>
      </c>
      <c r="AH528" s="125" t="str">
        <f t="shared" ca="1" si="172"/>
        <v/>
      </c>
      <c r="AI528" s="125" t="str">
        <f t="shared" ca="1" si="173"/>
        <v/>
      </c>
      <c r="AJ528" s="125" t="str">
        <f t="shared" ca="1" si="174"/>
        <v/>
      </c>
      <c r="AK528" s="125" t="str">
        <f t="shared" ca="1" si="175"/>
        <v/>
      </c>
      <c r="AL528" s="125" t="str">
        <f t="shared" ca="1" si="176"/>
        <v/>
      </c>
      <c r="AM528" s="124" t="str">
        <f t="shared" ca="1" si="177"/>
        <v/>
      </c>
      <c r="AN528" s="124" t="str">
        <f t="shared" ca="1" si="177"/>
        <v/>
      </c>
      <c r="AO528" s="124" t="str">
        <f t="shared" ca="1" si="177"/>
        <v/>
      </c>
      <c r="AP528" s="124" t="str">
        <f t="shared" ca="1" si="177"/>
        <v/>
      </c>
      <c r="AQ528" s="124" t="str">
        <f t="shared" ca="1" si="177"/>
        <v/>
      </c>
      <c r="AR528" s="124" t="str">
        <f t="shared" ca="1" si="177"/>
        <v/>
      </c>
      <c r="AS528" s="124" t="str">
        <f t="shared" ca="1" si="177"/>
        <v/>
      </c>
      <c r="AT528" s="124" t="str">
        <f t="shared" ca="1" si="177"/>
        <v/>
      </c>
      <c r="AU528" s="124" t="str">
        <f t="shared" ca="1" si="177"/>
        <v/>
      </c>
      <c r="AV528" s="124" t="str">
        <f t="shared" ca="1" si="177"/>
        <v/>
      </c>
      <c r="AW528" s="124" t="str">
        <f t="shared" ca="1" si="178"/>
        <v/>
      </c>
      <c r="AX528" s="124" t="str">
        <f t="shared" ca="1" si="178"/>
        <v/>
      </c>
      <c r="AY528" s="124" t="str">
        <f t="shared" ca="1" si="178"/>
        <v/>
      </c>
      <c r="AZ528" s="124" t="str">
        <f t="shared" ca="1" si="178"/>
        <v/>
      </c>
      <c r="BA528" s="124" t="str">
        <f t="shared" ca="1" si="178"/>
        <v/>
      </c>
      <c r="BB528" s="124" t="str">
        <f t="shared" ca="1" si="178"/>
        <v/>
      </c>
      <c r="BC528" s="124" t="str">
        <f t="shared" ca="1" si="178"/>
        <v/>
      </c>
      <c r="BD528" s="124" t="str">
        <f t="shared" ca="1" si="178"/>
        <v/>
      </c>
      <c r="BE528" s="124" t="str">
        <f t="shared" ca="1" si="178"/>
        <v/>
      </c>
      <c r="BF528" s="124" t="str">
        <f t="shared" ca="1" si="178"/>
        <v/>
      </c>
      <c r="BG528" s="124" t="str">
        <f t="shared" ca="1" si="179"/>
        <v/>
      </c>
      <c r="BH528" s="124" t="str">
        <f t="shared" ca="1" si="179"/>
        <v/>
      </c>
      <c r="BI528" s="124" t="str">
        <f t="shared" ca="1" si="179"/>
        <v/>
      </c>
      <c r="BJ528" s="124" t="str">
        <f t="shared" ca="1" si="179"/>
        <v/>
      </c>
      <c r="BK528" s="124" t="str">
        <f t="shared" ca="1" si="179"/>
        <v/>
      </c>
      <c r="BL528" s="124" t="str">
        <f t="shared" ca="1" si="179"/>
        <v/>
      </c>
      <c r="BM528" s="124" t="str">
        <f t="shared" ca="1" si="179"/>
        <v/>
      </c>
      <c r="BN528" s="124" t="str">
        <f t="shared" ca="1" si="179"/>
        <v/>
      </c>
      <c r="BO528" s="124" t="str">
        <f t="shared" ca="1" si="179"/>
        <v/>
      </c>
      <c r="BP528" s="124" t="str">
        <f t="shared" ca="1" si="179"/>
        <v/>
      </c>
      <c r="BQ528" s="124" t="str">
        <f t="shared" ca="1" si="179"/>
        <v/>
      </c>
      <c r="BR528" s="124" t="str">
        <f t="shared" ca="1" si="179"/>
        <v/>
      </c>
      <c r="BS528" s="124" t="str">
        <f t="shared" ca="1" si="179"/>
        <v/>
      </c>
      <c r="BT528" s="124" t="str">
        <f t="shared" ca="1" si="179"/>
        <v/>
      </c>
      <c r="BU528" s="124" t="str">
        <f t="shared" ca="1" si="179"/>
        <v/>
      </c>
    </row>
    <row r="529" spans="1:73" x14ac:dyDescent="0.15">
      <c r="A529">
        <v>8</v>
      </c>
      <c r="B529" s="124" t="str">
        <f t="shared" ca="1" si="141"/>
        <v/>
      </c>
      <c r="C529" s="123" t="str">
        <f ca="1">IF(A529&lt;=①簡易状況入力!$AC$109,INDIRECT("A"&amp;VLOOKUP($A529,①簡易状況入力!$Y$109:$AB$118,4,FALSE)),"")</f>
        <v/>
      </c>
      <c r="D529" s="125" t="str">
        <f t="shared" ca="1" si="142"/>
        <v/>
      </c>
      <c r="E529" s="125" t="str">
        <f t="shared" ca="1" si="143"/>
        <v/>
      </c>
      <c r="F529" s="125" t="str">
        <f t="shared" ca="1" si="144"/>
        <v/>
      </c>
      <c r="G529" s="125" t="str">
        <f t="shared" ca="1" si="145"/>
        <v/>
      </c>
      <c r="H529" s="125" t="str">
        <f t="shared" ca="1" si="146"/>
        <v/>
      </c>
      <c r="I529" s="125" t="str">
        <f t="shared" ca="1" si="147"/>
        <v/>
      </c>
      <c r="J529" s="125" t="str">
        <f t="shared" ca="1" si="148"/>
        <v/>
      </c>
      <c r="K529" s="125" t="str">
        <f t="shared" ca="1" si="149"/>
        <v/>
      </c>
      <c r="L529" s="125" t="str">
        <f t="shared" ca="1" si="150"/>
        <v/>
      </c>
      <c r="M529" s="125" t="str">
        <f t="shared" ca="1" si="151"/>
        <v/>
      </c>
      <c r="N529" s="125" t="str">
        <f t="shared" ca="1" si="152"/>
        <v/>
      </c>
      <c r="O529" s="125" t="str">
        <f t="shared" ca="1" si="153"/>
        <v/>
      </c>
      <c r="P529" s="125" t="str">
        <f t="shared" ca="1" si="154"/>
        <v/>
      </c>
      <c r="Q529" s="125" t="str">
        <f t="shared" ca="1" si="155"/>
        <v/>
      </c>
      <c r="R529" s="125" t="str">
        <f t="shared" ca="1" si="156"/>
        <v/>
      </c>
      <c r="S529" s="125" t="str">
        <f t="shared" ca="1" si="157"/>
        <v/>
      </c>
      <c r="T529" s="125" t="str">
        <f t="shared" ca="1" si="158"/>
        <v/>
      </c>
      <c r="U529" s="125" t="str">
        <f t="shared" ca="1" si="159"/>
        <v/>
      </c>
      <c r="V529" s="125" t="str">
        <f t="shared" ca="1" si="160"/>
        <v/>
      </c>
      <c r="W529" s="125" t="str">
        <f t="shared" ca="1" si="161"/>
        <v/>
      </c>
      <c r="X529" s="125" t="str">
        <f t="shared" ca="1" si="162"/>
        <v/>
      </c>
      <c r="Y529" s="125" t="str">
        <f t="shared" ca="1" si="163"/>
        <v/>
      </c>
      <c r="Z529" s="125" t="str">
        <f t="shared" ca="1" si="164"/>
        <v/>
      </c>
      <c r="AA529" s="125" t="str">
        <f t="shared" ca="1" si="165"/>
        <v/>
      </c>
      <c r="AB529" s="125" t="str">
        <f t="shared" ca="1" si="166"/>
        <v/>
      </c>
      <c r="AC529" s="125" t="str">
        <f t="shared" ca="1" si="167"/>
        <v/>
      </c>
      <c r="AD529" s="125" t="str">
        <f t="shared" ca="1" si="168"/>
        <v/>
      </c>
      <c r="AE529" s="125" t="str">
        <f t="shared" ca="1" si="169"/>
        <v/>
      </c>
      <c r="AF529" s="125" t="str">
        <f t="shared" ca="1" si="170"/>
        <v/>
      </c>
      <c r="AG529" s="125" t="str">
        <f t="shared" ca="1" si="171"/>
        <v/>
      </c>
      <c r="AH529" s="125" t="str">
        <f t="shared" ca="1" si="172"/>
        <v/>
      </c>
      <c r="AI529" s="125" t="str">
        <f t="shared" ca="1" si="173"/>
        <v/>
      </c>
      <c r="AJ529" s="125" t="str">
        <f t="shared" ca="1" si="174"/>
        <v/>
      </c>
      <c r="AK529" s="125" t="str">
        <f t="shared" ca="1" si="175"/>
        <v/>
      </c>
      <c r="AL529" s="125" t="str">
        <f t="shared" ca="1" si="176"/>
        <v/>
      </c>
      <c r="AM529" s="124" t="str">
        <f t="shared" ca="1" si="177"/>
        <v/>
      </c>
      <c r="AN529" s="124" t="str">
        <f t="shared" ca="1" si="177"/>
        <v/>
      </c>
      <c r="AO529" s="124" t="str">
        <f t="shared" ca="1" si="177"/>
        <v/>
      </c>
      <c r="AP529" s="124" t="str">
        <f t="shared" ca="1" si="177"/>
        <v/>
      </c>
      <c r="AQ529" s="124" t="str">
        <f t="shared" ca="1" si="177"/>
        <v/>
      </c>
      <c r="AR529" s="124" t="str">
        <f t="shared" ca="1" si="177"/>
        <v/>
      </c>
      <c r="AS529" s="124" t="str">
        <f t="shared" ca="1" si="177"/>
        <v/>
      </c>
      <c r="AT529" s="124" t="str">
        <f t="shared" ca="1" si="177"/>
        <v/>
      </c>
      <c r="AU529" s="124" t="str">
        <f t="shared" ca="1" si="177"/>
        <v/>
      </c>
      <c r="AV529" s="124" t="str">
        <f t="shared" ca="1" si="177"/>
        <v/>
      </c>
      <c r="AW529" s="124" t="str">
        <f t="shared" ca="1" si="178"/>
        <v/>
      </c>
      <c r="AX529" s="124" t="str">
        <f t="shared" ca="1" si="178"/>
        <v/>
      </c>
      <c r="AY529" s="124" t="str">
        <f t="shared" ca="1" si="178"/>
        <v/>
      </c>
      <c r="AZ529" s="124" t="str">
        <f t="shared" ca="1" si="178"/>
        <v/>
      </c>
      <c r="BA529" s="124" t="str">
        <f t="shared" ca="1" si="178"/>
        <v/>
      </c>
      <c r="BB529" s="124" t="str">
        <f t="shared" ca="1" si="178"/>
        <v/>
      </c>
      <c r="BC529" s="124" t="str">
        <f t="shared" ca="1" si="178"/>
        <v/>
      </c>
      <c r="BD529" s="124" t="str">
        <f t="shared" ca="1" si="178"/>
        <v/>
      </c>
      <c r="BE529" s="124" t="str">
        <f t="shared" ca="1" si="178"/>
        <v/>
      </c>
      <c r="BF529" s="124" t="str">
        <f t="shared" ca="1" si="178"/>
        <v/>
      </c>
      <c r="BG529" s="124" t="str">
        <f t="shared" ca="1" si="179"/>
        <v/>
      </c>
      <c r="BH529" s="124" t="str">
        <f t="shared" ca="1" si="179"/>
        <v/>
      </c>
      <c r="BI529" s="124" t="str">
        <f t="shared" ca="1" si="179"/>
        <v/>
      </c>
      <c r="BJ529" s="124" t="str">
        <f t="shared" ca="1" si="179"/>
        <v/>
      </c>
      <c r="BK529" s="124" t="str">
        <f t="shared" ca="1" si="179"/>
        <v/>
      </c>
      <c r="BL529" s="124" t="str">
        <f t="shared" ca="1" si="179"/>
        <v/>
      </c>
      <c r="BM529" s="124" t="str">
        <f t="shared" ca="1" si="179"/>
        <v/>
      </c>
      <c r="BN529" s="124" t="str">
        <f t="shared" ca="1" si="179"/>
        <v/>
      </c>
      <c r="BO529" s="124" t="str">
        <f t="shared" ca="1" si="179"/>
        <v/>
      </c>
      <c r="BP529" s="124" t="str">
        <f t="shared" ca="1" si="179"/>
        <v/>
      </c>
      <c r="BQ529" s="124" t="str">
        <f t="shared" ca="1" si="179"/>
        <v/>
      </c>
      <c r="BR529" s="124" t="str">
        <f t="shared" ca="1" si="179"/>
        <v/>
      </c>
      <c r="BS529" s="124" t="str">
        <f t="shared" ca="1" si="179"/>
        <v/>
      </c>
      <c r="BT529" s="124" t="str">
        <f t="shared" ca="1" si="179"/>
        <v/>
      </c>
      <c r="BU529" s="124" t="str">
        <f t="shared" ca="1" si="179"/>
        <v/>
      </c>
    </row>
    <row r="530" spans="1:73" x14ac:dyDescent="0.15">
      <c r="A530">
        <v>9</v>
      </c>
      <c r="B530" s="124" t="str">
        <f t="shared" ca="1" si="141"/>
        <v/>
      </c>
      <c r="C530" s="123" t="str">
        <f ca="1">IF(A530&lt;=①簡易状況入力!$AC$109,INDIRECT("A"&amp;VLOOKUP($A530,①簡易状況入力!$Y$109:$AB$118,4,FALSE)),"")</f>
        <v/>
      </c>
      <c r="D530" s="125" t="str">
        <f t="shared" ca="1" si="142"/>
        <v/>
      </c>
      <c r="E530" s="125" t="str">
        <f t="shared" ca="1" si="143"/>
        <v/>
      </c>
      <c r="F530" s="125" t="str">
        <f t="shared" ca="1" si="144"/>
        <v/>
      </c>
      <c r="G530" s="125" t="str">
        <f t="shared" ca="1" si="145"/>
        <v/>
      </c>
      <c r="H530" s="125" t="str">
        <f t="shared" ca="1" si="146"/>
        <v/>
      </c>
      <c r="I530" s="125" t="str">
        <f t="shared" ca="1" si="147"/>
        <v/>
      </c>
      <c r="J530" s="125" t="str">
        <f t="shared" ca="1" si="148"/>
        <v/>
      </c>
      <c r="K530" s="125" t="str">
        <f t="shared" ca="1" si="149"/>
        <v/>
      </c>
      <c r="L530" s="125" t="str">
        <f t="shared" ca="1" si="150"/>
        <v/>
      </c>
      <c r="M530" s="125" t="str">
        <f t="shared" ca="1" si="151"/>
        <v/>
      </c>
      <c r="N530" s="125" t="str">
        <f t="shared" ca="1" si="152"/>
        <v/>
      </c>
      <c r="O530" s="125" t="str">
        <f t="shared" ca="1" si="153"/>
        <v/>
      </c>
      <c r="P530" s="125" t="str">
        <f t="shared" ca="1" si="154"/>
        <v/>
      </c>
      <c r="Q530" s="125" t="str">
        <f t="shared" ca="1" si="155"/>
        <v/>
      </c>
      <c r="R530" s="125" t="str">
        <f t="shared" ca="1" si="156"/>
        <v/>
      </c>
      <c r="S530" s="125" t="str">
        <f t="shared" ca="1" si="157"/>
        <v/>
      </c>
      <c r="T530" s="125" t="str">
        <f t="shared" ca="1" si="158"/>
        <v/>
      </c>
      <c r="U530" s="125" t="str">
        <f t="shared" ca="1" si="159"/>
        <v/>
      </c>
      <c r="V530" s="125" t="str">
        <f t="shared" ca="1" si="160"/>
        <v/>
      </c>
      <c r="W530" s="125" t="str">
        <f t="shared" ca="1" si="161"/>
        <v/>
      </c>
      <c r="X530" s="125" t="str">
        <f t="shared" ca="1" si="162"/>
        <v/>
      </c>
      <c r="Y530" s="125" t="str">
        <f t="shared" ca="1" si="163"/>
        <v/>
      </c>
      <c r="Z530" s="125" t="str">
        <f t="shared" ca="1" si="164"/>
        <v/>
      </c>
      <c r="AA530" s="125" t="str">
        <f t="shared" ca="1" si="165"/>
        <v/>
      </c>
      <c r="AB530" s="125" t="str">
        <f t="shared" ca="1" si="166"/>
        <v/>
      </c>
      <c r="AC530" s="125" t="str">
        <f t="shared" ca="1" si="167"/>
        <v/>
      </c>
      <c r="AD530" s="125" t="str">
        <f t="shared" ca="1" si="168"/>
        <v/>
      </c>
      <c r="AE530" s="125" t="str">
        <f t="shared" ca="1" si="169"/>
        <v/>
      </c>
      <c r="AF530" s="125" t="str">
        <f t="shared" ca="1" si="170"/>
        <v/>
      </c>
      <c r="AG530" s="125" t="str">
        <f t="shared" ca="1" si="171"/>
        <v/>
      </c>
      <c r="AH530" s="125" t="str">
        <f t="shared" ca="1" si="172"/>
        <v/>
      </c>
      <c r="AI530" s="125" t="str">
        <f t="shared" ca="1" si="173"/>
        <v/>
      </c>
      <c r="AJ530" s="125" t="str">
        <f t="shared" ca="1" si="174"/>
        <v/>
      </c>
      <c r="AK530" s="125" t="str">
        <f t="shared" ca="1" si="175"/>
        <v/>
      </c>
      <c r="AL530" s="125" t="str">
        <f t="shared" ca="1" si="176"/>
        <v/>
      </c>
      <c r="AM530" s="124" t="str">
        <f t="shared" ca="1" si="177"/>
        <v/>
      </c>
      <c r="AN530" s="124" t="str">
        <f t="shared" ca="1" si="177"/>
        <v/>
      </c>
      <c r="AO530" s="124" t="str">
        <f t="shared" ca="1" si="177"/>
        <v/>
      </c>
      <c r="AP530" s="124" t="str">
        <f t="shared" ca="1" si="177"/>
        <v/>
      </c>
      <c r="AQ530" s="124" t="str">
        <f t="shared" ca="1" si="177"/>
        <v/>
      </c>
      <c r="AR530" s="124" t="str">
        <f t="shared" ca="1" si="177"/>
        <v/>
      </c>
      <c r="AS530" s="124" t="str">
        <f t="shared" ca="1" si="177"/>
        <v/>
      </c>
      <c r="AT530" s="124" t="str">
        <f t="shared" ca="1" si="177"/>
        <v/>
      </c>
      <c r="AU530" s="124" t="str">
        <f t="shared" ca="1" si="177"/>
        <v/>
      </c>
      <c r="AV530" s="124" t="str">
        <f t="shared" ca="1" si="177"/>
        <v/>
      </c>
      <c r="AW530" s="124" t="str">
        <f t="shared" ca="1" si="178"/>
        <v/>
      </c>
      <c r="AX530" s="124" t="str">
        <f t="shared" ca="1" si="178"/>
        <v/>
      </c>
      <c r="AY530" s="124" t="str">
        <f t="shared" ca="1" si="178"/>
        <v/>
      </c>
      <c r="AZ530" s="124" t="str">
        <f t="shared" ca="1" si="178"/>
        <v/>
      </c>
      <c r="BA530" s="124" t="str">
        <f t="shared" ca="1" si="178"/>
        <v/>
      </c>
      <c r="BB530" s="124" t="str">
        <f t="shared" ca="1" si="178"/>
        <v/>
      </c>
      <c r="BC530" s="124" t="str">
        <f t="shared" ca="1" si="178"/>
        <v/>
      </c>
      <c r="BD530" s="124" t="str">
        <f t="shared" ca="1" si="178"/>
        <v/>
      </c>
      <c r="BE530" s="124" t="str">
        <f t="shared" ca="1" si="178"/>
        <v/>
      </c>
      <c r="BF530" s="124" t="str">
        <f t="shared" ca="1" si="178"/>
        <v/>
      </c>
      <c r="BG530" s="124" t="str">
        <f t="shared" ca="1" si="179"/>
        <v/>
      </c>
      <c r="BH530" s="124" t="str">
        <f t="shared" ca="1" si="179"/>
        <v/>
      </c>
      <c r="BI530" s="124" t="str">
        <f t="shared" ca="1" si="179"/>
        <v/>
      </c>
      <c r="BJ530" s="124" t="str">
        <f t="shared" ca="1" si="179"/>
        <v/>
      </c>
      <c r="BK530" s="124" t="str">
        <f t="shared" ca="1" si="179"/>
        <v/>
      </c>
      <c r="BL530" s="124" t="str">
        <f t="shared" ca="1" si="179"/>
        <v/>
      </c>
      <c r="BM530" s="124" t="str">
        <f t="shared" ca="1" si="179"/>
        <v/>
      </c>
      <c r="BN530" s="124" t="str">
        <f t="shared" ca="1" si="179"/>
        <v/>
      </c>
      <c r="BO530" s="124" t="str">
        <f t="shared" ca="1" si="179"/>
        <v/>
      </c>
      <c r="BP530" s="124" t="str">
        <f t="shared" ca="1" si="179"/>
        <v/>
      </c>
      <c r="BQ530" s="124" t="str">
        <f t="shared" ca="1" si="179"/>
        <v/>
      </c>
      <c r="BR530" s="124" t="str">
        <f t="shared" ca="1" si="179"/>
        <v/>
      </c>
      <c r="BS530" s="124" t="str">
        <f t="shared" ca="1" si="179"/>
        <v/>
      </c>
      <c r="BT530" s="124" t="str">
        <f t="shared" ca="1" si="179"/>
        <v/>
      </c>
      <c r="BU530" s="124" t="str">
        <f t="shared" ca="1" si="179"/>
        <v/>
      </c>
    </row>
    <row r="531" spans="1:73" x14ac:dyDescent="0.15">
      <c r="A531">
        <v>10</v>
      </c>
      <c r="B531" s="124" t="str">
        <f t="shared" ca="1" si="141"/>
        <v/>
      </c>
      <c r="C531" s="123" t="str">
        <f ca="1">IF(A531&lt;=①簡易状況入力!$AC$109,INDIRECT("A"&amp;VLOOKUP($A531,①簡易状況入力!$Y$109:$AB$118,4,FALSE)),"")</f>
        <v/>
      </c>
      <c r="D531" s="125" t="str">
        <f t="shared" ca="1" si="142"/>
        <v/>
      </c>
      <c r="E531" s="125" t="str">
        <f t="shared" ca="1" si="143"/>
        <v/>
      </c>
      <c r="F531" s="125" t="str">
        <f t="shared" ca="1" si="144"/>
        <v/>
      </c>
      <c r="G531" s="125" t="str">
        <f t="shared" ca="1" si="145"/>
        <v/>
      </c>
      <c r="H531" s="125" t="str">
        <f t="shared" ca="1" si="146"/>
        <v/>
      </c>
      <c r="I531" s="125" t="str">
        <f t="shared" ca="1" si="147"/>
        <v/>
      </c>
      <c r="J531" s="125" t="str">
        <f t="shared" ca="1" si="148"/>
        <v/>
      </c>
      <c r="K531" s="125" t="str">
        <f t="shared" ca="1" si="149"/>
        <v/>
      </c>
      <c r="L531" s="125" t="str">
        <f t="shared" ca="1" si="150"/>
        <v/>
      </c>
      <c r="M531" s="125" t="str">
        <f t="shared" ca="1" si="151"/>
        <v/>
      </c>
      <c r="N531" s="125" t="str">
        <f t="shared" ca="1" si="152"/>
        <v/>
      </c>
      <c r="O531" s="125" t="str">
        <f t="shared" ca="1" si="153"/>
        <v/>
      </c>
      <c r="P531" s="125" t="str">
        <f t="shared" ca="1" si="154"/>
        <v/>
      </c>
      <c r="Q531" s="125" t="str">
        <f t="shared" ca="1" si="155"/>
        <v/>
      </c>
      <c r="R531" s="125" t="str">
        <f t="shared" ca="1" si="156"/>
        <v/>
      </c>
      <c r="S531" s="125" t="str">
        <f t="shared" ca="1" si="157"/>
        <v/>
      </c>
      <c r="T531" s="125" t="str">
        <f t="shared" ca="1" si="158"/>
        <v/>
      </c>
      <c r="U531" s="125" t="str">
        <f t="shared" ca="1" si="159"/>
        <v/>
      </c>
      <c r="V531" s="125" t="str">
        <f t="shared" ca="1" si="160"/>
        <v/>
      </c>
      <c r="W531" s="125" t="str">
        <f t="shared" ca="1" si="161"/>
        <v/>
      </c>
      <c r="X531" s="125" t="str">
        <f t="shared" ca="1" si="162"/>
        <v/>
      </c>
      <c r="Y531" s="125" t="str">
        <f t="shared" ca="1" si="163"/>
        <v/>
      </c>
      <c r="Z531" s="125" t="str">
        <f t="shared" ca="1" si="164"/>
        <v/>
      </c>
      <c r="AA531" s="125" t="str">
        <f t="shared" ca="1" si="165"/>
        <v/>
      </c>
      <c r="AB531" s="125" t="str">
        <f t="shared" ca="1" si="166"/>
        <v/>
      </c>
      <c r="AC531" s="125" t="str">
        <f t="shared" ca="1" si="167"/>
        <v/>
      </c>
      <c r="AD531" s="125" t="str">
        <f t="shared" ca="1" si="168"/>
        <v/>
      </c>
      <c r="AE531" s="125" t="str">
        <f t="shared" ca="1" si="169"/>
        <v/>
      </c>
      <c r="AF531" s="125" t="str">
        <f t="shared" ca="1" si="170"/>
        <v/>
      </c>
      <c r="AG531" s="125" t="str">
        <f t="shared" ca="1" si="171"/>
        <v/>
      </c>
      <c r="AH531" s="125" t="str">
        <f t="shared" ca="1" si="172"/>
        <v/>
      </c>
      <c r="AI531" s="125" t="str">
        <f t="shared" ca="1" si="173"/>
        <v/>
      </c>
      <c r="AJ531" s="125" t="str">
        <f t="shared" ca="1" si="174"/>
        <v/>
      </c>
      <c r="AK531" s="125" t="str">
        <f t="shared" ca="1" si="175"/>
        <v/>
      </c>
      <c r="AL531" s="125" t="str">
        <f t="shared" ca="1" si="176"/>
        <v/>
      </c>
      <c r="AM531" s="124" t="str">
        <f t="shared" ca="1" si="177"/>
        <v/>
      </c>
      <c r="AN531" s="124" t="str">
        <f t="shared" ca="1" si="177"/>
        <v/>
      </c>
      <c r="AO531" s="124" t="str">
        <f t="shared" ca="1" si="177"/>
        <v/>
      </c>
      <c r="AP531" s="124" t="str">
        <f t="shared" ca="1" si="177"/>
        <v/>
      </c>
      <c r="AQ531" s="124" t="str">
        <f t="shared" ca="1" si="177"/>
        <v/>
      </c>
      <c r="AR531" s="124" t="str">
        <f t="shared" ca="1" si="177"/>
        <v/>
      </c>
      <c r="AS531" s="124" t="str">
        <f t="shared" ca="1" si="177"/>
        <v/>
      </c>
      <c r="AT531" s="124" t="str">
        <f t="shared" ca="1" si="177"/>
        <v/>
      </c>
      <c r="AU531" s="124" t="str">
        <f t="shared" ca="1" si="177"/>
        <v/>
      </c>
      <c r="AV531" s="124" t="str">
        <f t="shared" ca="1" si="177"/>
        <v/>
      </c>
      <c r="AW531" s="124" t="str">
        <f t="shared" ca="1" si="178"/>
        <v/>
      </c>
      <c r="AX531" s="124" t="str">
        <f t="shared" ca="1" si="178"/>
        <v/>
      </c>
      <c r="AY531" s="124" t="str">
        <f t="shared" ca="1" si="178"/>
        <v/>
      </c>
      <c r="AZ531" s="124" t="str">
        <f t="shared" ca="1" si="178"/>
        <v/>
      </c>
      <c r="BA531" s="124" t="str">
        <f t="shared" ca="1" si="178"/>
        <v/>
      </c>
      <c r="BB531" s="124" t="str">
        <f t="shared" ca="1" si="178"/>
        <v/>
      </c>
      <c r="BC531" s="124" t="str">
        <f t="shared" ca="1" si="178"/>
        <v/>
      </c>
      <c r="BD531" s="124" t="str">
        <f t="shared" ca="1" si="178"/>
        <v/>
      </c>
      <c r="BE531" s="124" t="str">
        <f t="shared" ca="1" si="178"/>
        <v/>
      </c>
      <c r="BF531" s="124" t="str">
        <f t="shared" ca="1" si="178"/>
        <v/>
      </c>
      <c r="BG531" s="124" t="str">
        <f t="shared" ca="1" si="179"/>
        <v/>
      </c>
      <c r="BH531" s="124" t="str">
        <f t="shared" ca="1" si="179"/>
        <v/>
      </c>
      <c r="BI531" s="124" t="str">
        <f t="shared" ca="1" si="179"/>
        <v/>
      </c>
      <c r="BJ531" s="124" t="str">
        <f t="shared" ca="1" si="179"/>
        <v/>
      </c>
      <c r="BK531" s="124" t="str">
        <f t="shared" ca="1" si="179"/>
        <v/>
      </c>
      <c r="BL531" s="124" t="str">
        <f t="shared" ca="1" si="179"/>
        <v/>
      </c>
      <c r="BM531" s="124" t="str">
        <f t="shared" ca="1" si="179"/>
        <v/>
      </c>
      <c r="BN531" s="124" t="str">
        <f t="shared" ca="1" si="179"/>
        <v/>
      </c>
      <c r="BO531" s="124" t="str">
        <f t="shared" ca="1" si="179"/>
        <v/>
      </c>
      <c r="BP531" s="124" t="str">
        <f t="shared" ca="1" si="179"/>
        <v/>
      </c>
      <c r="BQ531" s="124" t="str">
        <f t="shared" ca="1" si="179"/>
        <v/>
      </c>
      <c r="BR531" s="124" t="str">
        <f t="shared" ca="1" si="179"/>
        <v/>
      </c>
      <c r="BS531" s="124" t="str">
        <f t="shared" ca="1" si="179"/>
        <v/>
      </c>
      <c r="BT531" s="124" t="str">
        <f t="shared" ca="1" si="179"/>
        <v/>
      </c>
      <c r="BU531" s="124" t="str">
        <f t="shared" ca="1" si="179"/>
        <v/>
      </c>
    </row>
  </sheetData>
  <phoneticPr fontId="2"/>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3"/>
  </sheetPr>
  <dimension ref="A2:Z129"/>
  <sheetViews>
    <sheetView zoomScaleNormal="100" workbookViewId="0">
      <selection activeCell="B2" sqref="B2:C3"/>
    </sheetView>
  </sheetViews>
  <sheetFormatPr defaultRowHeight="13.5" x14ac:dyDescent="0.15"/>
  <cols>
    <col min="1" max="1" width="4.5" customWidth="1"/>
    <col min="3" max="3" width="10.25" bestFit="1" customWidth="1"/>
    <col min="4" max="4" width="12.25" customWidth="1"/>
    <col min="5" max="5" width="9.25" customWidth="1"/>
    <col min="6" max="6" width="8.375" bestFit="1" customWidth="1"/>
    <col min="7" max="7" width="10.25" bestFit="1" customWidth="1"/>
    <col min="12" max="12" width="9.25" bestFit="1" customWidth="1"/>
    <col min="17" max="17" width="9.25" bestFit="1" customWidth="1"/>
    <col min="22" max="22" width="10.25" bestFit="1" customWidth="1"/>
  </cols>
  <sheetData>
    <row r="2" spans="1:26" x14ac:dyDescent="0.15">
      <c r="B2" s="184" t="s">
        <v>63</v>
      </c>
      <c r="C2" s="184"/>
      <c r="D2" s="184" t="s">
        <v>48</v>
      </c>
      <c r="E2" s="184" t="s">
        <v>214</v>
      </c>
      <c r="F2" s="184"/>
      <c r="G2" s="184" t="s">
        <v>215</v>
      </c>
      <c r="H2" s="184"/>
    </row>
    <row r="3" spans="1:26" x14ac:dyDescent="0.15">
      <c r="B3" s="184"/>
      <c r="C3" s="184"/>
      <c r="D3" s="184"/>
      <c r="E3" s="133" t="s">
        <v>240</v>
      </c>
      <c r="F3" s="133" t="s">
        <v>241</v>
      </c>
      <c r="G3" s="133" t="s">
        <v>240</v>
      </c>
      <c r="H3" s="133" t="s">
        <v>241</v>
      </c>
    </row>
    <row r="4" spans="1:26" x14ac:dyDescent="0.15">
      <c r="B4" s="185" t="s">
        <v>30</v>
      </c>
      <c r="C4" s="185"/>
      <c r="D4" s="83">
        <f>G114</f>
        <v>0</v>
      </c>
      <c r="E4" s="83">
        <f>H114</f>
        <v>0</v>
      </c>
      <c r="F4" s="84" t="e">
        <f>I114</f>
        <v>#DIV/0!</v>
      </c>
      <c r="G4" s="83">
        <f>J114</f>
        <v>0</v>
      </c>
      <c r="H4" s="84" t="e">
        <f>K114</f>
        <v>#DIV/0!</v>
      </c>
    </row>
    <row r="5" spans="1:26" x14ac:dyDescent="0.15">
      <c r="B5" s="185" t="s">
        <v>33</v>
      </c>
      <c r="C5" s="185"/>
      <c r="D5" s="83">
        <f>L114</f>
        <v>0</v>
      </c>
      <c r="E5" s="83">
        <f>M114</f>
        <v>0</v>
      </c>
      <c r="F5" s="84" t="e">
        <f>N114</f>
        <v>#DIV/0!</v>
      </c>
      <c r="G5" s="83">
        <f>O114</f>
        <v>0</v>
      </c>
      <c r="H5" s="84" t="e">
        <f>P114</f>
        <v>#DIV/0!</v>
      </c>
    </row>
    <row r="6" spans="1:26" x14ac:dyDescent="0.15">
      <c r="B6" s="185" t="s">
        <v>118</v>
      </c>
      <c r="C6" s="185"/>
      <c r="D6" s="83">
        <f>Q114</f>
        <v>0</v>
      </c>
      <c r="E6" s="83">
        <f>R114</f>
        <v>0</v>
      </c>
      <c r="F6" s="84" t="e">
        <f>S114</f>
        <v>#DIV/0!</v>
      </c>
      <c r="G6" s="83">
        <f>T114</f>
        <v>0</v>
      </c>
      <c r="H6" s="84" t="e">
        <f>U114</f>
        <v>#DIV/0!</v>
      </c>
    </row>
    <row r="7" spans="1:26" x14ac:dyDescent="0.15">
      <c r="B7" s="186" t="s">
        <v>220</v>
      </c>
      <c r="C7" s="186"/>
      <c r="D7" s="83">
        <f>V114</f>
        <v>0</v>
      </c>
      <c r="E7" s="83">
        <f>W114</f>
        <v>0</v>
      </c>
      <c r="F7" s="84" t="e">
        <f>X114</f>
        <v>#DIV/0!</v>
      </c>
      <c r="G7" s="83">
        <f>Y114</f>
        <v>0</v>
      </c>
      <c r="H7" s="84" t="e">
        <f>Z114</f>
        <v>#DIV/0!</v>
      </c>
    </row>
    <row r="8" spans="1:26" x14ac:dyDescent="0.15">
      <c r="B8" s="187" t="s">
        <v>17</v>
      </c>
      <c r="C8" s="188"/>
      <c r="D8" s="83">
        <f>G129</f>
        <v>0</v>
      </c>
      <c r="E8" s="83">
        <f>H129</f>
        <v>0</v>
      </c>
      <c r="F8" s="84" t="e">
        <f>I129</f>
        <v>#DIV/0!</v>
      </c>
      <c r="G8" s="83">
        <f>J129</f>
        <v>0</v>
      </c>
      <c r="H8" s="84" t="e">
        <f>K129</f>
        <v>#DIV/0!</v>
      </c>
    </row>
    <row r="9" spans="1:26" x14ac:dyDescent="0.15">
      <c r="B9" s="186" t="s">
        <v>53</v>
      </c>
      <c r="C9" s="186"/>
      <c r="D9" s="136">
        <f>D7+D8</f>
        <v>0</v>
      </c>
      <c r="E9" s="136">
        <f>SUM(E7:E8)</f>
        <v>0</v>
      </c>
      <c r="F9" s="137" t="e">
        <f>E9/D9</f>
        <v>#DIV/0!</v>
      </c>
      <c r="G9" s="136">
        <f>SUM(G7:G8)</f>
        <v>0</v>
      </c>
      <c r="H9" s="137" t="e">
        <f>G9/D9</f>
        <v>#DIV/0!</v>
      </c>
    </row>
    <row r="11" spans="1:26" ht="13.5" customHeight="1" x14ac:dyDescent="0.15">
      <c r="B11" s="183" t="s">
        <v>216</v>
      </c>
      <c r="C11" s="184" t="s">
        <v>38</v>
      </c>
      <c r="D11" s="184" t="s">
        <v>112</v>
      </c>
      <c r="E11" s="189" t="s">
        <v>217</v>
      </c>
      <c r="F11" s="189" t="s">
        <v>218</v>
      </c>
      <c r="G11" s="184" t="s">
        <v>30</v>
      </c>
      <c r="H11" s="184"/>
      <c r="I11" s="184"/>
      <c r="J11" s="184"/>
      <c r="K11" s="184"/>
      <c r="L11" s="184" t="s">
        <v>33</v>
      </c>
      <c r="M11" s="184"/>
      <c r="N11" s="184"/>
      <c r="O11" s="184"/>
      <c r="P11" s="184"/>
      <c r="Q11" s="184" t="s">
        <v>118</v>
      </c>
      <c r="R11" s="184"/>
      <c r="S11" s="184"/>
      <c r="T11" s="184"/>
      <c r="U11" s="184"/>
      <c r="V11" s="184" t="s">
        <v>53</v>
      </c>
      <c r="W11" s="184"/>
      <c r="X11" s="184"/>
      <c r="Y11" s="184"/>
      <c r="Z11" s="184"/>
    </row>
    <row r="12" spans="1:26" x14ac:dyDescent="0.15">
      <c r="B12" s="184"/>
      <c r="C12" s="184"/>
      <c r="D12" s="184"/>
      <c r="E12" s="190"/>
      <c r="F12" s="190"/>
      <c r="G12" s="184" t="s">
        <v>48</v>
      </c>
      <c r="H12" s="184" t="s">
        <v>217</v>
      </c>
      <c r="I12" s="184"/>
      <c r="J12" s="184" t="s">
        <v>218</v>
      </c>
      <c r="K12" s="184"/>
      <c r="L12" s="184" t="s">
        <v>48</v>
      </c>
      <c r="M12" s="184" t="s">
        <v>217</v>
      </c>
      <c r="N12" s="184"/>
      <c r="O12" s="184" t="s">
        <v>218</v>
      </c>
      <c r="P12" s="184"/>
      <c r="Q12" s="184" t="s">
        <v>48</v>
      </c>
      <c r="R12" s="184" t="s">
        <v>217</v>
      </c>
      <c r="S12" s="184"/>
      <c r="T12" s="184" t="s">
        <v>218</v>
      </c>
      <c r="U12" s="184"/>
      <c r="V12" s="184" t="s">
        <v>48</v>
      </c>
      <c r="W12" s="184" t="s">
        <v>217</v>
      </c>
      <c r="X12" s="184"/>
      <c r="Y12" s="184" t="s">
        <v>218</v>
      </c>
      <c r="Z12" s="184"/>
    </row>
    <row r="13" spans="1:26" x14ac:dyDescent="0.15">
      <c r="B13" s="184"/>
      <c r="C13" s="184"/>
      <c r="D13" s="184"/>
      <c r="E13" s="191"/>
      <c r="F13" s="191"/>
      <c r="G13" s="184"/>
      <c r="H13" s="133" t="s">
        <v>240</v>
      </c>
      <c r="I13" s="133" t="s">
        <v>241</v>
      </c>
      <c r="J13" s="133" t="s">
        <v>240</v>
      </c>
      <c r="K13" s="133" t="s">
        <v>241</v>
      </c>
      <c r="L13" s="184"/>
      <c r="M13" s="133" t="s">
        <v>240</v>
      </c>
      <c r="N13" s="133" t="s">
        <v>241</v>
      </c>
      <c r="O13" s="133" t="s">
        <v>240</v>
      </c>
      <c r="P13" s="133" t="s">
        <v>241</v>
      </c>
      <c r="Q13" s="184"/>
      <c r="R13" s="133" t="s">
        <v>240</v>
      </c>
      <c r="S13" s="133" t="s">
        <v>241</v>
      </c>
      <c r="T13" s="133" t="s">
        <v>240</v>
      </c>
      <c r="U13" s="133" t="s">
        <v>241</v>
      </c>
      <c r="V13" s="184"/>
      <c r="W13" s="133" t="s">
        <v>240</v>
      </c>
      <c r="X13" s="133" t="s">
        <v>241</v>
      </c>
      <c r="Y13" s="133" t="s">
        <v>240</v>
      </c>
      <c r="Z13" s="133" t="s">
        <v>241</v>
      </c>
    </row>
    <row r="14" spans="1:26" x14ac:dyDescent="0.15">
      <c r="A14">
        <v>1</v>
      </c>
      <c r="B14" s="49">
        <f>①簡易状況入力!B5</f>
        <v>0</v>
      </c>
      <c r="C14" s="33" t="s">
        <v>64</v>
      </c>
      <c r="D14" s="4" t="str">
        <f>IF($B14="●",①簡易状況入力!D5,"")</f>
        <v/>
      </c>
      <c r="E14" s="80" t="str">
        <f>IF($B14="●",①簡易状況入力!R5,"")</f>
        <v/>
      </c>
      <c r="F14" s="80" t="str">
        <f>IF($B14="●",①簡易状況入力!S5,"")</f>
        <v/>
      </c>
      <c r="G14" s="81" t="str">
        <f>IF($B14="●",①簡易状況入力!H5,"")</f>
        <v/>
      </c>
      <c r="H14" s="81" t="str">
        <f>IF($B14="●",I14*$G14,"")</f>
        <v/>
      </c>
      <c r="I14" s="69">
        <f ca="1">OFFSET(③各部被害関数計算結果!$H$2,1+($A14-1)*4,0)</f>
        <v>0</v>
      </c>
      <c r="J14" s="81" t="str">
        <f>IF($B14="●",K14*$G14,"")</f>
        <v/>
      </c>
      <c r="K14" s="69">
        <f ca="1">OFFSET(③各部被害関数計算結果!$J$2,1+($A14-1)*4,0)</f>
        <v>0</v>
      </c>
      <c r="L14" s="81" t="str">
        <f>IF($B14="●",①簡易状況入力!I5,"")</f>
        <v/>
      </c>
      <c r="M14" s="81" t="str">
        <f>IF($B14="●",N14*$L14,"")</f>
        <v/>
      </c>
      <c r="N14" s="69">
        <f ca="1">OFFSET(③各部被害関数計算結果!$H$2,2+($A14-1)*4,0)</f>
        <v>0</v>
      </c>
      <c r="O14" s="81" t="str">
        <f>IF($B14="●",P14*$L14,"")</f>
        <v/>
      </c>
      <c r="P14" s="69">
        <f ca="1">OFFSET(③各部被害関数計算結果!$J$2,2+($A14-1)*4,0)</f>
        <v>0</v>
      </c>
      <c r="Q14" s="81" t="str">
        <f>IF($B14="●",①簡易状況入力!J5,"")</f>
        <v/>
      </c>
      <c r="R14" s="81" t="str">
        <f>IF($B14="●",S14*$Q14,"")</f>
        <v/>
      </c>
      <c r="S14" s="69">
        <f ca="1">OFFSET(③各部被害関数計算結果!$H$2,3+($A14-1)*4,0)</f>
        <v>0</v>
      </c>
      <c r="T14" s="81" t="str">
        <f>IF($B14="●",U14*$Q14,"")</f>
        <v/>
      </c>
      <c r="U14" s="69">
        <f ca="1">OFFSET(③各部被害関数計算結果!$J$2,3+($A14-1)*4,0)</f>
        <v>0</v>
      </c>
      <c r="V14" s="81" t="str">
        <f>IF(B14="●",Q14+L14+G14,"")</f>
        <v/>
      </c>
      <c r="W14" s="81" t="str">
        <f>IF($B14="●",X14*$V14,"")</f>
        <v/>
      </c>
      <c r="X14" s="69">
        <f ca="1">OFFSET(③各部被害関数計算結果!$H$2,4+($A14-1)*4,0)</f>
        <v>0</v>
      </c>
      <c r="Y14" s="81" t="str">
        <f>IF($B14="●",Z14*$V14,"")</f>
        <v/>
      </c>
      <c r="Z14" s="69">
        <f ca="1">OFFSET(③各部被害関数計算結果!$J$2,4+($A14-1)*4,0)</f>
        <v>0</v>
      </c>
    </row>
    <row r="15" spans="1:26" x14ac:dyDescent="0.15">
      <c r="A15">
        <v>2</v>
      </c>
      <c r="B15" s="49">
        <f>①簡易状況入力!B6</f>
        <v>0</v>
      </c>
      <c r="C15" s="33" t="s">
        <v>120</v>
      </c>
      <c r="D15" s="4" t="str">
        <f>IF($B15="●",①簡易状況入力!D6,"")</f>
        <v/>
      </c>
      <c r="E15" s="80" t="str">
        <f>IF($B15="●",①簡易状況入力!R6,"")</f>
        <v/>
      </c>
      <c r="F15" s="80" t="str">
        <f>IF($B15="●",①簡易状況入力!S6,"")</f>
        <v/>
      </c>
      <c r="G15" s="81" t="str">
        <f>IF($B15="●",①簡易状況入力!H6,"")</f>
        <v/>
      </c>
      <c r="H15" s="81" t="str">
        <f t="shared" ref="H15:H33" si="0">IF($B15="●",I15*$G15,"")</f>
        <v/>
      </c>
      <c r="I15" s="69">
        <f ca="1">OFFSET(③各部被害関数計算結果!$H$2,1+($A15-1)*4,0)</f>
        <v>0</v>
      </c>
      <c r="J15" s="81" t="str">
        <f t="shared" ref="J15:J33" si="1">IF($B15="●",K15*$G15,"")</f>
        <v/>
      </c>
      <c r="K15" s="69">
        <f ca="1">OFFSET(③各部被害関数計算結果!$J$2,1+($A15-1)*4,0)</f>
        <v>0</v>
      </c>
      <c r="L15" s="81" t="str">
        <f>IF($B15="●",①簡易状況入力!I6,"")</f>
        <v/>
      </c>
      <c r="M15" s="81" t="str">
        <f t="shared" ref="M15:M33" si="2">IF($B15="●",N15*$L15,"")</f>
        <v/>
      </c>
      <c r="N15" s="69">
        <f ca="1">OFFSET(③各部被害関数計算結果!$H$2,2+($A15-1)*4,0)</f>
        <v>0</v>
      </c>
      <c r="O15" s="81" t="str">
        <f t="shared" ref="O15:O33" si="3">IF($B15="●",P15*$L15,"")</f>
        <v/>
      </c>
      <c r="P15" s="69">
        <f ca="1">OFFSET(③各部被害関数計算結果!$J$2,2+($A15-1)*4,0)</f>
        <v>0</v>
      </c>
      <c r="Q15" s="81" t="str">
        <f>IF($B15="●",①簡易状況入力!J6,"")</f>
        <v/>
      </c>
      <c r="R15" s="81" t="str">
        <f t="shared" ref="R15:R33" si="4">IF($B15="●",S15*$Q15,"")</f>
        <v/>
      </c>
      <c r="S15" s="69">
        <f ca="1">OFFSET(③各部被害関数計算結果!$H$2,3+($A15-1)*4,0)</f>
        <v>0</v>
      </c>
      <c r="T15" s="81" t="str">
        <f t="shared" ref="T15:T33" si="5">IF($B15="●",U15*$Q15,"")</f>
        <v/>
      </c>
      <c r="U15" s="69">
        <f ca="1">OFFSET(③各部被害関数計算結果!$J$2,3+($A15-1)*4,0)</f>
        <v>0</v>
      </c>
      <c r="V15" s="81" t="str">
        <f t="shared" ref="V15:V33" si="6">IF(B15="●",Q15+L15+G15,"")</f>
        <v/>
      </c>
      <c r="W15" s="81" t="str">
        <f t="shared" ref="W15:W33" si="7">IF($B15="●",X15*$V15,"")</f>
        <v/>
      </c>
      <c r="X15" s="69">
        <f ca="1">OFFSET(③各部被害関数計算結果!$H$2,4+($A15-1)*4,0)</f>
        <v>0</v>
      </c>
      <c r="Y15" s="81" t="str">
        <f t="shared" ref="Y15:Y33" si="8">IF($B15="●",Z15*$V15,"")</f>
        <v/>
      </c>
      <c r="Z15" s="69">
        <f ca="1">OFFSET(③各部被害関数計算結果!$J$2,4+($A15-1)*4,0)</f>
        <v>0</v>
      </c>
    </row>
    <row r="16" spans="1:26" x14ac:dyDescent="0.15">
      <c r="A16">
        <v>3</v>
      </c>
      <c r="B16" s="49">
        <f>①簡易状況入力!B7</f>
        <v>0</v>
      </c>
      <c r="C16" s="33" t="s">
        <v>122</v>
      </c>
      <c r="D16" s="4" t="str">
        <f>IF($B16="●",①簡易状況入力!D7,"")</f>
        <v/>
      </c>
      <c r="E16" s="80" t="str">
        <f>IF($B16="●",①簡易状況入力!R7,"")</f>
        <v/>
      </c>
      <c r="F16" s="80" t="str">
        <f>IF($B16="●",①簡易状況入力!S7,"")</f>
        <v/>
      </c>
      <c r="G16" s="81" t="str">
        <f>IF($B16="●",①簡易状況入力!H7,"")</f>
        <v/>
      </c>
      <c r="H16" s="81" t="str">
        <f t="shared" si="0"/>
        <v/>
      </c>
      <c r="I16" s="69">
        <f ca="1">OFFSET(③各部被害関数計算結果!$H$2,1+($A16-1)*4,0)</f>
        <v>0</v>
      </c>
      <c r="J16" s="81" t="str">
        <f t="shared" si="1"/>
        <v/>
      </c>
      <c r="K16" s="69">
        <f ca="1">OFFSET(③各部被害関数計算結果!$J$2,1+($A16-1)*4,0)</f>
        <v>0</v>
      </c>
      <c r="L16" s="81" t="str">
        <f>IF($B16="●",①簡易状況入力!I7,"")</f>
        <v/>
      </c>
      <c r="M16" s="81" t="str">
        <f t="shared" si="2"/>
        <v/>
      </c>
      <c r="N16" s="69">
        <f ca="1">OFFSET(③各部被害関数計算結果!$H$2,2+($A16-1)*4,0)</f>
        <v>0</v>
      </c>
      <c r="O16" s="81" t="str">
        <f t="shared" si="3"/>
        <v/>
      </c>
      <c r="P16" s="69">
        <f ca="1">OFFSET(③各部被害関数計算結果!$J$2,2+($A16-1)*4,0)</f>
        <v>0</v>
      </c>
      <c r="Q16" s="81" t="str">
        <f>IF($B16="●",①簡易状況入力!J7,"")</f>
        <v/>
      </c>
      <c r="R16" s="81" t="str">
        <f t="shared" si="4"/>
        <v/>
      </c>
      <c r="S16" s="69">
        <f ca="1">OFFSET(③各部被害関数計算結果!$H$2,3+($A16-1)*4,0)</f>
        <v>0</v>
      </c>
      <c r="T16" s="81" t="str">
        <f t="shared" si="5"/>
        <v/>
      </c>
      <c r="U16" s="69">
        <f ca="1">OFFSET(③各部被害関数計算結果!$J$2,3+($A16-1)*4,0)</f>
        <v>0</v>
      </c>
      <c r="V16" s="81" t="str">
        <f t="shared" si="6"/>
        <v/>
      </c>
      <c r="W16" s="81" t="str">
        <f t="shared" si="7"/>
        <v/>
      </c>
      <c r="X16" s="69">
        <f ca="1">OFFSET(③各部被害関数計算結果!$H$2,4+($A16-1)*4,0)</f>
        <v>0</v>
      </c>
      <c r="Y16" s="81" t="str">
        <f t="shared" si="8"/>
        <v/>
      </c>
      <c r="Z16" s="69">
        <f ca="1">OFFSET(③各部被害関数計算結果!$J$2,4+($A16-1)*4,0)</f>
        <v>0</v>
      </c>
    </row>
    <row r="17" spans="1:26" x14ac:dyDescent="0.15">
      <c r="A17">
        <v>4</v>
      </c>
      <c r="B17" s="49">
        <f>①簡易状況入力!B8</f>
        <v>0</v>
      </c>
      <c r="C17" s="33" t="s">
        <v>113</v>
      </c>
      <c r="D17" s="4" t="str">
        <f>IF($B17="●",①簡易状況入力!D8,"")</f>
        <v/>
      </c>
      <c r="E17" s="80" t="str">
        <f>IF($B17="●",①簡易状況入力!R8,"")</f>
        <v/>
      </c>
      <c r="F17" s="80" t="str">
        <f>IF($B17="●",①簡易状況入力!S8,"")</f>
        <v/>
      </c>
      <c r="G17" s="81" t="str">
        <f>IF($B17="●",①簡易状況入力!H8,"")</f>
        <v/>
      </c>
      <c r="H17" s="81" t="str">
        <f t="shared" si="0"/>
        <v/>
      </c>
      <c r="I17" s="69">
        <f ca="1">OFFSET(③各部被害関数計算結果!$H$2,1+($A17-1)*4,0)</f>
        <v>0</v>
      </c>
      <c r="J17" s="81" t="str">
        <f t="shared" si="1"/>
        <v/>
      </c>
      <c r="K17" s="69">
        <f ca="1">OFFSET(③各部被害関数計算結果!$J$2,1+($A17-1)*4,0)</f>
        <v>0</v>
      </c>
      <c r="L17" s="81" t="str">
        <f>IF($B17="●",①簡易状況入力!I8,"")</f>
        <v/>
      </c>
      <c r="M17" s="81" t="str">
        <f t="shared" si="2"/>
        <v/>
      </c>
      <c r="N17" s="69">
        <f ca="1">OFFSET(③各部被害関数計算結果!$H$2,2+($A17-1)*4,0)</f>
        <v>0</v>
      </c>
      <c r="O17" s="81" t="str">
        <f t="shared" si="3"/>
        <v/>
      </c>
      <c r="P17" s="69">
        <f ca="1">OFFSET(③各部被害関数計算結果!$J$2,2+($A17-1)*4,0)</f>
        <v>0</v>
      </c>
      <c r="Q17" s="81" t="str">
        <f>IF($B17="●",①簡易状況入力!J8,"")</f>
        <v/>
      </c>
      <c r="R17" s="81" t="str">
        <f t="shared" si="4"/>
        <v/>
      </c>
      <c r="S17" s="69">
        <f ca="1">OFFSET(③各部被害関数計算結果!$H$2,3+($A17-1)*4,0)</f>
        <v>0</v>
      </c>
      <c r="T17" s="81" t="str">
        <f t="shared" si="5"/>
        <v/>
      </c>
      <c r="U17" s="69">
        <f ca="1">OFFSET(③各部被害関数計算結果!$J$2,3+($A17-1)*4,0)</f>
        <v>0</v>
      </c>
      <c r="V17" s="81" t="str">
        <f t="shared" si="6"/>
        <v/>
      </c>
      <c r="W17" s="81" t="str">
        <f t="shared" si="7"/>
        <v/>
      </c>
      <c r="X17" s="69">
        <f ca="1">OFFSET(③各部被害関数計算結果!$H$2,4+($A17-1)*4,0)</f>
        <v>0</v>
      </c>
      <c r="Y17" s="81" t="str">
        <f t="shared" si="8"/>
        <v/>
      </c>
      <c r="Z17" s="69">
        <f ca="1">OFFSET(③各部被害関数計算結果!$J$2,4+($A17-1)*4,0)</f>
        <v>0</v>
      </c>
    </row>
    <row r="18" spans="1:26" x14ac:dyDescent="0.15">
      <c r="A18">
        <v>5</v>
      </c>
      <c r="B18" s="49">
        <f>①簡易状況入力!B9</f>
        <v>0</v>
      </c>
      <c r="C18" s="33" t="s">
        <v>71</v>
      </c>
      <c r="D18" s="4" t="str">
        <f>IF($B18="●",①簡易状況入力!D9,"")</f>
        <v/>
      </c>
      <c r="E18" s="80" t="str">
        <f>IF($B18="●",①簡易状況入力!R9,"")</f>
        <v/>
      </c>
      <c r="F18" s="80" t="str">
        <f>IF($B18="●",①簡易状況入力!S9,"")</f>
        <v/>
      </c>
      <c r="G18" s="81" t="str">
        <f>IF($B18="●",①簡易状況入力!H9,"")</f>
        <v/>
      </c>
      <c r="H18" s="81" t="str">
        <f t="shared" si="0"/>
        <v/>
      </c>
      <c r="I18" s="69">
        <f ca="1">OFFSET(③各部被害関数計算結果!$H$2,1+($A18-1)*4,0)</f>
        <v>0</v>
      </c>
      <c r="J18" s="81" t="str">
        <f t="shared" si="1"/>
        <v/>
      </c>
      <c r="K18" s="69">
        <f ca="1">OFFSET(③各部被害関数計算結果!$J$2,1+($A18-1)*4,0)</f>
        <v>0</v>
      </c>
      <c r="L18" s="81" t="str">
        <f>IF($B18="●",①簡易状況入力!I9,"")</f>
        <v/>
      </c>
      <c r="M18" s="81" t="str">
        <f t="shared" si="2"/>
        <v/>
      </c>
      <c r="N18" s="69">
        <f ca="1">OFFSET(③各部被害関数計算結果!$H$2,2+($A18-1)*4,0)</f>
        <v>0</v>
      </c>
      <c r="O18" s="81" t="str">
        <f t="shared" si="3"/>
        <v/>
      </c>
      <c r="P18" s="69">
        <f ca="1">OFFSET(③各部被害関数計算結果!$J$2,2+($A18-1)*4,0)</f>
        <v>0</v>
      </c>
      <c r="Q18" s="81" t="str">
        <f>IF($B18="●",①簡易状況入力!J9,"")</f>
        <v/>
      </c>
      <c r="R18" s="81" t="str">
        <f t="shared" si="4"/>
        <v/>
      </c>
      <c r="S18" s="69">
        <f ca="1">OFFSET(③各部被害関数計算結果!$H$2,3+($A18-1)*4,0)</f>
        <v>0</v>
      </c>
      <c r="T18" s="81" t="str">
        <f t="shared" si="5"/>
        <v/>
      </c>
      <c r="U18" s="69">
        <f ca="1">OFFSET(③各部被害関数計算結果!$J$2,3+($A18-1)*4,0)</f>
        <v>0</v>
      </c>
      <c r="V18" s="81" t="str">
        <f t="shared" si="6"/>
        <v/>
      </c>
      <c r="W18" s="81" t="str">
        <f t="shared" si="7"/>
        <v/>
      </c>
      <c r="X18" s="69">
        <f ca="1">OFFSET(③各部被害関数計算結果!$H$2,4+($A18-1)*4,0)</f>
        <v>0</v>
      </c>
      <c r="Y18" s="81" t="str">
        <f t="shared" si="8"/>
        <v/>
      </c>
      <c r="Z18" s="69">
        <f ca="1">OFFSET(③各部被害関数計算結果!$J$2,4+($A18-1)*4,0)</f>
        <v>0</v>
      </c>
    </row>
    <row r="19" spans="1:26" x14ac:dyDescent="0.15">
      <c r="A19">
        <v>6</v>
      </c>
      <c r="B19" s="49">
        <f>①簡易状況入力!B10</f>
        <v>0</v>
      </c>
      <c r="C19" s="33" t="s">
        <v>72</v>
      </c>
      <c r="D19" s="4" t="str">
        <f>IF($B19="●",①簡易状況入力!D10,"")</f>
        <v/>
      </c>
      <c r="E19" s="80" t="str">
        <f>IF($B19="●",①簡易状況入力!R10,"")</f>
        <v/>
      </c>
      <c r="F19" s="80" t="str">
        <f>IF($B19="●",①簡易状況入力!S10,"")</f>
        <v/>
      </c>
      <c r="G19" s="81" t="str">
        <f>IF($B19="●",①簡易状況入力!H10,"")</f>
        <v/>
      </c>
      <c r="H19" s="81" t="str">
        <f t="shared" si="0"/>
        <v/>
      </c>
      <c r="I19" s="69">
        <f ca="1">OFFSET(③各部被害関数計算結果!$H$2,1+($A19-1)*4,0)</f>
        <v>0</v>
      </c>
      <c r="J19" s="81" t="str">
        <f t="shared" si="1"/>
        <v/>
      </c>
      <c r="K19" s="69">
        <f ca="1">OFFSET(③各部被害関数計算結果!$J$2,1+($A19-1)*4,0)</f>
        <v>0</v>
      </c>
      <c r="L19" s="81" t="str">
        <f>IF($B19="●",①簡易状況入力!I10,"")</f>
        <v/>
      </c>
      <c r="M19" s="81" t="str">
        <f t="shared" si="2"/>
        <v/>
      </c>
      <c r="N19" s="69">
        <f ca="1">OFFSET(③各部被害関数計算結果!$H$2,2+($A19-1)*4,0)</f>
        <v>0</v>
      </c>
      <c r="O19" s="81" t="str">
        <f t="shared" si="3"/>
        <v/>
      </c>
      <c r="P19" s="69">
        <f ca="1">OFFSET(③各部被害関数計算結果!$J$2,2+($A19-1)*4,0)</f>
        <v>0</v>
      </c>
      <c r="Q19" s="81" t="str">
        <f>IF($B19="●",①簡易状況入力!J10,"")</f>
        <v/>
      </c>
      <c r="R19" s="81" t="str">
        <f t="shared" si="4"/>
        <v/>
      </c>
      <c r="S19" s="69">
        <f ca="1">OFFSET(③各部被害関数計算結果!$H$2,3+($A19-1)*4,0)</f>
        <v>0</v>
      </c>
      <c r="T19" s="81" t="str">
        <f t="shared" si="5"/>
        <v/>
      </c>
      <c r="U19" s="69">
        <f ca="1">OFFSET(③各部被害関数計算結果!$J$2,3+($A19-1)*4,0)</f>
        <v>0</v>
      </c>
      <c r="V19" s="81" t="str">
        <f t="shared" si="6"/>
        <v/>
      </c>
      <c r="W19" s="81" t="str">
        <f t="shared" si="7"/>
        <v/>
      </c>
      <c r="X19" s="69">
        <f ca="1">OFFSET(③各部被害関数計算結果!$H$2,4+($A19-1)*4,0)</f>
        <v>0</v>
      </c>
      <c r="Y19" s="81" t="str">
        <f t="shared" si="8"/>
        <v/>
      </c>
      <c r="Z19" s="69">
        <f ca="1">OFFSET(③各部被害関数計算結果!$J$2,4+($A19-1)*4,0)</f>
        <v>0</v>
      </c>
    </row>
    <row r="20" spans="1:26" x14ac:dyDescent="0.15">
      <c r="A20">
        <v>7</v>
      </c>
      <c r="B20" s="49">
        <f>①簡易状況入力!B11</f>
        <v>0</v>
      </c>
      <c r="C20" s="33" t="s">
        <v>73</v>
      </c>
      <c r="D20" s="4" t="str">
        <f>IF($B20="●",①簡易状況入力!D11,"")</f>
        <v/>
      </c>
      <c r="E20" s="80" t="str">
        <f>IF($B20="●",①簡易状況入力!R11,"")</f>
        <v/>
      </c>
      <c r="F20" s="80" t="str">
        <f>IF($B20="●",①簡易状況入力!S11,"")</f>
        <v/>
      </c>
      <c r="G20" s="81" t="str">
        <f>IF($B20="●",①簡易状況入力!H11,"")</f>
        <v/>
      </c>
      <c r="H20" s="81" t="str">
        <f t="shared" si="0"/>
        <v/>
      </c>
      <c r="I20" s="69">
        <f ca="1">OFFSET(③各部被害関数計算結果!$H$2,1+($A20-1)*4,0)</f>
        <v>0</v>
      </c>
      <c r="J20" s="81" t="str">
        <f t="shared" si="1"/>
        <v/>
      </c>
      <c r="K20" s="69">
        <f ca="1">OFFSET(③各部被害関数計算結果!$J$2,1+($A20-1)*4,0)</f>
        <v>0</v>
      </c>
      <c r="L20" s="81" t="str">
        <f>IF($B20="●",①簡易状況入力!I11,"")</f>
        <v/>
      </c>
      <c r="M20" s="81" t="str">
        <f t="shared" si="2"/>
        <v/>
      </c>
      <c r="N20" s="69">
        <f ca="1">OFFSET(③各部被害関数計算結果!$H$2,2+($A20-1)*4,0)</f>
        <v>0</v>
      </c>
      <c r="O20" s="81" t="str">
        <f t="shared" si="3"/>
        <v/>
      </c>
      <c r="P20" s="69">
        <f ca="1">OFFSET(③各部被害関数計算結果!$J$2,2+($A20-1)*4,0)</f>
        <v>0</v>
      </c>
      <c r="Q20" s="81" t="str">
        <f>IF($B20="●",①簡易状況入力!J11,"")</f>
        <v/>
      </c>
      <c r="R20" s="81" t="str">
        <f t="shared" si="4"/>
        <v/>
      </c>
      <c r="S20" s="69">
        <f ca="1">OFFSET(③各部被害関数計算結果!$H$2,3+($A20-1)*4,0)</f>
        <v>0</v>
      </c>
      <c r="T20" s="81" t="str">
        <f t="shared" si="5"/>
        <v/>
      </c>
      <c r="U20" s="69">
        <f ca="1">OFFSET(③各部被害関数計算結果!$J$2,3+($A20-1)*4,0)</f>
        <v>0</v>
      </c>
      <c r="V20" s="81" t="str">
        <f t="shared" si="6"/>
        <v/>
      </c>
      <c r="W20" s="81" t="str">
        <f t="shared" si="7"/>
        <v/>
      </c>
      <c r="X20" s="69">
        <f ca="1">OFFSET(③各部被害関数計算結果!$H$2,4+($A20-1)*4,0)</f>
        <v>0</v>
      </c>
      <c r="Y20" s="81" t="str">
        <f t="shared" si="8"/>
        <v/>
      </c>
      <c r="Z20" s="69">
        <f ca="1">OFFSET(③各部被害関数計算結果!$J$2,4+($A20-1)*4,0)</f>
        <v>0</v>
      </c>
    </row>
    <row r="21" spans="1:26" x14ac:dyDescent="0.15">
      <c r="A21">
        <v>8</v>
      </c>
      <c r="B21" s="49">
        <f>①簡易状況入力!B12</f>
        <v>0</v>
      </c>
      <c r="C21" s="33" t="s">
        <v>74</v>
      </c>
      <c r="D21" s="4" t="str">
        <f>IF($B21="●",①簡易状況入力!D12,"")</f>
        <v/>
      </c>
      <c r="E21" s="80" t="str">
        <f>IF($B21="●",①簡易状況入力!R12,"")</f>
        <v/>
      </c>
      <c r="F21" s="80" t="str">
        <f>IF($B21="●",①簡易状況入力!S12,"")</f>
        <v/>
      </c>
      <c r="G21" s="81" t="str">
        <f>IF($B21="●",①簡易状況入力!H12,"")</f>
        <v/>
      </c>
      <c r="H21" s="81" t="str">
        <f t="shared" si="0"/>
        <v/>
      </c>
      <c r="I21" s="69">
        <f ca="1">OFFSET(③各部被害関数計算結果!$H$2,1+($A21-1)*4,0)</f>
        <v>0</v>
      </c>
      <c r="J21" s="81" t="str">
        <f t="shared" si="1"/>
        <v/>
      </c>
      <c r="K21" s="69">
        <f ca="1">OFFSET(③各部被害関数計算結果!$J$2,1+($A21-1)*4,0)</f>
        <v>0</v>
      </c>
      <c r="L21" s="81" t="str">
        <f>IF($B21="●",①簡易状況入力!I12,"")</f>
        <v/>
      </c>
      <c r="M21" s="81" t="str">
        <f t="shared" si="2"/>
        <v/>
      </c>
      <c r="N21" s="69">
        <f ca="1">OFFSET(③各部被害関数計算結果!$H$2,2+($A21-1)*4,0)</f>
        <v>0</v>
      </c>
      <c r="O21" s="81" t="str">
        <f t="shared" si="3"/>
        <v/>
      </c>
      <c r="P21" s="69">
        <f ca="1">OFFSET(③各部被害関数計算結果!$J$2,2+($A21-1)*4,0)</f>
        <v>0</v>
      </c>
      <c r="Q21" s="81" t="str">
        <f>IF($B21="●",①簡易状況入力!J12,"")</f>
        <v/>
      </c>
      <c r="R21" s="81" t="str">
        <f t="shared" si="4"/>
        <v/>
      </c>
      <c r="S21" s="69">
        <f ca="1">OFFSET(③各部被害関数計算結果!$H$2,3+($A21-1)*4,0)</f>
        <v>0</v>
      </c>
      <c r="T21" s="81" t="str">
        <f t="shared" si="5"/>
        <v/>
      </c>
      <c r="U21" s="69">
        <f ca="1">OFFSET(③各部被害関数計算結果!$J$2,3+($A21-1)*4,0)</f>
        <v>0</v>
      </c>
      <c r="V21" s="81" t="str">
        <f t="shared" si="6"/>
        <v/>
      </c>
      <c r="W21" s="81" t="str">
        <f t="shared" si="7"/>
        <v/>
      </c>
      <c r="X21" s="69">
        <f ca="1">OFFSET(③各部被害関数計算結果!$H$2,4+($A21-1)*4,0)</f>
        <v>0</v>
      </c>
      <c r="Y21" s="81" t="str">
        <f t="shared" si="8"/>
        <v/>
      </c>
      <c r="Z21" s="69">
        <f ca="1">OFFSET(③各部被害関数計算結果!$J$2,4+($A21-1)*4,0)</f>
        <v>0</v>
      </c>
    </row>
    <row r="22" spans="1:26" x14ac:dyDescent="0.15">
      <c r="A22">
        <v>9</v>
      </c>
      <c r="B22" s="49">
        <f>①簡易状況入力!B13</f>
        <v>0</v>
      </c>
      <c r="C22" s="33" t="s">
        <v>75</v>
      </c>
      <c r="D22" s="4" t="str">
        <f>IF($B22="●",①簡易状況入力!D13,"")</f>
        <v/>
      </c>
      <c r="E22" s="80" t="str">
        <f>IF($B22="●",①簡易状況入力!R13,"")</f>
        <v/>
      </c>
      <c r="F22" s="80" t="str">
        <f>IF($B22="●",①簡易状況入力!S13,"")</f>
        <v/>
      </c>
      <c r="G22" s="81" t="str">
        <f>IF($B22="●",①簡易状況入力!H13,"")</f>
        <v/>
      </c>
      <c r="H22" s="81" t="str">
        <f t="shared" si="0"/>
        <v/>
      </c>
      <c r="I22" s="69">
        <f ca="1">OFFSET(③各部被害関数計算結果!$H$2,1+($A22-1)*4,0)</f>
        <v>0</v>
      </c>
      <c r="J22" s="81" t="str">
        <f t="shared" si="1"/>
        <v/>
      </c>
      <c r="K22" s="69">
        <f ca="1">OFFSET(③各部被害関数計算結果!$J$2,1+($A22-1)*4,0)</f>
        <v>0</v>
      </c>
      <c r="L22" s="81" t="str">
        <f>IF($B22="●",①簡易状況入力!I13,"")</f>
        <v/>
      </c>
      <c r="M22" s="81" t="str">
        <f t="shared" si="2"/>
        <v/>
      </c>
      <c r="N22" s="69">
        <f ca="1">OFFSET(③各部被害関数計算結果!$H$2,2+($A22-1)*4,0)</f>
        <v>0</v>
      </c>
      <c r="O22" s="81" t="str">
        <f t="shared" si="3"/>
        <v/>
      </c>
      <c r="P22" s="69">
        <f ca="1">OFFSET(③各部被害関数計算結果!$J$2,2+($A22-1)*4,0)</f>
        <v>0</v>
      </c>
      <c r="Q22" s="81" t="str">
        <f>IF($B22="●",①簡易状況入力!J13,"")</f>
        <v/>
      </c>
      <c r="R22" s="81" t="str">
        <f t="shared" si="4"/>
        <v/>
      </c>
      <c r="S22" s="69">
        <f ca="1">OFFSET(③各部被害関数計算結果!$H$2,3+($A22-1)*4,0)</f>
        <v>0</v>
      </c>
      <c r="T22" s="81" t="str">
        <f t="shared" si="5"/>
        <v/>
      </c>
      <c r="U22" s="69">
        <f ca="1">OFFSET(③各部被害関数計算結果!$J$2,3+($A22-1)*4,0)</f>
        <v>0</v>
      </c>
      <c r="V22" s="81" t="str">
        <f t="shared" si="6"/>
        <v/>
      </c>
      <c r="W22" s="81" t="str">
        <f t="shared" si="7"/>
        <v/>
      </c>
      <c r="X22" s="69">
        <f ca="1">OFFSET(③各部被害関数計算結果!$H$2,4+($A22-1)*4,0)</f>
        <v>0</v>
      </c>
      <c r="Y22" s="81" t="str">
        <f t="shared" si="8"/>
        <v/>
      </c>
      <c r="Z22" s="69">
        <f ca="1">OFFSET(③各部被害関数計算結果!$J$2,4+($A22-1)*4,0)</f>
        <v>0</v>
      </c>
    </row>
    <row r="23" spans="1:26" x14ac:dyDescent="0.15">
      <c r="A23">
        <v>10</v>
      </c>
      <c r="B23" s="49">
        <f>①簡易状況入力!B14</f>
        <v>0</v>
      </c>
      <c r="C23" s="33" t="s">
        <v>76</v>
      </c>
      <c r="D23" s="4" t="str">
        <f>IF($B23="●",①簡易状況入力!D14,"")</f>
        <v/>
      </c>
      <c r="E23" s="80" t="str">
        <f>IF($B23="●",①簡易状況入力!R14,"")</f>
        <v/>
      </c>
      <c r="F23" s="80" t="str">
        <f>IF($B23="●",①簡易状況入力!S14,"")</f>
        <v/>
      </c>
      <c r="G23" s="81" t="str">
        <f>IF($B23="●",①簡易状況入力!H14,"")</f>
        <v/>
      </c>
      <c r="H23" s="81" t="str">
        <f t="shared" si="0"/>
        <v/>
      </c>
      <c r="I23" s="69">
        <f ca="1">OFFSET(③各部被害関数計算結果!$H$2,1+($A23-1)*4,0)</f>
        <v>0</v>
      </c>
      <c r="J23" s="81" t="str">
        <f t="shared" si="1"/>
        <v/>
      </c>
      <c r="K23" s="69">
        <f ca="1">OFFSET(③各部被害関数計算結果!$J$2,1+($A23-1)*4,0)</f>
        <v>0</v>
      </c>
      <c r="L23" s="81" t="str">
        <f>IF($B23="●",①簡易状況入力!I14,"")</f>
        <v/>
      </c>
      <c r="M23" s="81" t="str">
        <f t="shared" si="2"/>
        <v/>
      </c>
      <c r="N23" s="69">
        <f ca="1">OFFSET(③各部被害関数計算結果!$H$2,2+($A23-1)*4,0)</f>
        <v>0</v>
      </c>
      <c r="O23" s="81" t="str">
        <f t="shared" si="3"/>
        <v/>
      </c>
      <c r="P23" s="69">
        <f ca="1">OFFSET(③各部被害関数計算結果!$J$2,2+($A23-1)*4,0)</f>
        <v>0</v>
      </c>
      <c r="Q23" s="81" t="str">
        <f>IF($B23="●",①簡易状況入力!J14,"")</f>
        <v/>
      </c>
      <c r="R23" s="81" t="str">
        <f t="shared" si="4"/>
        <v/>
      </c>
      <c r="S23" s="69">
        <f ca="1">OFFSET(③各部被害関数計算結果!$H$2,3+($A23-1)*4,0)</f>
        <v>0</v>
      </c>
      <c r="T23" s="81" t="str">
        <f t="shared" si="5"/>
        <v/>
      </c>
      <c r="U23" s="69">
        <f ca="1">OFFSET(③各部被害関数計算結果!$J$2,3+($A23-1)*4,0)</f>
        <v>0</v>
      </c>
      <c r="V23" s="81" t="str">
        <f t="shared" si="6"/>
        <v/>
      </c>
      <c r="W23" s="81" t="str">
        <f t="shared" si="7"/>
        <v/>
      </c>
      <c r="X23" s="69">
        <f ca="1">OFFSET(③各部被害関数計算結果!$H$2,4+($A23-1)*4,0)</f>
        <v>0</v>
      </c>
      <c r="Y23" s="81" t="str">
        <f t="shared" si="8"/>
        <v/>
      </c>
      <c r="Z23" s="69">
        <f ca="1">OFFSET(③各部被害関数計算結果!$J$2,4+($A23-1)*4,0)</f>
        <v>0</v>
      </c>
    </row>
    <row r="24" spans="1:26" x14ac:dyDescent="0.15">
      <c r="A24">
        <v>11</v>
      </c>
      <c r="B24" s="49">
        <f>①簡易状況入力!B15</f>
        <v>0</v>
      </c>
      <c r="C24" s="33" t="s">
        <v>77</v>
      </c>
      <c r="D24" s="4" t="str">
        <f>IF($B24="●",①簡易状況入力!D15,"")</f>
        <v/>
      </c>
      <c r="E24" s="80" t="str">
        <f>IF($B24="●",①簡易状況入力!R15,"")</f>
        <v/>
      </c>
      <c r="F24" s="80" t="str">
        <f>IF($B24="●",①簡易状況入力!S15,"")</f>
        <v/>
      </c>
      <c r="G24" s="81" t="str">
        <f>IF($B24="●",①簡易状況入力!H15,"")</f>
        <v/>
      </c>
      <c r="H24" s="81" t="str">
        <f t="shared" si="0"/>
        <v/>
      </c>
      <c r="I24" s="69">
        <f ca="1">OFFSET(③各部被害関数計算結果!$H$2,1+($A24-1)*4,0)</f>
        <v>0</v>
      </c>
      <c r="J24" s="81" t="str">
        <f t="shared" si="1"/>
        <v/>
      </c>
      <c r="K24" s="69">
        <f ca="1">OFFSET(③各部被害関数計算結果!$J$2,1+($A24-1)*4,0)</f>
        <v>0</v>
      </c>
      <c r="L24" s="81" t="str">
        <f>IF($B24="●",①簡易状況入力!I15,"")</f>
        <v/>
      </c>
      <c r="M24" s="81" t="str">
        <f t="shared" si="2"/>
        <v/>
      </c>
      <c r="N24" s="69">
        <f ca="1">OFFSET(③各部被害関数計算結果!$H$2,2+($A24-1)*4,0)</f>
        <v>0</v>
      </c>
      <c r="O24" s="81" t="str">
        <f t="shared" si="3"/>
        <v/>
      </c>
      <c r="P24" s="69">
        <f ca="1">OFFSET(③各部被害関数計算結果!$J$2,2+($A24-1)*4,0)</f>
        <v>0</v>
      </c>
      <c r="Q24" s="81" t="str">
        <f>IF($B24="●",①簡易状況入力!J15,"")</f>
        <v/>
      </c>
      <c r="R24" s="81" t="str">
        <f t="shared" si="4"/>
        <v/>
      </c>
      <c r="S24" s="69">
        <f ca="1">OFFSET(③各部被害関数計算結果!$H$2,3+($A24-1)*4,0)</f>
        <v>0</v>
      </c>
      <c r="T24" s="81" t="str">
        <f t="shared" si="5"/>
        <v/>
      </c>
      <c r="U24" s="69">
        <f ca="1">OFFSET(③各部被害関数計算結果!$J$2,3+($A24-1)*4,0)</f>
        <v>0</v>
      </c>
      <c r="V24" s="81" t="str">
        <f t="shared" si="6"/>
        <v/>
      </c>
      <c r="W24" s="81" t="str">
        <f t="shared" si="7"/>
        <v/>
      </c>
      <c r="X24" s="69">
        <f ca="1">OFFSET(③各部被害関数計算結果!$H$2,4+($A24-1)*4,0)</f>
        <v>0</v>
      </c>
      <c r="Y24" s="81" t="str">
        <f t="shared" si="8"/>
        <v/>
      </c>
      <c r="Z24" s="69">
        <f ca="1">OFFSET(③各部被害関数計算結果!$J$2,4+($A24-1)*4,0)</f>
        <v>0</v>
      </c>
    </row>
    <row r="25" spans="1:26" x14ac:dyDescent="0.15">
      <c r="A25">
        <v>12</v>
      </c>
      <c r="B25" s="49">
        <f>①簡易状況入力!B16</f>
        <v>0</v>
      </c>
      <c r="C25" s="33" t="s">
        <v>78</v>
      </c>
      <c r="D25" s="4" t="str">
        <f>IF($B25="●",①簡易状況入力!D16,"")</f>
        <v/>
      </c>
      <c r="E25" s="80" t="str">
        <f>IF($B25="●",①簡易状況入力!R16,"")</f>
        <v/>
      </c>
      <c r="F25" s="80" t="str">
        <f>IF($B25="●",①簡易状況入力!S16,"")</f>
        <v/>
      </c>
      <c r="G25" s="81" t="str">
        <f>IF($B25="●",①簡易状況入力!H16,"")</f>
        <v/>
      </c>
      <c r="H25" s="81" t="str">
        <f t="shared" si="0"/>
        <v/>
      </c>
      <c r="I25" s="69">
        <f ca="1">OFFSET(③各部被害関数計算結果!$H$2,1+($A25-1)*4,0)</f>
        <v>0</v>
      </c>
      <c r="J25" s="81" t="str">
        <f t="shared" si="1"/>
        <v/>
      </c>
      <c r="K25" s="69">
        <f ca="1">OFFSET(③各部被害関数計算結果!$J$2,1+($A25-1)*4,0)</f>
        <v>0</v>
      </c>
      <c r="L25" s="81" t="str">
        <f>IF($B25="●",①簡易状況入力!I16,"")</f>
        <v/>
      </c>
      <c r="M25" s="81" t="str">
        <f t="shared" si="2"/>
        <v/>
      </c>
      <c r="N25" s="69">
        <f ca="1">OFFSET(③各部被害関数計算結果!$H$2,2+($A25-1)*4,0)</f>
        <v>0</v>
      </c>
      <c r="O25" s="81" t="str">
        <f t="shared" si="3"/>
        <v/>
      </c>
      <c r="P25" s="69">
        <f ca="1">OFFSET(③各部被害関数計算結果!$J$2,2+($A25-1)*4,0)</f>
        <v>0</v>
      </c>
      <c r="Q25" s="81" t="str">
        <f>IF($B25="●",①簡易状況入力!J16,"")</f>
        <v/>
      </c>
      <c r="R25" s="81" t="str">
        <f t="shared" si="4"/>
        <v/>
      </c>
      <c r="S25" s="69">
        <f ca="1">OFFSET(③各部被害関数計算結果!$H$2,3+($A25-1)*4,0)</f>
        <v>0</v>
      </c>
      <c r="T25" s="81" t="str">
        <f t="shared" si="5"/>
        <v/>
      </c>
      <c r="U25" s="69">
        <f ca="1">OFFSET(③各部被害関数計算結果!$J$2,3+($A25-1)*4,0)</f>
        <v>0</v>
      </c>
      <c r="V25" s="81" t="str">
        <f t="shared" si="6"/>
        <v/>
      </c>
      <c r="W25" s="81" t="str">
        <f t="shared" si="7"/>
        <v/>
      </c>
      <c r="X25" s="69">
        <f ca="1">OFFSET(③各部被害関数計算結果!$H$2,4+($A25-1)*4,0)</f>
        <v>0</v>
      </c>
      <c r="Y25" s="81" t="str">
        <f t="shared" si="8"/>
        <v/>
      </c>
      <c r="Z25" s="69">
        <f ca="1">OFFSET(③各部被害関数計算結果!$J$2,4+($A25-1)*4,0)</f>
        <v>0</v>
      </c>
    </row>
    <row r="26" spans="1:26" x14ac:dyDescent="0.15">
      <c r="A26">
        <v>13</v>
      </c>
      <c r="B26" s="49">
        <f>①簡易状況入力!B17</f>
        <v>0</v>
      </c>
      <c r="C26" s="33" t="s">
        <v>79</v>
      </c>
      <c r="D26" s="4" t="str">
        <f>IF($B26="●",①簡易状況入力!D17,"")</f>
        <v/>
      </c>
      <c r="E26" s="80" t="str">
        <f>IF($B26="●",①簡易状況入力!R17,"")</f>
        <v/>
      </c>
      <c r="F26" s="80" t="str">
        <f>IF($B26="●",①簡易状況入力!S17,"")</f>
        <v/>
      </c>
      <c r="G26" s="81" t="str">
        <f>IF($B26="●",①簡易状況入力!H17,"")</f>
        <v/>
      </c>
      <c r="H26" s="81" t="str">
        <f t="shared" si="0"/>
        <v/>
      </c>
      <c r="I26" s="69">
        <f ca="1">OFFSET(③各部被害関数計算結果!$H$2,1+($A26-1)*4,0)</f>
        <v>0</v>
      </c>
      <c r="J26" s="81" t="str">
        <f t="shared" si="1"/>
        <v/>
      </c>
      <c r="K26" s="69">
        <f ca="1">OFFSET(③各部被害関数計算結果!$J$2,1+($A26-1)*4,0)</f>
        <v>0</v>
      </c>
      <c r="L26" s="81" t="str">
        <f>IF($B26="●",①簡易状況入力!I17,"")</f>
        <v/>
      </c>
      <c r="M26" s="81" t="str">
        <f t="shared" si="2"/>
        <v/>
      </c>
      <c r="N26" s="69">
        <f ca="1">OFFSET(③各部被害関数計算結果!$H$2,2+($A26-1)*4,0)</f>
        <v>0</v>
      </c>
      <c r="O26" s="81" t="str">
        <f t="shared" si="3"/>
        <v/>
      </c>
      <c r="P26" s="69">
        <f ca="1">OFFSET(③各部被害関数計算結果!$J$2,2+($A26-1)*4,0)</f>
        <v>0</v>
      </c>
      <c r="Q26" s="81" t="str">
        <f>IF($B26="●",①簡易状況入力!J17,"")</f>
        <v/>
      </c>
      <c r="R26" s="81" t="str">
        <f t="shared" si="4"/>
        <v/>
      </c>
      <c r="S26" s="69">
        <f ca="1">OFFSET(③各部被害関数計算結果!$H$2,3+($A26-1)*4,0)</f>
        <v>0</v>
      </c>
      <c r="T26" s="81" t="str">
        <f t="shared" si="5"/>
        <v/>
      </c>
      <c r="U26" s="69">
        <f ca="1">OFFSET(③各部被害関数計算結果!$J$2,3+($A26-1)*4,0)</f>
        <v>0</v>
      </c>
      <c r="V26" s="81" t="str">
        <f t="shared" si="6"/>
        <v/>
      </c>
      <c r="W26" s="81" t="str">
        <f t="shared" si="7"/>
        <v/>
      </c>
      <c r="X26" s="69">
        <f ca="1">OFFSET(③各部被害関数計算結果!$H$2,4+($A26-1)*4,0)</f>
        <v>0</v>
      </c>
      <c r="Y26" s="81" t="str">
        <f t="shared" si="8"/>
        <v/>
      </c>
      <c r="Z26" s="69">
        <f ca="1">OFFSET(③各部被害関数計算結果!$J$2,4+($A26-1)*4,0)</f>
        <v>0</v>
      </c>
    </row>
    <row r="27" spans="1:26" x14ac:dyDescent="0.15">
      <c r="A27">
        <v>14</v>
      </c>
      <c r="B27" s="49">
        <f>①簡易状況入力!B18</f>
        <v>0</v>
      </c>
      <c r="C27" s="33" t="s">
        <v>80</v>
      </c>
      <c r="D27" s="4" t="str">
        <f>IF($B27="●",①簡易状況入力!D18,"")</f>
        <v/>
      </c>
      <c r="E27" s="80" t="str">
        <f>IF($B27="●",①簡易状況入力!R18,"")</f>
        <v/>
      </c>
      <c r="F27" s="80" t="str">
        <f>IF($B27="●",①簡易状況入力!S18,"")</f>
        <v/>
      </c>
      <c r="G27" s="81" t="str">
        <f>IF($B27="●",①簡易状況入力!H18,"")</f>
        <v/>
      </c>
      <c r="H27" s="81" t="str">
        <f t="shared" si="0"/>
        <v/>
      </c>
      <c r="I27" s="69">
        <f ca="1">OFFSET(③各部被害関数計算結果!$H$2,1+($A27-1)*4,0)</f>
        <v>0</v>
      </c>
      <c r="J27" s="81" t="str">
        <f t="shared" si="1"/>
        <v/>
      </c>
      <c r="K27" s="69">
        <f ca="1">OFFSET(③各部被害関数計算結果!$J$2,1+($A27-1)*4,0)</f>
        <v>0</v>
      </c>
      <c r="L27" s="81" t="str">
        <f>IF($B27="●",①簡易状況入力!I18,"")</f>
        <v/>
      </c>
      <c r="M27" s="81" t="str">
        <f t="shared" si="2"/>
        <v/>
      </c>
      <c r="N27" s="69">
        <f ca="1">OFFSET(③各部被害関数計算結果!$H$2,2+($A27-1)*4,0)</f>
        <v>0</v>
      </c>
      <c r="O27" s="81" t="str">
        <f t="shared" si="3"/>
        <v/>
      </c>
      <c r="P27" s="69">
        <f ca="1">OFFSET(③各部被害関数計算結果!$J$2,2+($A27-1)*4,0)</f>
        <v>0</v>
      </c>
      <c r="Q27" s="81" t="str">
        <f>IF($B27="●",①簡易状況入力!J18,"")</f>
        <v/>
      </c>
      <c r="R27" s="81" t="str">
        <f t="shared" si="4"/>
        <v/>
      </c>
      <c r="S27" s="69">
        <f ca="1">OFFSET(③各部被害関数計算結果!$H$2,3+($A27-1)*4,0)</f>
        <v>0</v>
      </c>
      <c r="T27" s="81" t="str">
        <f t="shared" si="5"/>
        <v/>
      </c>
      <c r="U27" s="69">
        <f ca="1">OFFSET(③各部被害関数計算結果!$J$2,3+($A27-1)*4,0)</f>
        <v>0</v>
      </c>
      <c r="V27" s="81" t="str">
        <f t="shared" si="6"/>
        <v/>
      </c>
      <c r="W27" s="81" t="str">
        <f t="shared" si="7"/>
        <v/>
      </c>
      <c r="X27" s="69">
        <f ca="1">OFFSET(③各部被害関数計算結果!$H$2,4+($A27-1)*4,0)</f>
        <v>0</v>
      </c>
      <c r="Y27" s="81" t="str">
        <f t="shared" si="8"/>
        <v/>
      </c>
      <c r="Z27" s="69">
        <f ca="1">OFFSET(③各部被害関数計算結果!$J$2,4+($A27-1)*4,0)</f>
        <v>0</v>
      </c>
    </row>
    <row r="28" spans="1:26" x14ac:dyDescent="0.15">
      <c r="A28">
        <v>15</v>
      </c>
      <c r="B28" s="49">
        <f>①簡易状況入力!B19</f>
        <v>0</v>
      </c>
      <c r="C28" s="33" t="s">
        <v>121</v>
      </c>
      <c r="D28" s="4" t="str">
        <f>IF($B28="●",①簡易状況入力!D19,"")</f>
        <v/>
      </c>
      <c r="E28" s="80" t="str">
        <f>IF($B28="●",①簡易状況入力!R19,"")</f>
        <v/>
      </c>
      <c r="F28" s="80" t="str">
        <f>IF($B28="●",①簡易状況入力!S19,"")</f>
        <v/>
      </c>
      <c r="G28" s="81" t="str">
        <f>IF($B28="●",①簡易状況入力!H19,"")</f>
        <v/>
      </c>
      <c r="H28" s="81" t="str">
        <f t="shared" si="0"/>
        <v/>
      </c>
      <c r="I28" s="69">
        <f ca="1">OFFSET(③各部被害関数計算結果!$H$2,1+($A28-1)*4,0)</f>
        <v>0</v>
      </c>
      <c r="J28" s="81" t="str">
        <f t="shared" si="1"/>
        <v/>
      </c>
      <c r="K28" s="69">
        <f ca="1">OFFSET(③各部被害関数計算結果!$J$2,1+($A28-1)*4,0)</f>
        <v>0</v>
      </c>
      <c r="L28" s="81" t="str">
        <f>IF($B28="●",①簡易状況入力!I19,"")</f>
        <v/>
      </c>
      <c r="M28" s="81" t="str">
        <f t="shared" si="2"/>
        <v/>
      </c>
      <c r="N28" s="69">
        <f ca="1">OFFSET(③各部被害関数計算結果!$H$2,2+($A28-1)*4,0)</f>
        <v>0</v>
      </c>
      <c r="O28" s="81" t="str">
        <f t="shared" si="3"/>
        <v/>
      </c>
      <c r="P28" s="69">
        <f ca="1">OFFSET(③各部被害関数計算結果!$J$2,2+($A28-1)*4,0)</f>
        <v>0</v>
      </c>
      <c r="Q28" s="81" t="str">
        <f>IF($B28="●",①簡易状況入力!J19,"")</f>
        <v/>
      </c>
      <c r="R28" s="81" t="str">
        <f t="shared" si="4"/>
        <v/>
      </c>
      <c r="S28" s="69">
        <f ca="1">OFFSET(③各部被害関数計算結果!$H$2,3+($A28-1)*4,0)</f>
        <v>0</v>
      </c>
      <c r="T28" s="81" t="str">
        <f t="shared" si="5"/>
        <v/>
      </c>
      <c r="U28" s="69">
        <f ca="1">OFFSET(③各部被害関数計算結果!$J$2,3+($A28-1)*4,0)</f>
        <v>0</v>
      </c>
      <c r="V28" s="81" t="str">
        <f t="shared" si="6"/>
        <v/>
      </c>
      <c r="W28" s="81" t="str">
        <f t="shared" si="7"/>
        <v/>
      </c>
      <c r="X28" s="69">
        <f ca="1">OFFSET(③各部被害関数計算結果!$H$2,4+($A28-1)*4,0)</f>
        <v>0</v>
      </c>
      <c r="Y28" s="81" t="str">
        <f t="shared" si="8"/>
        <v/>
      </c>
      <c r="Z28" s="69">
        <f ca="1">OFFSET(③各部被害関数計算結果!$J$2,4+($A28-1)*4,0)</f>
        <v>0</v>
      </c>
    </row>
    <row r="29" spans="1:26" x14ac:dyDescent="0.15">
      <c r="A29">
        <v>16</v>
      </c>
      <c r="B29" s="49">
        <f>①簡易状況入力!B20</f>
        <v>0</v>
      </c>
      <c r="C29" s="33" t="s">
        <v>123</v>
      </c>
      <c r="D29" s="4" t="str">
        <f>IF($B29="●",①簡易状況入力!D20,"")</f>
        <v/>
      </c>
      <c r="E29" s="80" t="str">
        <f>IF($B29="●",①簡易状況入力!R20,"")</f>
        <v/>
      </c>
      <c r="F29" s="80" t="str">
        <f>IF($B29="●",①簡易状況入力!S20,"")</f>
        <v/>
      </c>
      <c r="G29" s="81" t="str">
        <f>IF($B29="●",①簡易状況入力!H20,"")</f>
        <v/>
      </c>
      <c r="H29" s="81" t="str">
        <f t="shared" si="0"/>
        <v/>
      </c>
      <c r="I29" s="69">
        <f ca="1">OFFSET(③各部被害関数計算結果!$H$2,1+($A29-1)*4,0)</f>
        <v>0</v>
      </c>
      <c r="J29" s="81" t="str">
        <f t="shared" si="1"/>
        <v/>
      </c>
      <c r="K29" s="69">
        <f ca="1">OFFSET(③各部被害関数計算結果!$J$2,1+($A29-1)*4,0)</f>
        <v>0</v>
      </c>
      <c r="L29" s="81" t="str">
        <f>IF($B29="●",①簡易状況入力!I20,"")</f>
        <v/>
      </c>
      <c r="M29" s="81" t="str">
        <f t="shared" si="2"/>
        <v/>
      </c>
      <c r="N29" s="69">
        <f ca="1">OFFSET(③各部被害関数計算結果!$H$2,2+($A29-1)*4,0)</f>
        <v>0</v>
      </c>
      <c r="O29" s="81" t="str">
        <f t="shared" si="3"/>
        <v/>
      </c>
      <c r="P29" s="69">
        <f ca="1">OFFSET(③各部被害関数計算結果!$J$2,2+($A29-1)*4,0)</f>
        <v>0</v>
      </c>
      <c r="Q29" s="81" t="str">
        <f>IF($B29="●",①簡易状況入力!J20,"")</f>
        <v/>
      </c>
      <c r="R29" s="81" t="str">
        <f t="shared" si="4"/>
        <v/>
      </c>
      <c r="S29" s="69">
        <f ca="1">OFFSET(③各部被害関数計算結果!$H$2,3+($A29-1)*4,0)</f>
        <v>0</v>
      </c>
      <c r="T29" s="81" t="str">
        <f t="shared" si="5"/>
        <v/>
      </c>
      <c r="U29" s="69">
        <f ca="1">OFFSET(③各部被害関数計算結果!$J$2,3+($A29-1)*4,0)</f>
        <v>0</v>
      </c>
      <c r="V29" s="81" t="str">
        <f t="shared" si="6"/>
        <v/>
      </c>
      <c r="W29" s="81" t="str">
        <f t="shared" si="7"/>
        <v/>
      </c>
      <c r="X29" s="69">
        <f ca="1">OFFSET(③各部被害関数計算結果!$H$2,4+($A29-1)*4,0)</f>
        <v>0</v>
      </c>
      <c r="Y29" s="81" t="str">
        <f t="shared" si="8"/>
        <v/>
      </c>
      <c r="Z29" s="69">
        <f ca="1">OFFSET(③各部被害関数計算結果!$J$2,4+($A29-1)*4,0)</f>
        <v>0</v>
      </c>
    </row>
    <row r="30" spans="1:26" x14ac:dyDescent="0.15">
      <c r="A30">
        <v>17</v>
      </c>
      <c r="B30" s="49">
        <f>①簡易状況入力!B21</f>
        <v>0</v>
      </c>
      <c r="C30" s="33" t="s">
        <v>124</v>
      </c>
      <c r="D30" s="4" t="str">
        <f>IF($B30="●",①簡易状況入力!D21,"")</f>
        <v/>
      </c>
      <c r="E30" s="80" t="str">
        <f>IF($B30="●",①簡易状況入力!R21,"")</f>
        <v/>
      </c>
      <c r="F30" s="80" t="str">
        <f>IF($B30="●",①簡易状況入力!S21,"")</f>
        <v/>
      </c>
      <c r="G30" s="81" t="str">
        <f>IF($B30="●",①簡易状況入力!H21,"")</f>
        <v/>
      </c>
      <c r="H30" s="81" t="str">
        <f t="shared" si="0"/>
        <v/>
      </c>
      <c r="I30" s="69">
        <f ca="1">OFFSET(③各部被害関数計算結果!$H$2,1+($A30-1)*4,0)</f>
        <v>0</v>
      </c>
      <c r="J30" s="81" t="str">
        <f t="shared" si="1"/>
        <v/>
      </c>
      <c r="K30" s="69">
        <f ca="1">OFFSET(③各部被害関数計算結果!$J$2,1+($A30-1)*4,0)</f>
        <v>0</v>
      </c>
      <c r="L30" s="81" t="str">
        <f>IF($B30="●",①簡易状況入力!I21,"")</f>
        <v/>
      </c>
      <c r="M30" s="81" t="str">
        <f t="shared" si="2"/>
        <v/>
      </c>
      <c r="N30" s="69">
        <f ca="1">OFFSET(③各部被害関数計算結果!$H$2,2+($A30-1)*4,0)</f>
        <v>0</v>
      </c>
      <c r="O30" s="81" t="str">
        <f t="shared" si="3"/>
        <v/>
      </c>
      <c r="P30" s="69">
        <f ca="1">OFFSET(③各部被害関数計算結果!$J$2,2+($A30-1)*4,0)</f>
        <v>0</v>
      </c>
      <c r="Q30" s="81" t="str">
        <f>IF($B30="●",①簡易状況入力!J21,"")</f>
        <v/>
      </c>
      <c r="R30" s="81" t="str">
        <f t="shared" si="4"/>
        <v/>
      </c>
      <c r="S30" s="69">
        <f ca="1">OFFSET(③各部被害関数計算結果!$H$2,3+($A30-1)*4,0)</f>
        <v>0</v>
      </c>
      <c r="T30" s="81" t="str">
        <f t="shared" si="5"/>
        <v/>
      </c>
      <c r="U30" s="69">
        <f ca="1">OFFSET(③各部被害関数計算結果!$J$2,3+($A30-1)*4,0)</f>
        <v>0</v>
      </c>
      <c r="V30" s="81" t="str">
        <f t="shared" si="6"/>
        <v/>
      </c>
      <c r="W30" s="81" t="str">
        <f t="shared" si="7"/>
        <v/>
      </c>
      <c r="X30" s="69">
        <f ca="1">OFFSET(③各部被害関数計算結果!$H$2,4+($A30-1)*4,0)</f>
        <v>0</v>
      </c>
      <c r="Y30" s="81" t="str">
        <f t="shared" si="8"/>
        <v/>
      </c>
      <c r="Z30" s="69">
        <f ca="1">OFFSET(③各部被害関数計算結果!$J$2,4+($A30-1)*4,0)</f>
        <v>0</v>
      </c>
    </row>
    <row r="31" spans="1:26" x14ac:dyDescent="0.15">
      <c r="A31">
        <v>18</v>
      </c>
      <c r="B31" s="49">
        <f>①簡易状況入力!B22</f>
        <v>0</v>
      </c>
      <c r="C31" s="33" t="s">
        <v>125</v>
      </c>
      <c r="D31" s="4" t="str">
        <f>IF($B31="●",①簡易状況入力!D22,"")</f>
        <v/>
      </c>
      <c r="E31" s="80" t="str">
        <f>IF($B31="●",①簡易状況入力!R22,"")</f>
        <v/>
      </c>
      <c r="F31" s="80" t="str">
        <f>IF($B31="●",①簡易状況入力!S22,"")</f>
        <v/>
      </c>
      <c r="G31" s="81" t="str">
        <f>IF($B31="●",①簡易状況入力!H22,"")</f>
        <v/>
      </c>
      <c r="H31" s="81" t="str">
        <f t="shared" si="0"/>
        <v/>
      </c>
      <c r="I31" s="69">
        <f ca="1">OFFSET(③各部被害関数計算結果!$H$2,1+($A31-1)*4,0)</f>
        <v>0</v>
      </c>
      <c r="J31" s="81" t="str">
        <f t="shared" si="1"/>
        <v/>
      </c>
      <c r="K31" s="69">
        <f ca="1">OFFSET(③各部被害関数計算結果!$J$2,1+($A31-1)*4,0)</f>
        <v>0</v>
      </c>
      <c r="L31" s="81" t="str">
        <f>IF($B31="●",①簡易状況入力!I22,"")</f>
        <v/>
      </c>
      <c r="M31" s="81" t="str">
        <f t="shared" si="2"/>
        <v/>
      </c>
      <c r="N31" s="69">
        <f ca="1">OFFSET(③各部被害関数計算結果!$H$2,2+($A31-1)*4,0)</f>
        <v>0</v>
      </c>
      <c r="O31" s="81" t="str">
        <f t="shared" si="3"/>
        <v/>
      </c>
      <c r="P31" s="69">
        <f ca="1">OFFSET(③各部被害関数計算結果!$J$2,2+($A31-1)*4,0)</f>
        <v>0</v>
      </c>
      <c r="Q31" s="81" t="str">
        <f>IF($B31="●",①簡易状況入力!J22,"")</f>
        <v/>
      </c>
      <c r="R31" s="81" t="str">
        <f t="shared" si="4"/>
        <v/>
      </c>
      <c r="S31" s="69">
        <f ca="1">OFFSET(③各部被害関数計算結果!$H$2,3+($A31-1)*4,0)</f>
        <v>0</v>
      </c>
      <c r="T31" s="81" t="str">
        <f t="shared" si="5"/>
        <v/>
      </c>
      <c r="U31" s="69">
        <f ca="1">OFFSET(③各部被害関数計算結果!$J$2,3+($A31-1)*4,0)</f>
        <v>0</v>
      </c>
      <c r="V31" s="81" t="str">
        <f t="shared" si="6"/>
        <v/>
      </c>
      <c r="W31" s="81" t="str">
        <f t="shared" si="7"/>
        <v/>
      </c>
      <c r="X31" s="69">
        <f ca="1">OFFSET(③各部被害関数計算結果!$H$2,4+($A31-1)*4,0)</f>
        <v>0</v>
      </c>
      <c r="Y31" s="81" t="str">
        <f t="shared" si="8"/>
        <v/>
      </c>
      <c r="Z31" s="69">
        <f ca="1">OFFSET(③各部被害関数計算結果!$J$2,4+($A31-1)*4,0)</f>
        <v>0</v>
      </c>
    </row>
    <row r="32" spans="1:26" x14ac:dyDescent="0.15">
      <c r="A32">
        <v>19</v>
      </c>
      <c r="B32" s="49">
        <f>①簡易状況入力!B23</f>
        <v>0</v>
      </c>
      <c r="C32" s="33" t="s">
        <v>126</v>
      </c>
      <c r="D32" s="4" t="str">
        <f>IF($B32="●",①簡易状況入力!D23,"")</f>
        <v/>
      </c>
      <c r="E32" s="80" t="str">
        <f>IF($B32="●",①簡易状況入力!R23,"")</f>
        <v/>
      </c>
      <c r="F32" s="80" t="str">
        <f>IF($B32="●",①簡易状況入力!S23,"")</f>
        <v/>
      </c>
      <c r="G32" s="81" t="str">
        <f>IF($B32="●",①簡易状況入力!H23,"")</f>
        <v/>
      </c>
      <c r="H32" s="81" t="str">
        <f t="shared" si="0"/>
        <v/>
      </c>
      <c r="I32" s="69">
        <f ca="1">OFFSET(③各部被害関数計算結果!$H$2,1+($A32-1)*4,0)</f>
        <v>0</v>
      </c>
      <c r="J32" s="81" t="str">
        <f t="shared" si="1"/>
        <v/>
      </c>
      <c r="K32" s="69">
        <f ca="1">OFFSET(③各部被害関数計算結果!$J$2,1+($A32-1)*4,0)</f>
        <v>0</v>
      </c>
      <c r="L32" s="81" t="str">
        <f>IF($B32="●",①簡易状況入力!I23,"")</f>
        <v/>
      </c>
      <c r="M32" s="81" t="str">
        <f t="shared" si="2"/>
        <v/>
      </c>
      <c r="N32" s="69">
        <f ca="1">OFFSET(③各部被害関数計算結果!$H$2,2+($A32-1)*4,0)</f>
        <v>0</v>
      </c>
      <c r="O32" s="81" t="str">
        <f t="shared" si="3"/>
        <v/>
      </c>
      <c r="P32" s="69">
        <f ca="1">OFFSET(③各部被害関数計算結果!$J$2,2+($A32-1)*4,0)</f>
        <v>0</v>
      </c>
      <c r="Q32" s="81" t="str">
        <f>IF($B32="●",①簡易状況入力!J23,"")</f>
        <v/>
      </c>
      <c r="R32" s="81" t="str">
        <f t="shared" si="4"/>
        <v/>
      </c>
      <c r="S32" s="69">
        <f ca="1">OFFSET(③各部被害関数計算結果!$H$2,3+($A32-1)*4,0)</f>
        <v>0</v>
      </c>
      <c r="T32" s="81" t="str">
        <f t="shared" si="5"/>
        <v/>
      </c>
      <c r="U32" s="69">
        <f ca="1">OFFSET(③各部被害関数計算結果!$J$2,3+($A32-1)*4,0)</f>
        <v>0</v>
      </c>
      <c r="V32" s="81" t="str">
        <f t="shared" si="6"/>
        <v/>
      </c>
      <c r="W32" s="81" t="str">
        <f t="shared" si="7"/>
        <v/>
      </c>
      <c r="X32" s="69">
        <f ca="1">OFFSET(③各部被害関数計算結果!$H$2,4+($A32-1)*4,0)</f>
        <v>0</v>
      </c>
      <c r="Y32" s="81" t="str">
        <f t="shared" si="8"/>
        <v/>
      </c>
      <c r="Z32" s="69">
        <f ca="1">OFFSET(③各部被害関数計算結果!$J$2,4+($A32-1)*4,0)</f>
        <v>0</v>
      </c>
    </row>
    <row r="33" spans="1:26" x14ac:dyDescent="0.15">
      <c r="A33">
        <v>20</v>
      </c>
      <c r="B33" s="49">
        <f>①簡易状況入力!B24</f>
        <v>0</v>
      </c>
      <c r="C33" s="33" t="s">
        <v>127</v>
      </c>
      <c r="D33" s="4" t="str">
        <f>IF($B33="●",①簡易状況入力!D24,"")</f>
        <v/>
      </c>
      <c r="E33" s="80" t="str">
        <f>IF($B33="●",①簡易状況入力!R24,"")</f>
        <v/>
      </c>
      <c r="F33" s="80" t="str">
        <f>IF($B33="●",①簡易状況入力!S24,"")</f>
        <v/>
      </c>
      <c r="G33" s="81" t="str">
        <f>IF($B33="●",①簡易状況入力!H24,"")</f>
        <v/>
      </c>
      <c r="H33" s="81" t="str">
        <f t="shared" si="0"/>
        <v/>
      </c>
      <c r="I33" s="69">
        <f ca="1">OFFSET(③各部被害関数計算結果!$H$2,1+($A33-1)*4,0)</f>
        <v>0</v>
      </c>
      <c r="J33" s="81" t="str">
        <f t="shared" si="1"/>
        <v/>
      </c>
      <c r="K33" s="69">
        <f ca="1">OFFSET(③各部被害関数計算結果!$J$2,1+($A33-1)*4,0)</f>
        <v>0</v>
      </c>
      <c r="L33" s="81" t="str">
        <f>IF($B33="●",①簡易状況入力!I24,"")</f>
        <v/>
      </c>
      <c r="M33" s="81" t="str">
        <f t="shared" si="2"/>
        <v/>
      </c>
      <c r="N33" s="69">
        <f ca="1">OFFSET(③各部被害関数計算結果!$H$2,2+($A33-1)*4,0)</f>
        <v>0</v>
      </c>
      <c r="O33" s="81" t="str">
        <f t="shared" si="3"/>
        <v/>
      </c>
      <c r="P33" s="69">
        <f ca="1">OFFSET(③各部被害関数計算結果!$J$2,2+($A33-1)*4,0)</f>
        <v>0</v>
      </c>
      <c r="Q33" s="81" t="str">
        <f>IF($B33="●",①簡易状況入力!J24,"")</f>
        <v/>
      </c>
      <c r="R33" s="81" t="str">
        <f t="shared" si="4"/>
        <v/>
      </c>
      <c r="S33" s="69">
        <f ca="1">OFFSET(③各部被害関数計算結果!$H$2,3+($A33-1)*4,0)</f>
        <v>0</v>
      </c>
      <c r="T33" s="81" t="str">
        <f t="shared" si="5"/>
        <v/>
      </c>
      <c r="U33" s="69">
        <f ca="1">OFFSET(③各部被害関数計算結果!$J$2,3+($A33-1)*4,0)</f>
        <v>0</v>
      </c>
      <c r="V33" s="81" t="str">
        <f t="shared" si="6"/>
        <v/>
      </c>
      <c r="W33" s="81" t="str">
        <f t="shared" si="7"/>
        <v/>
      </c>
      <c r="X33" s="69">
        <f ca="1">OFFSET(③各部被害関数計算結果!$H$2,4+($A33-1)*4,0)</f>
        <v>0</v>
      </c>
      <c r="Y33" s="81" t="str">
        <f t="shared" si="8"/>
        <v/>
      </c>
      <c r="Z33" s="69">
        <f ca="1">OFFSET(③各部被害関数計算結果!$J$2,4+($A33-1)*4,0)</f>
        <v>0</v>
      </c>
    </row>
    <row r="34" spans="1:26" x14ac:dyDescent="0.15">
      <c r="A34">
        <v>21</v>
      </c>
      <c r="B34" s="49">
        <f>①簡易状況入力!B25</f>
        <v>0</v>
      </c>
      <c r="C34" s="33" t="s">
        <v>256</v>
      </c>
      <c r="D34" s="147" t="str">
        <f>IF($B34="●",①簡易状況入力!D25,"")</f>
        <v/>
      </c>
      <c r="E34" s="80" t="str">
        <f>IF($B34="●",①簡易状況入力!R25,"")</f>
        <v/>
      </c>
      <c r="F34" s="80" t="str">
        <f>IF($B34="●",①簡易状況入力!S25,"")</f>
        <v/>
      </c>
      <c r="G34" s="81" t="str">
        <f>IF($B34="●",①簡易状況入力!H25,"")</f>
        <v/>
      </c>
      <c r="H34" s="81" t="str">
        <f t="shared" ref="H34:H97" si="9">IF($B34="●",I34*$G34,"")</f>
        <v/>
      </c>
      <c r="I34" s="69">
        <f ca="1">OFFSET(③各部被害関数計算結果!$H$2,1+($A34-1)*4,0)</f>
        <v>0</v>
      </c>
      <c r="J34" s="81" t="str">
        <f t="shared" ref="J34:J97" si="10">IF($B34="●",K34*$G34,"")</f>
        <v/>
      </c>
      <c r="K34" s="69">
        <f ca="1">OFFSET(③各部被害関数計算結果!$J$2,1+($A34-1)*4,0)</f>
        <v>0</v>
      </c>
      <c r="L34" s="81" t="str">
        <f>IF($B34="●",①簡易状況入力!I25,"")</f>
        <v/>
      </c>
      <c r="M34" s="81" t="str">
        <f t="shared" ref="M34:M97" si="11">IF($B34="●",N34*$L34,"")</f>
        <v/>
      </c>
      <c r="N34" s="69">
        <f ca="1">OFFSET(③各部被害関数計算結果!$H$2,2+($A34-1)*4,0)</f>
        <v>0</v>
      </c>
      <c r="O34" s="81" t="str">
        <f t="shared" ref="O34:O97" si="12">IF($B34="●",P34*$L34,"")</f>
        <v/>
      </c>
      <c r="P34" s="69">
        <f ca="1">OFFSET(③各部被害関数計算結果!$J$2,2+($A34-1)*4,0)</f>
        <v>0</v>
      </c>
      <c r="Q34" s="81" t="str">
        <f>IF($B34="●",①簡易状況入力!J25,"")</f>
        <v/>
      </c>
      <c r="R34" s="81" t="str">
        <f t="shared" ref="R34:R97" si="13">IF($B34="●",S34*$Q34,"")</f>
        <v/>
      </c>
      <c r="S34" s="69">
        <f ca="1">OFFSET(③各部被害関数計算結果!$H$2,3+($A34-1)*4,0)</f>
        <v>0</v>
      </c>
      <c r="T34" s="81" t="str">
        <f t="shared" ref="T34:T97" si="14">IF($B34="●",U34*$Q34,"")</f>
        <v/>
      </c>
      <c r="U34" s="69">
        <f ca="1">OFFSET(③各部被害関数計算結果!$J$2,3+($A34-1)*4,0)</f>
        <v>0</v>
      </c>
      <c r="V34" s="81" t="str">
        <f t="shared" ref="V34:V97" si="15">IF(B34="●",Q34+L34+G34,"")</f>
        <v/>
      </c>
      <c r="W34" s="81" t="str">
        <f t="shared" ref="W34:W97" si="16">IF($B34="●",X34*$V34,"")</f>
        <v/>
      </c>
      <c r="X34" s="69">
        <f ca="1">OFFSET(③各部被害関数計算結果!$H$2,4+($A34-1)*4,0)</f>
        <v>0</v>
      </c>
      <c r="Y34" s="81" t="str">
        <f t="shared" ref="Y34:Y97" si="17">IF($B34="●",Z34*$V34,"")</f>
        <v/>
      </c>
      <c r="Z34" s="69">
        <f ca="1">OFFSET(③各部被害関数計算結果!$J$2,4+($A34-1)*4,0)</f>
        <v>0</v>
      </c>
    </row>
    <row r="35" spans="1:26" x14ac:dyDescent="0.15">
      <c r="A35">
        <v>22</v>
      </c>
      <c r="B35" s="49">
        <f>①簡易状況入力!B26</f>
        <v>0</v>
      </c>
      <c r="C35" s="33" t="s">
        <v>257</v>
      </c>
      <c r="D35" s="147" t="str">
        <f>IF($B35="●",①簡易状況入力!D26,"")</f>
        <v/>
      </c>
      <c r="E35" s="80" t="str">
        <f>IF($B35="●",①簡易状況入力!R26,"")</f>
        <v/>
      </c>
      <c r="F35" s="80" t="str">
        <f>IF($B35="●",①簡易状況入力!S26,"")</f>
        <v/>
      </c>
      <c r="G35" s="81" t="str">
        <f>IF($B35="●",①簡易状況入力!H26,"")</f>
        <v/>
      </c>
      <c r="H35" s="81" t="str">
        <f t="shared" si="9"/>
        <v/>
      </c>
      <c r="I35" s="69">
        <f ca="1">OFFSET(③各部被害関数計算結果!$H$2,1+($A35-1)*4,0)</f>
        <v>0</v>
      </c>
      <c r="J35" s="81" t="str">
        <f t="shared" si="10"/>
        <v/>
      </c>
      <c r="K35" s="69">
        <f ca="1">OFFSET(③各部被害関数計算結果!$J$2,1+($A35-1)*4,0)</f>
        <v>0</v>
      </c>
      <c r="L35" s="81" t="str">
        <f>IF($B35="●",①簡易状況入力!I26,"")</f>
        <v/>
      </c>
      <c r="M35" s="81" t="str">
        <f t="shared" si="11"/>
        <v/>
      </c>
      <c r="N35" s="69">
        <f ca="1">OFFSET(③各部被害関数計算結果!$H$2,2+($A35-1)*4,0)</f>
        <v>0</v>
      </c>
      <c r="O35" s="81" t="str">
        <f t="shared" si="12"/>
        <v/>
      </c>
      <c r="P35" s="69">
        <f ca="1">OFFSET(③各部被害関数計算結果!$J$2,2+($A35-1)*4,0)</f>
        <v>0</v>
      </c>
      <c r="Q35" s="81" t="str">
        <f>IF($B35="●",①簡易状況入力!J26,"")</f>
        <v/>
      </c>
      <c r="R35" s="81" t="str">
        <f t="shared" si="13"/>
        <v/>
      </c>
      <c r="S35" s="69">
        <f ca="1">OFFSET(③各部被害関数計算結果!$H$2,3+($A35-1)*4,0)</f>
        <v>0</v>
      </c>
      <c r="T35" s="81" t="str">
        <f t="shared" si="14"/>
        <v/>
      </c>
      <c r="U35" s="69">
        <f ca="1">OFFSET(③各部被害関数計算結果!$J$2,3+($A35-1)*4,0)</f>
        <v>0</v>
      </c>
      <c r="V35" s="81" t="str">
        <f t="shared" si="15"/>
        <v/>
      </c>
      <c r="W35" s="81" t="str">
        <f t="shared" si="16"/>
        <v/>
      </c>
      <c r="X35" s="69">
        <f ca="1">OFFSET(③各部被害関数計算結果!$H$2,4+($A35-1)*4,0)</f>
        <v>0</v>
      </c>
      <c r="Y35" s="81" t="str">
        <f t="shared" si="17"/>
        <v/>
      </c>
      <c r="Z35" s="69">
        <f ca="1">OFFSET(③各部被害関数計算結果!$J$2,4+($A35-1)*4,0)</f>
        <v>0</v>
      </c>
    </row>
    <row r="36" spans="1:26" x14ac:dyDescent="0.15">
      <c r="A36">
        <v>23</v>
      </c>
      <c r="B36" s="49">
        <f>①簡易状況入力!B27</f>
        <v>0</v>
      </c>
      <c r="C36" s="33" t="s">
        <v>258</v>
      </c>
      <c r="D36" s="147" t="str">
        <f>IF($B36="●",①簡易状況入力!D27,"")</f>
        <v/>
      </c>
      <c r="E36" s="80" t="str">
        <f>IF($B36="●",①簡易状況入力!R27,"")</f>
        <v/>
      </c>
      <c r="F36" s="80" t="str">
        <f>IF($B36="●",①簡易状況入力!S27,"")</f>
        <v/>
      </c>
      <c r="G36" s="81" t="str">
        <f>IF($B36="●",①簡易状況入力!H27,"")</f>
        <v/>
      </c>
      <c r="H36" s="81" t="str">
        <f t="shared" si="9"/>
        <v/>
      </c>
      <c r="I36" s="69">
        <f ca="1">OFFSET(③各部被害関数計算結果!$H$2,1+($A36-1)*4,0)</f>
        <v>0</v>
      </c>
      <c r="J36" s="81" t="str">
        <f t="shared" si="10"/>
        <v/>
      </c>
      <c r="K36" s="69">
        <f ca="1">OFFSET(③各部被害関数計算結果!$J$2,1+($A36-1)*4,0)</f>
        <v>0</v>
      </c>
      <c r="L36" s="81" t="str">
        <f>IF($B36="●",①簡易状況入力!I27,"")</f>
        <v/>
      </c>
      <c r="M36" s="81" t="str">
        <f t="shared" si="11"/>
        <v/>
      </c>
      <c r="N36" s="69">
        <f ca="1">OFFSET(③各部被害関数計算結果!$H$2,2+($A36-1)*4,0)</f>
        <v>0</v>
      </c>
      <c r="O36" s="81" t="str">
        <f t="shared" si="12"/>
        <v/>
      </c>
      <c r="P36" s="69">
        <f ca="1">OFFSET(③各部被害関数計算結果!$J$2,2+($A36-1)*4,0)</f>
        <v>0</v>
      </c>
      <c r="Q36" s="81" t="str">
        <f>IF($B36="●",①簡易状況入力!J27,"")</f>
        <v/>
      </c>
      <c r="R36" s="81" t="str">
        <f t="shared" si="13"/>
        <v/>
      </c>
      <c r="S36" s="69">
        <f ca="1">OFFSET(③各部被害関数計算結果!$H$2,3+($A36-1)*4,0)</f>
        <v>0</v>
      </c>
      <c r="T36" s="81" t="str">
        <f t="shared" si="14"/>
        <v/>
      </c>
      <c r="U36" s="69">
        <f ca="1">OFFSET(③各部被害関数計算結果!$J$2,3+($A36-1)*4,0)</f>
        <v>0</v>
      </c>
      <c r="V36" s="81" t="str">
        <f t="shared" si="15"/>
        <v/>
      </c>
      <c r="W36" s="81" t="str">
        <f t="shared" si="16"/>
        <v/>
      </c>
      <c r="X36" s="69">
        <f ca="1">OFFSET(③各部被害関数計算結果!$H$2,4+($A36-1)*4,0)</f>
        <v>0</v>
      </c>
      <c r="Y36" s="81" t="str">
        <f t="shared" si="17"/>
        <v/>
      </c>
      <c r="Z36" s="69">
        <f ca="1">OFFSET(③各部被害関数計算結果!$J$2,4+($A36-1)*4,0)</f>
        <v>0</v>
      </c>
    </row>
    <row r="37" spans="1:26" x14ac:dyDescent="0.15">
      <c r="A37">
        <v>24</v>
      </c>
      <c r="B37" s="49">
        <f>①簡易状況入力!B28</f>
        <v>0</v>
      </c>
      <c r="C37" s="33" t="s">
        <v>259</v>
      </c>
      <c r="D37" s="147" t="str">
        <f>IF($B37="●",①簡易状況入力!D28,"")</f>
        <v/>
      </c>
      <c r="E37" s="80" t="str">
        <f>IF($B37="●",①簡易状況入力!R28,"")</f>
        <v/>
      </c>
      <c r="F37" s="80" t="str">
        <f>IF($B37="●",①簡易状況入力!S28,"")</f>
        <v/>
      </c>
      <c r="G37" s="81" t="str">
        <f>IF($B37="●",①簡易状況入力!H28,"")</f>
        <v/>
      </c>
      <c r="H37" s="81" t="str">
        <f t="shared" si="9"/>
        <v/>
      </c>
      <c r="I37" s="69">
        <f ca="1">OFFSET(③各部被害関数計算結果!$H$2,1+($A37-1)*4,0)</f>
        <v>0</v>
      </c>
      <c r="J37" s="81" t="str">
        <f t="shared" si="10"/>
        <v/>
      </c>
      <c r="K37" s="69">
        <f ca="1">OFFSET(③各部被害関数計算結果!$J$2,1+($A37-1)*4,0)</f>
        <v>0</v>
      </c>
      <c r="L37" s="81" t="str">
        <f>IF($B37="●",①簡易状況入力!I28,"")</f>
        <v/>
      </c>
      <c r="M37" s="81" t="str">
        <f t="shared" si="11"/>
        <v/>
      </c>
      <c r="N37" s="69">
        <f ca="1">OFFSET(③各部被害関数計算結果!$H$2,2+($A37-1)*4,0)</f>
        <v>0</v>
      </c>
      <c r="O37" s="81" t="str">
        <f t="shared" si="12"/>
        <v/>
      </c>
      <c r="P37" s="69">
        <f ca="1">OFFSET(③各部被害関数計算結果!$J$2,2+($A37-1)*4,0)</f>
        <v>0</v>
      </c>
      <c r="Q37" s="81" t="str">
        <f>IF($B37="●",①簡易状況入力!J28,"")</f>
        <v/>
      </c>
      <c r="R37" s="81" t="str">
        <f t="shared" si="13"/>
        <v/>
      </c>
      <c r="S37" s="69">
        <f ca="1">OFFSET(③各部被害関数計算結果!$H$2,3+($A37-1)*4,0)</f>
        <v>0</v>
      </c>
      <c r="T37" s="81" t="str">
        <f t="shared" si="14"/>
        <v/>
      </c>
      <c r="U37" s="69">
        <f ca="1">OFFSET(③各部被害関数計算結果!$J$2,3+($A37-1)*4,0)</f>
        <v>0</v>
      </c>
      <c r="V37" s="81" t="str">
        <f t="shared" si="15"/>
        <v/>
      </c>
      <c r="W37" s="81" t="str">
        <f t="shared" si="16"/>
        <v/>
      </c>
      <c r="X37" s="69">
        <f ca="1">OFFSET(③各部被害関数計算結果!$H$2,4+($A37-1)*4,0)</f>
        <v>0</v>
      </c>
      <c r="Y37" s="81" t="str">
        <f t="shared" si="17"/>
        <v/>
      </c>
      <c r="Z37" s="69">
        <f ca="1">OFFSET(③各部被害関数計算結果!$J$2,4+($A37-1)*4,0)</f>
        <v>0</v>
      </c>
    </row>
    <row r="38" spans="1:26" x14ac:dyDescent="0.15">
      <c r="A38">
        <v>25</v>
      </c>
      <c r="B38" s="49">
        <f>①簡易状況入力!B29</f>
        <v>0</v>
      </c>
      <c r="C38" s="33" t="s">
        <v>260</v>
      </c>
      <c r="D38" s="147" t="str">
        <f>IF($B38="●",①簡易状況入力!D29,"")</f>
        <v/>
      </c>
      <c r="E38" s="80" t="str">
        <f>IF($B38="●",①簡易状況入力!R29,"")</f>
        <v/>
      </c>
      <c r="F38" s="80" t="str">
        <f>IF($B38="●",①簡易状況入力!S29,"")</f>
        <v/>
      </c>
      <c r="G38" s="81" t="str">
        <f>IF($B38="●",①簡易状況入力!H29,"")</f>
        <v/>
      </c>
      <c r="H38" s="81" t="str">
        <f t="shared" si="9"/>
        <v/>
      </c>
      <c r="I38" s="69">
        <f ca="1">OFFSET(③各部被害関数計算結果!$H$2,1+($A38-1)*4,0)</f>
        <v>0</v>
      </c>
      <c r="J38" s="81" t="str">
        <f t="shared" si="10"/>
        <v/>
      </c>
      <c r="K38" s="69">
        <f ca="1">OFFSET(③各部被害関数計算結果!$J$2,1+($A38-1)*4,0)</f>
        <v>0</v>
      </c>
      <c r="L38" s="81" t="str">
        <f>IF($B38="●",①簡易状況入力!I29,"")</f>
        <v/>
      </c>
      <c r="M38" s="81" t="str">
        <f t="shared" si="11"/>
        <v/>
      </c>
      <c r="N38" s="69">
        <f ca="1">OFFSET(③各部被害関数計算結果!$H$2,2+($A38-1)*4,0)</f>
        <v>0</v>
      </c>
      <c r="O38" s="81" t="str">
        <f t="shared" si="12"/>
        <v/>
      </c>
      <c r="P38" s="69">
        <f ca="1">OFFSET(③各部被害関数計算結果!$J$2,2+($A38-1)*4,0)</f>
        <v>0</v>
      </c>
      <c r="Q38" s="81" t="str">
        <f>IF($B38="●",①簡易状況入力!J29,"")</f>
        <v/>
      </c>
      <c r="R38" s="81" t="str">
        <f t="shared" si="13"/>
        <v/>
      </c>
      <c r="S38" s="69">
        <f ca="1">OFFSET(③各部被害関数計算結果!$H$2,3+($A38-1)*4,0)</f>
        <v>0</v>
      </c>
      <c r="T38" s="81" t="str">
        <f t="shared" si="14"/>
        <v/>
      </c>
      <c r="U38" s="69">
        <f ca="1">OFFSET(③各部被害関数計算結果!$J$2,3+($A38-1)*4,0)</f>
        <v>0</v>
      </c>
      <c r="V38" s="81" t="str">
        <f t="shared" si="15"/>
        <v/>
      </c>
      <c r="W38" s="81" t="str">
        <f t="shared" si="16"/>
        <v/>
      </c>
      <c r="X38" s="69">
        <f ca="1">OFFSET(③各部被害関数計算結果!$H$2,4+($A38-1)*4,0)</f>
        <v>0</v>
      </c>
      <c r="Y38" s="81" t="str">
        <f t="shared" si="17"/>
        <v/>
      </c>
      <c r="Z38" s="69">
        <f ca="1">OFFSET(③各部被害関数計算結果!$J$2,4+($A38-1)*4,0)</f>
        <v>0</v>
      </c>
    </row>
    <row r="39" spans="1:26" x14ac:dyDescent="0.15">
      <c r="A39">
        <v>26</v>
      </c>
      <c r="B39" s="49">
        <f>①簡易状況入力!B30</f>
        <v>0</v>
      </c>
      <c r="C39" s="33" t="s">
        <v>261</v>
      </c>
      <c r="D39" s="147" t="str">
        <f>IF($B39="●",①簡易状況入力!D30,"")</f>
        <v/>
      </c>
      <c r="E39" s="80" t="str">
        <f>IF($B39="●",①簡易状況入力!R30,"")</f>
        <v/>
      </c>
      <c r="F39" s="80" t="str">
        <f>IF($B39="●",①簡易状況入力!S30,"")</f>
        <v/>
      </c>
      <c r="G39" s="81" t="str">
        <f>IF($B39="●",①簡易状況入力!H30,"")</f>
        <v/>
      </c>
      <c r="H39" s="81" t="str">
        <f t="shared" si="9"/>
        <v/>
      </c>
      <c r="I39" s="69">
        <f ca="1">OFFSET(③各部被害関数計算結果!$H$2,1+($A39-1)*4,0)</f>
        <v>0</v>
      </c>
      <c r="J39" s="81" t="str">
        <f t="shared" si="10"/>
        <v/>
      </c>
      <c r="K39" s="69">
        <f ca="1">OFFSET(③各部被害関数計算結果!$J$2,1+($A39-1)*4,0)</f>
        <v>0</v>
      </c>
      <c r="L39" s="81" t="str">
        <f>IF($B39="●",①簡易状況入力!I30,"")</f>
        <v/>
      </c>
      <c r="M39" s="81" t="str">
        <f t="shared" si="11"/>
        <v/>
      </c>
      <c r="N39" s="69">
        <f ca="1">OFFSET(③各部被害関数計算結果!$H$2,2+($A39-1)*4,0)</f>
        <v>0</v>
      </c>
      <c r="O39" s="81" t="str">
        <f t="shared" si="12"/>
        <v/>
      </c>
      <c r="P39" s="69">
        <f ca="1">OFFSET(③各部被害関数計算結果!$J$2,2+($A39-1)*4,0)</f>
        <v>0</v>
      </c>
      <c r="Q39" s="81" t="str">
        <f>IF($B39="●",①簡易状況入力!J30,"")</f>
        <v/>
      </c>
      <c r="R39" s="81" t="str">
        <f t="shared" si="13"/>
        <v/>
      </c>
      <c r="S39" s="69">
        <f ca="1">OFFSET(③各部被害関数計算結果!$H$2,3+($A39-1)*4,0)</f>
        <v>0</v>
      </c>
      <c r="T39" s="81" t="str">
        <f t="shared" si="14"/>
        <v/>
      </c>
      <c r="U39" s="69">
        <f ca="1">OFFSET(③各部被害関数計算結果!$J$2,3+($A39-1)*4,0)</f>
        <v>0</v>
      </c>
      <c r="V39" s="81" t="str">
        <f t="shared" si="15"/>
        <v/>
      </c>
      <c r="W39" s="81" t="str">
        <f t="shared" si="16"/>
        <v/>
      </c>
      <c r="X39" s="69">
        <f ca="1">OFFSET(③各部被害関数計算結果!$H$2,4+($A39-1)*4,0)</f>
        <v>0</v>
      </c>
      <c r="Y39" s="81" t="str">
        <f t="shared" si="17"/>
        <v/>
      </c>
      <c r="Z39" s="69">
        <f ca="1">OFFSET(③各部被害関数計算結果!$J$2,4+($A39-1)*4,0)</f>
        <v>0</v>
      </c>
    </row>
    <row r="40" spans="1:26" x14ac:dyDescent="0.15">
      <c r="A40">
        <v>27</v>
      </c>
      <c r="B40" s="49">
        <f>①簡易状況入力!B31</f>
        <v>0</v>
      </c>
      <c r="C40" s="33" t="s">
        <v>262</v>
      </c>
      <c r="D40" s="147" t="str">
        <f>IF($B40="●",①簡易状況入力!D31,"")</f>
        <v/>
      </c>
      <c r="E40" s="80" t="str">
        <f>IF($B40="●",①簡易状況入力!R31,"")</f>
        <v/>
      </c>
      <c r="F40" s="80" t="str">
        <f>IF($B40="●",①簡易状況入力!S31,"")</f>
        <v/>
      </c>
      <c r="G40" s="81" t="str">
        <f>IF($B40="●",①簡易状況入力!H31,"")</f>
        <v/>
      </c>
      <c r="H40" s="81" t="str">
        <f t="shared" si="9"/>
        <v/>
      </c>
      <c r="I40" s="69">
        <f ca="1">OFFSET(③各部被害関数計算結果!$H$2,1+($A40-1)*4,0)</f>
        <v>0</v>
      </c>
      <c r="J40" s="81" t="str">
        <f t="shared" si="10"/>
        <v/>
      </c>
      <c r="K40" s="69">
        <f ca="1">OFFSET(③各部被害関数計算結果!$J$2,1+($A40-1)*4,0)</f>
        <v>0</v>
      </c>
      <c r="L40" s="81" t="str">
        <f>IF($B40="●",①簡易状況入力!I31,"")</f>
        <v/>
      </c>
      <c r="M40" s="81" t="str">
        <f t="shared" si="11"/>
        <v/>
      </c>
      <c r="N40" s="69">
        <f ca="1">OFFSET(③各部被害関数計算結果!$H$2,2+($A40-1)*4,0)</f>
        <v>0</v>
      </c>
      <c r="O40" s="81" t="str">
        <f t="shared" si="12"/>
        <v/>
      </c>
      <c r="P40" s="69">
        <f ca="1">OFFSET(③各部被害関数計算結果!$J$2,2+($A40-1)*4,0)</f>
        <v>0</v>
      </c>
      <c r="Q40" s="81" t="str">
        <f>IF($B40="●",①簡易状況入力!J31,"")</f>
        <v/>
      </c>
      <c r="R40" s="81" t="str">
        <f t="shared" si="13"/>
        <v/>
      </c>
      <c r="S40" s="69">
        <f ca="1">OFFSET(③各部被害関数計算結果!$H$2,3+($A40-1)*4,0)</f>
        <v>0</v>
      </c>
      <c r="T40" s="81" t="str">
        <f t="shared" si="14"/>
        <v/>
      </c>
      <c r="U40" s="69">
        <f ca="1">OFFSET(③各部被害関数計算結果!$J$2,3+($A40-1)*4,0)</f>
        <v>0</v>
      </c>
      <c r="V40" s="81" t="str">
        <f t="shared" si="15"/>
        <v/>
      </c>
      <c r="W40" s="81" t="str">
        <f t="shared" si="16"/>
        <v/>
      </c>
      <c r="X40" s="69">
        <f ca="1">OFFSET(③各部被害関数計算結果!$H$2,4+($A40-1)*4,0)</f>
        <v>0</v>
      </c>
      <c r="Y40" s="81" t="str">
        <f t="shared" si="17"/>
        <v/>
      </c>
      <c r="Z40" s="69">
        <f ca="1">OFFSET(③各部被害関数計算結果!$J$2,4+($A40-1)*4,0)</f>
        <v>0</v>
      </c>
    </row>
    <row r="41" spans="1:26" x14ac:dyDescent="0.15">
      <c r="A41">
        <v>28</v>
      </c>
      <c r="B41" s="49">
        <f>①簡易状況入力!B32</f>
        <v>0</v>
      </c>
      <c r="C41" s="33" t="s">
        <v>263</v>
      </c>
      <c r="D41" s="147" t="str">
        <f>IF($B41="●",①簡易状況入力!D32,"")</f>
        <v/>
      </c>
      <c r="E41" s="80" t="str">
        <f>IF($B41="●",①簡易状況入力!R32,"")</f>
        <v/>
      </c>
      <c r="F41" s="80" t="str">
        <f>IF($B41="●",①簡易状況入力!S32,"")</f>
        <v/>
      </c>
      <c r="G41" s="81" t="str">
        <f>IF($B41="●",①簡易状況入力!H32,"")</f>
        <v/>
      </c>
      <c r="H41" s="81" t="str">
        <f t="shared" si="9"/>
        <v/>
      </c>
      <c r="I41" s="69">
        <f ca="1">OFFSET(③各部被害関数計算結果!$H$2,1+($A41-1)*4,0)</f>
        <v>0</v>
      </c>
      <c r="J41" s="81" t="str">
        <f t="shared" si="10"/>
        <v/>
      </c>
      <c r="K41" s="69">
        <f ca="1">OFFSET(③各部被害関数計算結果!$J$2,1+($A41-1)*4,0)</f>
        <v>0</v>
      </c>
      <c r="L41" s="81" t="str">
        <f>IF($B41="●",①簡易状況入力!I32,"")</f>
        <v/>
      </c>
      <c r="M41" s="81" t="str">
        <f t="shared" si="11"/>
        <v/>
      </c>
      <c r="N41" s="69">
        <f ca="1">OFFSET(③各部被害関数計算結果!$H$2,2+($A41-1)*4,0)</f>
        <v>0</v>
      </c>
      <c r="O41" s="81" t="str">
        <f t="shared" si="12"/>
        <v/>
      </c>
      <c r="P41" s="69">
        <f ca="1">OFFSET(③各部被害関数計算結果!$J$2,2+($A41-1)*4,0)</f>
        <v>0</v>
      </c>
      <c r="Q41" s="81" t="str">
        <f>IF($B41="●",①簡易状況入力!J32,"")</f>
        <v/>
      </c>
      <c r="R41" s="81" t="str">
        <f t="shared" si="13"/>
        <v/>
      </c>
      <c r="S41" s="69">
        <f ca="1">OFFSET(③各部被害関数計算結果!$H$2,3+($A41-1)*4,0)</f>
        <v>0</v>
      </c>
      <c r="T41" s="81" t="str">
        <f t="shared" si="14"/>
        <v/>
      </c>
      <c r="U41" s="69">
        <f ca="1">OFFSET(③各部被害関数計算結果!$J$2,3+($A41-1)*4,0)</f>
        <v>0</v>
      </c>
      <c r="V41" s="81" t="str">
        <f t="shared" si="15"/>
        <v/>
      </c>
      <c r="W41" s="81" t="str">
        <f t="shared" si="16"/>
        <v/>
      </c>
      <c r="X41" s="69">
        <f ca="1">OFFSET(③各部被害関数計算結果!$H$2,4+($A41-1)*4,0)</f>
        <v>0</v>
      </c>
      <c r="Y41" s="81" t="str">
        <f t="shared" si="17"/>
        <v/>
      </c>
      <c r="Z41" s="69">
        <f ca="1">OFFSET(③各部被害関数計算結果!$J$2,4+($A41-1)*4,0)</f>
        <v>0</v>
      </c>
    </row>
    <row r="42" spans="1:26" x14ac:dyDescent="0.15">
      <c r="A42">
        <v>29</v>
      </c>
      <c r="B42" s="49">
        <f>①簡易状況入力!B33</f>
        <v>0</v>
      </c>
      <c r="C42" s="33" t="s">
        <v>264</v>
      </c>
      <c r="D42" s="147" t="str">
        <f>IF($B42="●",①簡易状況入力!D33,"")</f>
        <v/>
      </c>
      <c r="E42" s="80" t="str">
        <f>IF($B42="●",①簡易状況入力!R33,"")</f>
        <v/>
      </c>
      <c r="F42" s="80" t="str">
        <f>IF($B42="●",①簡易状況入力!S33,"")</f>
        <v/>
      </c>
      <c r="G42" s="81" t="str">
        <f>IF($B42="●",①簡易状況入力!H33,"")</f>
        <v/>
      </c>
      <c r="H42" s="81" t="str">
        <f t="shared" si="9"/>
        <v/>
      </c>
      <c r="I42" s="69">
        <f ca="1">OFFSET(③各部被害関数計算結果!$H$2,1+($A42-1)*4,0)</f>
        <v>0</v>
      </c>
      <c r="J42" s="81" t="str">
        <f t="shared" si="10"/>
        <v/>
      </c>
      <c r="K42" s="69">
        <f ca="1">OFFSET(③各部被害関数計算結果!$J$2,1+($A42-1)*4,0)</f>
        <v>0</v>
      </c>
      <c r="L42" s="81" t="str">
        <f>IF($B42="●",①簡易状況入力!I33,"")</f>
        <v/>
      </c>
      <c r="M42" s="81" t="str">
        <f t="shared" si="11"/>
        <v/>
      </c>
      <c r="N42" s="69">
        <f ca="1">OFFSET(③各部被害関数計算結果!$H$2,2+($A42-1)*4,0)</f>
        <v>0</v>
      </c>
      <c r="O42" s="81" t="str">
        <f t="shared" si="12"/>
        <v/>
      </c>
      <c r="P42" s="69">
        <f ca="1">OFFSET(③各部被害関数計算結果!$J$2,2+($A42-1)*4,0)</f>
        <v>0</v>
      </c>
      <c r="Q42" s="81" t="str">
        <f>IF($B42="●",①簡易状況入力!J33,"")</f>
        <v/>
      </c>
      <c r="R42" s="81" t="str">
        <f t="shared" si="13"/>
        <v/>
      </c>
      <c r="S42" s="69">
        <f ca="1">OFFSET(③各部被害関数計算結果!$H$2,3+($A42-1)*4,0)</f>
        <v>0</v>
      </c>
      <c r="T42" s="81" t="str">
        <f t="shared" si="14"/>
        <v/>
      </c>
      <c r="U42" s="69">
        <f ca="1">OFFSET(③各部被害関数計算結果!$J$2,3+($A42-1)*4,0)</f>
        <v>0</v>
      </c>
      <c r="V42" s="81" t="str">
        <f t="shared" si="15"/>
        <v/>
      </c>
      <c r="W42" s="81" t="str">
        <f t="shared" si="16"/>
        <v/>
      </c>
      <c r="X42" s="69">
        <f ca="1">OFFSET(③各部被害関数計算結果!$H$2,4+($A42-1)*4,0)</f>
        <v>0</v>
      </c>
      <c r="Y42" s="81" t="str">
        <f t="shared" si="17"/>
        <v/>
      </c>
      <c r="Z42" s="69">
        <f ca="1">OFFSET(③各部被害関数計算結果!$J$2,4+($A42-1)*4,0)</f>
        <v>0</v>
      </c>
    </row>
    <row r="43" spans="1:26" x14ac:dyDescent="0.15">
      <c r="A43">
        <v>30</v>
      </c>
      <c r="B43" s="49">
        <f>①簡易状況入力!B34</f>
        <v>0</v>
      </c>
      <c r="C43" s="33" t="s">
        <v>265</v>
      </c>
      <c r="D43" s="147" t="str">
        <f>IF($B43="●",①簡易状況入力!D34,"")</f>
        <v/>
      </c>
      <c r="E43" s="80" t="str">
        <f>IF($B43="●",①簡易状況入力!R34,"")</f>
        <v/>
      </c>
      <c r="F43" s="80" t="str">
        <f>IF($B43="●",①簡易状況入力!S34,"")</f>
        <v/>
      </c>
      <c r="G43" s="81" t="str">
        <f>IF($B43="●",①簡易状況入力!H34,"")</f>
        <v/>
      </c>
      <c r="H43" s="81" t="str">
        <f t="shared" si="9"/>
        <v/>
      </c>
      <c r="I43" s="69">
        <f ca="1">OFFSET(③各部被害関数計算結果!$H$2,1+($A43-1)*4,0)</f>
        <v>0</v>
      </c>
      <c r="J43" s="81" t="str">
        <f t="shared" si="10"/>
        <v/>
      </c>
      <c r="K43" s="69">
        <f ca="1">OFFSET(③各部被害関数計算結果!$J$2,1+($A43-1)*4,0)</f>
        <v>0</v>
      </c>
      <c r="L43" s="81" t="str">
        <f>IF($B43="●",①簡易状況入力!I34,"")</f>
        <v/>
      </c>
      <c r="M43" s="81" t="str">
        <f t="shared" si="11"/>
        <v/>
      </c>
      <c r="N43" s="69">
        <f ca="1">OFFSET(③各部被害関数計算結果!$H$2,2+($A43-1)*4,0)</f>
        <v>0</v>
      </c>
      <c r="O43" s="81" t="str">
        <f t="shared" si="12"/>
        <v/>
      </c>
      <c r="P43" s="69">
        <f ca="1">OFFSET(③各部被害関数計算結果!$J$2,2+($A43-1)*4,0)</f>
        <v>0</v>
      </c>
      <c r="Q43" s="81" t="str">
        <f>IF($B43="●",①簡易状況入力!J34,"")</f>
        <v/>
      </c>
      <c r="R43" s="81" t="str">
        <f t="shared" si="13"/>
        <v/>
      </c>
      <c r="S43" s="69">
        <f ca="1">OFFSET(③各部被害関数計算結果!$H$2,3+($A43-1)*4,0)</f>
        <v>0</v>
      </c>
      <c r="T43" s="81" t="str">
        <f t="shared" si="14"/>
        <v/>
      </c>
      <c r="U43" s="69">
        <f ca="1">OFFSET(③各部被害関数計算結果!$J$2,3+($A43-1)*4,0)</f>
        <v>0</v>
      </c>
      <c r="V43" s="81" t="str">
        <f t="shared" si="15"/>
        <v/>
      </c>
      <c r="W43" s="81" t="str">
        <f t="shared" si="16"/>
        <v/>
      </c>
      <c r="X43" s="69">
        <f ca="1">OFFSET(③各部被害関数計算結果!$H$2,4+($A43-1)*4,0)</f>
        <v>0</v>
      </c>
      <c r="Y43" s="81" t="str">
        <f t="shared" si="17"/>
        <v/>
      </c>
      <c r="Z43" s="69">
        <f ca="1">OFFSET(③各部被害関数計算結果!$J$2,4+($A43-1)*4,0)</f>
        <v>0</v>
      </c>
    </row>
    <row r="44" spans="1:26" x14ac:dyDescent="0.15">
      <c r="A44">
        <v>31</v>
      </c>
      <c r="B44" s="49">
        <f>①簡易状況入力!B35</f>
        <v>0</v>
      </c>
      <c r="C44" s="33" t="s">
        <v>266</v>
      </c>
      <c r="D44" s="147" t="str">
        <f>IF($B44="●",①簡易状況入力!D35,"")</f>
        <v/>
      </c>
      <c r="E44" s="80" t="str">
        <f>IF($B44="●",①簡易状況入力!R35,"")</f>
        <v/>
      </c>
      <c r="F44" s="80" t="str">
        <f>IF($B44="●",①簡易状況入力!S35,"")</f>
        <v/>
      </c>
      <c r="G44" s="81" t="str">
        <f>IF($B44="●",①簡易状況入力!H35,"")</f>
        <v/>
      </c>
      <c r="H44" s="81" t="str">
        <f t="shared" si="9"/>
        <v/>
      </c>
      <c r="I44" s="69">
        <f ca="1">OFFSET(③各部被害関数計算結果!$H$2,1+($A44-1)*4,0)</f>
        <v>0</v>
      </c>
      <c r="J44" s="81" t="str">
        <f t="shared" si="10"/>
        <v/>
      </c>
      <c r="K44" s="69">
        <f ca="1">OFFSET(③各部被害関数計算結果!$J$2,1+($A44-1)*4,0)</f>
        <v>0</v>
      </c>
      <c r="L44" s="81" t="str">
        <f>IF($B44="●",①簡易状況入力!I35,"")</f>
        <v/>
      </c>
      <c r="M44" s="81" t="str">
        <f t="shared" si="11"/>
        <v/>
      </c>
      <c r="N44" s="69">
        <f ca="1">OFFSET(③各部被害関数計算結果!$H$2,2+($A44-1)*4,0)</f>
        <v>0</v>
      </c>
      <c r="O44" s="81" t="str">
        <f t="shared" si="12"/>
        <v/>
      </c>
      <c r="P44" s="69">
        <f ca="1">OFFSET(③各部被害関数計算結果!$J$2,2+($A44-1)*4,0)</f>
        <v>0</v>
      </c>
      <c r="Q44" s="81" t="str">
        <f>IF($B44="●",①簡易状況入力!J35,"")</f>
        <v/>
      </c>
      <c r="R44" s="81" t="str">
        <f t="shared" si="13"/>
        <v/>
      </c>
      <c r="S44" s="69">
        <f ca="1">OFFSET(③各部被害関数計算結果!$H$2,3+($A44-1)*4,0)</f>
        <v>0</v>
      </c>
      <c r="T44" s="81" t="str">
        <f t="shared" si="14"/>
        <v/>
      </c>
      <c r="U44" s="69">
        <f ca="1">OFFSET(③各部被害関数計算結果!$J$2,3+($A44-1)*4,0)</f>
        <v>0</v>
      </c>
      <c r="V44" s="81" t="str">
        <f t="shared" si="15"/>
        <v/>
      </c>
      <c r="W44" s="81" t="str">
        <f t="shared" si="16"/>
        <v/>
      </c>
      <c r="X44" s="69">
        <f ca="1">OFFSET(③各部被害関数計算結果!$H$2,4+($A44-1)*4,0)</f>
        <v>0</v>
      </c>
      <c r="Y44" s="81" t="str">
        <f t="shared" si="17"/>
        <v/>
      </c>
      <c r="Z44" s="69">
        <f ca="1">OFFSET(③各部被害関数計算結果!$J$2,4+($A44-1)*4,0)</f>
        <v>0</v>
      </c>
    </row>
    <row r="45" spans="1:26" x14ac:dyDescent="0.15">
      <c r="A45">
        <v>32</v>
      </c>
      <c r="B45" s="49">
        <f>①簡易状況入力!B36</f>
        <v>0</v>
      </c>
      <c r="C45" s="33" t="s">
        <v>267</v>
      </c>
      <c r="D45" s="147" t="str">
        <f>IF($B45="●",①簡易状況入力!D36,"")</f>
        <v/>
      </c>
      <c r="E45" s="80" t="str">
        <f>IF($B45="●",①簡易状況入力!R36,"")</f>
        <v/>
      </c>
      <c r="F45" s="80" t="str">
        <f>IF($B45="●",①簡易状況入力!S36,"")</f>
        <v/>
      </c>
      <c r="G45" s="81" t="str">
        <f>IF($B45="●",①簡易状況入力!H36,"")</f>
        <v/>
      </c>
      <c r="H45" s="81" t="str">
        <f t="shared" si="9"/>
        <v/>
      </c>
      <c r="I45" s="69">
        <f ca="1">OFFSET(③各部被害関数計算結果!$H$2,1+($A45-1)*4,0)</f>
        <v>0</v>
      </c>
      <c r="J45" s="81" t="str">
        <f t="shared" si="10"/>
        <v/>
      </c>
      <c r="K45" s="69">
        <f ca="1">OFFSET(③各部被害関数計算結果!$J$2,1+($A45-1)*4,0)</f>
        <v>0</v>
      </c>
      <c r="L45" s="81" t="str">
        <f>IF($B45="●",①簡易状況入力!I36,"")</f>
        <v/>
      </c>
      <c r="M45" s="81" t="str">
        <f t="shared" si="11"/>
        <v/>
      </c>
      <c r="N45" s="69">
        <f ca="1">OFFSET(③各部被害関数計算結果!$H$2,2+($A45-1)*4,0)</f>
        <v>0</v>
      </c>
      <c r="O45" s="81" t="str">
        <f t="shared" si="12"/>
        <v/>
      </c>
      <c r="P45" s="69">
        <f ca="1">OFFSET(③各部被害関数計算結果!$J$2,2+($A45-1)*4,0)</f>
        <v>0</v>
      </c>
      <c r="Q45" s="81" t="str">
        <f>IF($B45="●",①簡易状況入力!J36,"")</f>
        <v/>
      </c>
      <c r="R45" s="81" t="str">
        <f t="shared" si="13"/>
        <v/>
      </c>
      <c r="S45" s="69">
        <f ca="1">OFFSET(③各部被害関数計算結果!$H$2,3+($A45-1)*4,0)</f>
        <v>0</v>
      </c>
      <c r="T45" s="81" t="str">
        <f t="shared" si="14"/>
        <v/>
      </c>
      <c r="U45" s="69">
        <f ca="1">OFFSET(③各部被害関数計算結果!$J$2,3+($A45-1)*4,0)</f>
        <v>0</v>
      </c>
      <c r="V45" s="81" t="str">
        <f t="shared" si="15"/>
        <v/>
      </c>
      <c r="W45" s="81" t="str">
        <f t="shared" si="16"/>
        <v/>
      </c>
      <c r="X45" s="69">
        <f ca="1">OFFSET(③各部被害関数計算結果!$H$2,4+($A45-1)*4,0)</f>
        <v>0</v>
      </c>
      <c r="Y45" s="81" t="str">
        <f t="shared" si="17"/>
        <v/>
      </c>
      <c r="Z45" s="69">
        <f ca="1">OFFSET(③各部被害関数計算結果!$J$2,4+($A45-1)*4,0)</f>
        <v>0</v>
      </c>
    </row>
    <row r="46" spans="1:26" x14ac:dyDescent="0.15">
      <c r="A46">
        <v>33</v>
      </c>
      <c r="B46" s="49">
        <f>①簡易状況入力!B37</f>
        <v>0</v>
      </c>
      <c r="C46" s="33" t="s">
        <v>268</v>
      </c>
      <c r="D46" s="147" t="str">
        <f>IF($B46="●",①簡易状況入力!D37,"")</f>
        <v/>
      </c>
      <c r="E46" s="80" t="str">
        <f>IF($B46="●",①簡易状況入力!R37,"")</f>
        <v/>
      </c>
      <c r="F46" s="80" t="str">
        <f>IF($B46="●",①簡易状況入力!S37,"")</f>
        <v/>
      </c>
      <c r="G46" s="81" t="str">
        <f>IF($B46="●",①簡易状況入力!H37,"")</f>
        <v/>
      </c>
      <c r="H46" s="81" t="str">
        <f t="shared" si="9"/>
        <v/>
      </c>
      <c r="I46" s="69">
        <f ca="1">OFFSET(③各部被害関数計算結果!$H$2,1+($A46-1)*4,0)</f>
        <v>0</v>
      </c>
      <c r="J46" s="81" t="str">
        <f t="shared" si="10"/>
        <v/>
      </c>
      <c r="K46" s="69">
        <f ca="1">OFFSET(③各部被害関数計算結果!$J$2,1+($A46-1)*4,0)</f>
        <v>0</v>
      </c>
      <c r="L46" s="81" t="str">
        <f>IF($B46="●",①簡易状況入力!I37,"")</f>
        <v/>
      </c>
      <c r="M46" s="81" t="str">
        <f t="shared" si="11"/>
        <v/>
      </c>
      <c r="N46" s="69">
        <f ca="1">OFFSET(③各部被害関数計算結果!$H$2,2+($A46-1)*4,0)</f>
        <v>0</v>
      </c>
      <c r="O46" s="81" t="str">
        <f t="shared" si="12"/>
        <v/>
      </c>
      <c r="P46" s="69">
        <f ca="1">OFFSET(③各部被害関数計算結果!$J$2,2+($A46-1)*4,0)</f>
        <v>0</v>
      </c>
      <c r="Q46" s="81" t="str">
        <f>IF($B46="●",①簡易状況入力!J37,"")</f>
        <v/>
      </c>
      <c r="R46" s="81" t="str">
        <f t="shared" si="13"/>
        <v/>
      </c>
      <c r="S46" s="69">
        <f ca="1">OFFSET(③各部被害関数計算結果!$H$2,3+($A46-1)*4,0)</f>
        <v>0</v>
      </c>
      <c r="T46" s="81" t="str">
        <f t="shared" si="14"/>
        <v/>
      </c>
      <c r="U46" s="69">
        <f ca="1">OFFSET(③各部被害関数計算結果!$J$2,3+($A46-1)*4,0)</f>
        <v>0</v>
      </c>
      <c r="V46" s="81" t="str">
        <f t="shared" si="15"/>
        <v/>
      </c>
      <c r="W46" s="81" t="str">
        <f t="shared" si="16"/>
        <v/>
      </c>
      <c r="X46" s="69">
        <f ca="1">OFFSET(③各部被害関数計算結果!$H$2,4+($A46-1)*4,0)</f>
        <v>0</v>
      </c>
      <c r="Y46" s="81" t="str">
        <f t="shared" si="17"/>
        <v/>
      </c>
      <c r="Z46" s="69">
        <f ca="1">OFFSET(③各部被害関数計算結果!$J$2,4+($A46-1)*4,0)</f>
        <v>0</v>
      </c>
    </row>
    <row r="47" spans="1:26" x14ac:dyDescent="0.15">
      <c r="A47">
        <v>34</v>
      </c>
      <c r="B47" s="49">
        <f>①簡易状況入力!B38</f>
        <v>0</v>
      </c>
      <c r="C47" s="33" t="s">
        <v>269</v>
      </c>
      <c r="D47" s="147" t="str">
        <f>IF($B47="●",①簡易状況入力!D38,"")</f>
        <v/>
      </c>
      <c r="E47" s="80" t="str">
        <f>IF($B47="●",①簡易状況入力!R38,"")</f>
        <v/>
      </c>
      <c r="F47" s="80" t="str">
        <f>IF($B47="●",①簡易状況入力!S38,"")</f>
        <v/>
      </c>
      <c r="G47" s="81" t="str">
        <f>IF($B47="●",①簡易状況入力!H38,"")</f>
        <v/>
      </c>
      <c r="H47" s="81" t="str">
        <f t="shared" si="9"/>
        <v/>
      </c>
      <c r="I47" s="69">
        <f ca="1">OFFSET(③各部被害関数計算結果!$H$2,1+($A47-1)*4,0)</f>
        <v>0</v>
      </c>
      <c r="J47" s="81" t="str">
        <f t="shared" si="10"/>
        <v/>
      </c>
      <c r="K47" s="69">
        <f ca="1">OFFSET(③各部被害関数計算結果!$J$2,1+($A47-1)*4,0)</f>
        <v>0</v>
      </c>
      <c r="L47" s="81" t="str">
        <f>IF($B47="●",①簡易状況入力!I38,"")</f>
        <v/>
      </c>
      <c r="M47" s="81" t="str">
        <f t="shared" si="11"/>
        <v/>
      </c>
      <c r="N47" s="69">
        <f ca="1">OFFSET(③各部被害関数計算結果!$H$2,2+($A47-1)*4,0)</f>
        <v>0</v>
      </c>
      <c r="O47" s="81" t="str">
        <f t="shared" si="12"/>
        <v/>
      </c>
      <c r="P47" s="69">
        <f ca="1">OFFSET(③各部被害関数計算結果!$J$2,2+($A47-1)*4,0)</f>
        <v>0</v>
      </c>
      <c r="Q47" s="81" t="str">
        <f>IF($B47="●",①簡易状況入力!J38,"")</f>
        <v/>
      </c>
      <c r="R47" s="81" t="str">
        <f t="shared" si="13"/>
        <v/>
      </c>
      <c r="S47" s="69">
        <f ca="1">OFFSET(③各部被害関数計算結果!$H$2,3+($A47-1)*4,0)</f>
        <v>0</v>
      </c>
      <c r="T47" s="81" t="str">
        <f t="shared" si="14"/>
        <v/>
      </c>
      <c r="U47" s="69">
        <f ca="1">OFFSET(③各部被害関数計算結果!$J$2,3+($A47-1)*4,0)</f>
        <v>0</v>
      </c>
      <c r="V47" s="81" t="str">
        <f t="shared" si="15"/>
        <v/>
      </c>
      <c r="W47" s="81" t="str">
        <f t="shared" si="16"/>
        <v/>
      </c>
      <c r="X47" s="69">
        <f ca="1">OFFSET(③各部被害関数計算結果!$H$2,4+($A47-1)*4,0)</f>
        <v>0</v>
      </c>
      <c r="Y47" s="81" t="str">
        <f t="shared" si="17"/>
        <v/>
      </c>
      <c r="Z47" s="69">
        <f ca="1">OFFSET(③各部被害関数計算結果!$J$2,4+($A47-1)*4,0)</f>
        <v>0</v>
      </c>
    </row>
    <row r="48" spans="1:26" x14ac:dyDescent="0.15">
      <c r="A48">
        <v>35</v>
      </c>
      <c r="B48" s="49">
        <f>①簡易状況入力!B39</f>
        <v>0</v>
      </c>
      <c r="C48" s="33" t="s">
        <v>270</v>
      </c>
      <c r="D48" s="147" t="str">
        <f>IF($B48="●",①簡易状況入力!D39,"")</f>
        <v/>
      </c>
      <c r="E48" s="80" t="str">
        <f>IF($B48="●",①簡易状況入力!R39,"")</f>
        <v/>
      </c>
      <c r="F48" s="80" t="str">
        <f>IF($B48="●",①簡易状況入力!S39,"")</f>
        <v/>
      </c>
      <c r="G48" s="81" t="str">
        <f>IF($B48="●",①簡易状況入力!H39,"")</f>
        <v/>
      </c>
      <c r="H48" s="81" t="str">
        <f t="shared" si="9"/>
        <v/>
      </c>
      <c r="I48" s="69">
        <f ca="1">OFFSET(③各部被害関数計算結果!$H$2,1+($A48-1)*4,0)</f>
        <v>0</v>
      </c>
      <c r="J48" s="81" t="str">
        <f t="shared" si="10"/>
        <v/>
      </c>
      <c r="K48" s="69">
        <f ca="1">OFFSET(③各部被害関数計算結果!$J$2,1+($A48-1)*4,0)</f>
        <v>0</v>
      </c>
      <c r="L48" s="81" t="str">
        <f>IF($B48="●",①簡易状況入力!I39,"")</f>
        <v/>
      </c>
      <c r="M48" s="81" t="str">
        <f t="shared" si="11"/>
        <v/>
      </c>
      <c r="N48" s="69">
        <f ca="1">OFFSET(③各部被害関数計算結果!$H$2,2+($A48-1)*4,0)</f>
        <v>0</v>
      </c>
      <c r="O48" s="81" t="str">
        <f t="shared" si="12"/>
        <v/>
      </c>
      <c r="P48" s="69">
        <f ca="1">OFFSET(③各部被害関数計算結果!$J$2,2+($A48-1)*4,0)</f>
        <v>0</v>
      </c>
      <c r="Q48" s="81" t="str">
        <f>IF($B48="●",①簡易状況入力!J39,"")</f>
        <v/>
      </c>
      <c r="R48" s="81" t="str">
        <f t="shared" si="13"/>
        <v/>
      </c>
      <c r="S48" s="69">
        <f ca="1">OFFSET(③各部被害関数計算結果!$H$2,3+($A48-1)*4,0)</f>
        <v>0</v>
      </c>
      <c r="T48" s="81" t="str">
        <f t="shared" si="14"/>
        <v/>
      </c>
      <c r="U48" s="69">
        <f ca="1">OFFSET(③各部被害関数計算結果!$J$2,3+($A48-1)*4,0)</f>
        <v>0</v>
      </c>
      <c r="V48" s="81" t="str">
        <f t="shared" si="15"/>
        <v/>
      </c>
      <c r="W48" s="81" t="str">
        <f t="shared" si="16"/>
        <v/>
      </c>
      <c r="X48" s="69">
        <f ca="1">OFFSET(③各部被害関数計算結果!$H$2,4+($A48-1)*4,0)</f>
        <v>0</v>
      </c>
      <c r="Y48" s="81" t="str">
        <f t="shared" si="17"/>
        <v/>
      </c>
      <c r="Z48" s="69">
        <f ca="1">OFFSET(③各部被害関数計算結果!$J$2,4+($A48-1)*4,0)</f>
        <v>0</v>
      </c>
    </row>
    <row r="49" spans="1:26" x14ac:dyDescent="0.15">
      <c r="A49">
        <v>36</v>
      </c>
      <c r="B49" s="49">
        <f>①簡易状況入力!B40</f>
        <v>0</v>
      </c>
      <c r="C49" s="33" t="s">
        <v>271</v>
      </c>
      <c r="D49" s="147" t="str">
        <f>IF($B49="●",①簡易状況入力!D40,"")</f>
        <v/>
      </c>
      <c r="E49" s="80" t="str">
        <f>IF($B49="●",①簡易状況入力!R40,"")</f>
        <v/>
      </c>
      <c r="F49" s="80" t="str">
        <f>IF($B49="●",①簡易状況入力!S40,"")</f>
        <v/>
      </c>
      <c r="G49" s="81" t="str">
        <f>IF($B49="●",①簡易状況入力!H40,"")</f>
        <v/>
      </c>
      <c r="H49" s="81" t="str">
        <f t="shared" si="9"/>
        <v/>
      </c>
      <c r="I49" s="69">
        <f ca="1">OFFSET(③各部被害関数計算結果!$H$2,1+($A49-1)*4,0)</f>
        <v>0</v>
      </c>
      <c r="J49" s="81" t="str">
        <f t="shared" si="10"/>
        <v/>
      </c>
      <c r="K49" s="69">
        <f ca="1">OFFSET(③各部被害関数計算結果!$J$2,1+($A49-1)*4,0)</f>
        <v>0</v>
      </c>
      <c r="L49" s="81" t="str">
        <f>IF($B49="●",①簡易状況入力!I40,"")</f>
        <v/>
      </c>
      <c r="M49" s="81" t="str">
        <f t="shared" si="11"/>
        <v/>
      </c>
      <c r="N49" s="69">
        <f ca="1">OFFSET(③各部被害関数計算結果!$H$2,2+($A49-1)*4,0)</f>
        <v>0</v>
      </c>
      <c r="O49" s="81" t="str">
        <f t="shared" si="12"/>
        <v/>
      </c>
      <c r="P49" s="69">
        <f ca="1">OFFSET(③各部被害関数計算結果!$J$2,2+($A49-1)*4,0)</f>
        <v>0</v>
      </c>
      <c r="Q49" s="81" t="str">
        <f>IF($B49="●",①簡易状況入力!J40,"")</f>
        <v/>
      </c>
      <c r="R49" s="81" t="str">
        <f t="shared" si="13"/>
        <v/>
      </c>
      <c r="S49" s="69">
        <f ca="1">OFFSET(③各部被害関数計算結果!$H$2,3+($A49-1)*4,0)</f>
        <v>0</v>
      </c>
      <c r="T49" s="81" t="str">
        <f t="shared" si="14"/>
        <v/>
      </c>
      <c r="U49" s="69">
        <f ca="1">OFFSET(③各部被害関数計算結果!$J$2,3+($A49-1)*4,0)</f>
        <v>0</v>
      </c>
      <c r="V49" s="81" t="str">
        <f t="shared" si="15"/>
        <v/>
      </c>
      <c r="W49" s="81" t="str">
        <f t="shared" si="16"/>
        <v/>
      </c>
      <c r="X49" s="69">
        <f ca="1">OFFSET(③各部被害関数計算結果!$H$2,4+($A49-1)*4,0)</f>
        <v>0</v>
      </c>
      <c r="Y49" s="81" t="str">
        <f t="shared" si="17"/>
        <v/>
      </c>
      <c r="Z49" s="69">
        <f ca="1">OFFSET(③各部被害関数計算結果!$J$2,4+($A49-1)*4,0)</f>
        <v>0</v>
      </c>
    </row>
    <row r="50" spans="1:26" x14ac:dyDescent="0.15">
      <c r="A50">
        <v>37</v>
      </c>
      <c r="B50" s="49">
        <f>①簡易状況入力!B41</f>
        <v>0</v>
      </c>
      <c r="C50" s="33" t="s">
        <v>272</v>
      </c>
      <c r="D50" s="147" t="str">
        <f>IF($B50="●",①簡易状況入力!D41,"")</f>
        <v/>
      </c>
      <c r="E50" s="80" t="str">
        <f>IF($B50="●",①簡易状況入力!R41,"")</f>
        <v/>
      </c>
      <c r="F50" s="80" t="str">
        <f>IF($B50="●",①簡易状況入力!S41,"")</f>
        <v/>
      </c>
      <c r="G50" s="81" t="str">
        <f>IF($B50="●",①簡易状況入力!H41,"")</f>
        <v/>
      </c>
      <c r="H50" s="81" t="str">
        <f t="shared" si="9"/>
        <v/>
      </c>
      <c r="I50" s="69">
        <f ca="1">OFFSET(③各部被害関数計算結果!$H$2,1+($A50-1)*4,0)</f>
        <v>0</v>
      </c>
      <c r="J50" s="81" t="str">
        <f t="shared" si="10"/>
        <v/>
      </c>
      <c r="K50" s="69">
        <f ca="1">OFFSET(③各部被害関数計算結果!$J$2,1+($A50-1)*4,0)</f>
        <v>0</v>
      </c>
      <c r="L50" s="81" t="str">
        <f>IF($B50="●",①簡易状況入力!I41,"")</f>
        <v/>
      </c>
      <c r="M50" s="81" t="str">
        <f t="shared" si="11"/>
        <v/>
      </c>
      <c r="N50" s="69">
        <f ca="1">OFFSET(③各部被害関数計算結果!$H$2,2+($A50-1)*4,0)</f>
        <v>0</v>
      </c>
      <c r="O50" s="81" t="str">
        <f t="shared" si="12"/>
        <v/>
      </c>
      <c r="P50" s="69">
        <f ca="1">OFFSET(③各部被害関数計算結果!$J$2,2+($A50-1)*4,0)</f>
        <v>0</v>
      </c>
      <c r="Q50" s="81" t="str">
        <f>IF($B50="●",①簡易状況入力!J41,"")</f>
        <v/>
      </c>
      <c r="R50" s="81" t="str">
        <f t="shared" si="13"/>
        <v/>
      </c>
      <c r="S50" s="69">
        <f ca="1">OFFSET(③各部被害関数計算結果!$H$2,3+($A50-1)*4,0)</f>
        <v>0</v>
      </c>
      <c r="T50" s="81" t="str">
        <f t="shared" si="14"/>
        <v/>
      </c>
      <c r="U50" s="69">
        <f ca="1">OFFSET(③各部被害関数計算結果!$J$2,3+($A50-1)*4,0)</f>
        <v>0</v>
      </c>
      <c r="V50" s="81" t="str">
        <f t="shared" si="15"/>
        <v/>
      </c>
      <c r="W50" s="81" t="str">
        <f t="shared" si="16"/>
        <v/>
      </c>
      <c r="X50" s="69">
        <f ca="1">OFFSET(③各部被害関数計算結果!$H$2,4+($A50-1)*4,0)</f>
        <v>0</v>
      </c>
      <c r="Y50" s="81" t="str">
        <f t="shared" si="17"/>
        <v/>
      </c>
      <c r="Z50" s="69">
        <f ca="1">OFFSET(③各部被害関数計算結果!$J$2,4+($A50-1)*4,0)</f>
        <v>0</v>
      </c>
    </row>
    <row r="51" spans="1:26" x14ac:dyDescent="0.15">
      <c r="A51">
        <v>38</v>
      </c>
      <c r="B51" s="49">
        <f>①簡易状況入力!B42</f>
        <v>0</v>
      </c>
      <c r="C51" s="33" t="s">
        <v>273</v>
      </c>
      <c r="D51" s="147" t="str">
        <f>IF($B51="●",①簡易状況入力!D42,"")</f>
        <v/>
      </c>
      <c r="E51" s="80" t="str">
        <f>IF($B51="●",①簡易状況入力!R42,"")</f>
        <v/>
      </c>
      <c r="F51" s="80" t="str">
        <f>IF($B51="●",①簡易状況入力!S42,"")</f>
        <v/>
      </c>
      <c r="G51" s="81" t="str">
        <f>IF($B51="●",①簡易状況入力!H42,"")</f>
        <v/>
      </c>
      <c r="H51" s="81" t="str">
        <f t="shared" si="9"/>
        <v/>
      </c>
      <c r="I51" s="69">
        <f ca="1">OFFSET(③各部被害関数計算結果!$H$2,1+($A51-1)*4,0)</f>
        <v>0</v>
      </c>
      <c r="J51" s="81" t="str">
        <f t="shared" si="10"/>
        <v/>
      </c>
      <c r="K51" s="69">
        <f ca="1">OFFSET(③各部被害関数計算結果!$J$2,1+($A51-1)*4,0)</f>
        <v>0</v>
      </c>
      <c r="L51" s="81" t="str">
        <f>IF($B51="●",①簡易状況入力!I42,"")</f>
        <v/>
      </c>
      <c r="M51" s="81" t="str">
        <f t="shared" si="11"/>
        <v/>
      </c>
      <c r="N51" s="69">
        <f ca="1">OFFSET(③各部被害関数計算結果!$H$2,2+($A51-1)*4,0)</f>
        <v>0</v>
      </c>
      <c r="O51" s="81" t="str">
        <f t="shared" si="12"/>
        <v/>
      </c>
      <c r="P51" s="69">
        <f ca="1">OFFSET(③各部被害関数計算結果!$J$2,2+($A51-1)*4,0)</f>
        <v>0</v>
      </c>
      <c r="Q51" s="81" t="str">
        <f>IF($B51="●",①簡易状況入力!J42,"")</f>
        <v/>
      </c>
      <c r="R51" s="81" t="str">
        <f t="shared" si="13"/>
        <v/>
      </c>
      <c r="S51" s="69">
        <f ca="1">OFFSET(③各部被害関数計算結果!$H$2,3+($A51-1)*4,0)</f>
        <v>0</v>
      </c>
      <c r="T51" s="81" t="str">
        <f t="shared" si="14"/>
        <v/>
      </c>
      <c r="U51" s="69">
        <f ca="1">OFFSET(③各部被害関数計算結果!$J$2,3+($A51-1)*4,0)</f>
        <v>0</v>
      </c>
      <c r="V51" s="81" t="str">
        <f t="shared" si="15"/>
        <v/>
      </c>
      <c r="W51" s="81" t="str">
        <f t="shared" si="16"/>
        <v/>
      </c>
      <c r="X51" s="69">
        <f ca="1">OFFSET(③各部被害関数計算結果!$H$2,4+($A51-1)*4,0)</f>
        <v>0</v>
      </c>
      <c r="Y51" s="81" t="str">
        <f t="shared" si="17"/>
        <v/>
      </c>
      <c r="Z51" s="69">
        <f ca="1">OFFSET(③各部被害関数計算結果!$J$2,4+($A51-1)*4,0)</f>
        <v>0</v>
      </c>
    </row>
    <row r="52" spans="1:26" x14ac:dyDescent="0.15">
      <c r="A52">
        <v>39</v>
      </c>
      <c r="B52" s="49">
        <f>①簡易状況入力!B43</f>
        <v>0</v>
      </c>
      <c r="C52" s="33" t="s">
        <v>274</v>
      </c>
      <c r="D52" s="147" t="str">
        <f>IF($B52="●",①簡易状況入力!D43,"")</f>
        <v/>
      </c>
      <c r="E52" s="80" t="str">
        <f>IF($B52="●",①簡易状況入力!R43,"")</f>
        <v/>
      </c>
      <c r="F52" s="80" t="str">
        <f>IF($B52="●",①簡易状況入力!S43,"")</f>
        <v/>
      </c>
      <c r="G52" s="81" t="str">
        <f>IF($B52="●",①簡易状況入力!H43,"")</f>
        <v/>
      </c>
      <c r="H52" s="81" t="str">
        <f t="shared" si="9"/>
        <v/>
      </c>
      <c r="I52" s="69">
        <f ca="1">OFFSET(③各部被害関数計算結果!$H$2,1+($A52-1)*4,0)</f>
        <v>0</v>
      </c>
      <c r="J52" s="81" t="str">
        <f t="shared" si="10"/>
        <v/>
      </c>
      <c r="K52" s="69">
        <f ca="1">OFFSET(③各部被害関数計算結果!$J$2,1+($A52-1)*4,0)</f>
        <v>0</v>
      </c>
      <c r="L52" s="81" t="str">
        <f>IF($B52="●",①簡易状況入力!I43,"")</f>
        <v/>
      </c>
      <c r="M52" s="81" t="str">
        <f t="shared" si="11"/>
        <v/>
      </c>
      <c r="N52" s="69">
        <f ca="1">OFFSET(③各部被害関数計算結果!$H$2,2+($A52-1)*4,0)</f>
        <v>0</v>
      </c>
      <c r="O52" s="81" t="str">
        <f t="shared" si="12"/>
        <v/>
      </c>
      <c r="P52" s="69">
        <f ca="1">OFFSET(③各部被害関数計算結果!$J$2,2+($A52-1)*4,0)</f>
        <v>0</v>
      </c>
      <c r="Q52" s="81" t="str">
        <f>IF($B52="●",①簡易状況入力!J43,"")</f>
        <v/>
      </c>
      <c r="R52" s="81" t="str">
        <f t="shared" si="13"/>
        <v/>
      </c>
      <c r="S52" s="69">
        <f ca="1">OFFSET(③各部被害関数計算結果!$H$2,3+($A52-1)*4,0)</f>
        <v>0</v>
      </c>
      <c r="T52" s="81" t="str">
        <f t="shared" si="14"/>
        <v/>
      </c>
      <c r="U52" s="69">
        <f ca="1">OFFSET(③各部被害関数計算結果!$J$2,3+($A52-1)*4,0)</f>
        <v>0</v>
      </c>
      <c r="V52" s="81" t="str">
        <f t="shared" si="15"/>
        <v/>
      </c>
      <c r="W52" s="81" t="str">
        <f t="shared" si="16"/>
        <v/>
      </c>
      <c r="X52" s="69">
        <f ca="1">OFFSET(③各部被害関数計算結果!$H$2,4+($A52-1)*4,0)</f>
        <v>0</v>
      </c>
      <c r="Y52" s="81" t="str">
        <f t="shared" si="17"/>
        <v/>
      </c>
      <c r="Z52" s="69">
        <f ca="1">OFFSET(③各部被害関数計算結果!$J$2,4+($A52-1)*4,0)</f>
        <v>0</v>
      </c>
    </row>
    <row r="53" spans="1:26" x14ac:dyDescent="0.15">
      <c r="A53">
        <v>40</v>
      </c>
      <c r="B53" s="49">
        <f>①簡易状況入力!B44</f>
        <v>0</v>
      </c>
      <c r="C53" s="33" t="s">
        <v>275</v>
      </c>
      <c r="D53" s="147" t="str">
        <f>IF($B53="●",①簡易状況入力!D44,"")</f>
        <v/>
      </c>
      <c r="E53" s="80" t="str">
        <f>IF($B53="●",①簡易状況入力!R44,"")</f>
        <v/>
      </c>
      <c r="F53" s="80" t="str">
        <f>IF($B53="●",①簡易状況入力!S44,"")</f>
        <v/>
      </c>
      <c r="G53" s="81" t="str">
        <f>IF($B53="●",①簡易状況入力!H44,"")</f>
        <v/>
      </c>
      <c r="H53" s="81" t="str">
        <f t="shared" si="9"/>
        <v/>
      </c>
      <c r="I53" s="69">
        <f ca="1">OFFSET(③各部被害関数計算結果!$H$2,1+($A53-1)*4,0)</f>
        <v>0</v>
      </c>
      <c r="J53" s="81" t="str">
        <f t="shared" si="10"/>
        <v/>
      </c>
      <c r="K53" s="69">
        <f ca="1">OFFSET(③各部被害関数計算結果!$J$2,1+($A53-1)*4,0)</f>
        <v>0</v>
      </c>
      <c r="L53" s="81" t="str">
        <f>IF($B53="●",①簡易状況入力!I44,"")</f>
        <v/>
      </c>
      <c r="M53" s="81" t="str">
        <f t="shared" si="11"/>
        <v/>
      </c>
      <c r="N53" s="69">
        <f ca="1">OFFSET(③各部被害関数計算結果!$H$2,2+($A53-1)*4,0)</f>
        <v>0</v>
      </c>
      <c r="O53" s="81" t="str">
        <f t="shared" si="12"/>
        <v/>
      </c>
      <c r="P53" s="69">
        <f ca="1">OFFSET(③各部被害関数計算結果!$J$2,2+($A53-1)*4,0)</f>
        <v>0</v>
      </c>
      <c r="Q53" s="81" t="str">
        <f>IF($B53="●",①簡易状況入力!J44,"")</f>
        <v/>
      </c>
      <c r="R53" s="81" t="str">
        <f t="shared" si="13"/>
        <v/>
      </c>
      <c r="S53" s="69">
        <f ca="1">OFFSET(③各部被害関数計算結果!$H$2,3+($A53-1)*4,0)</f>
        <v>0</v>
      </c>
      <c r="T53" s="81" t="str">
        <f t="shared" si="14"/>
        <v/>
      </c>
      <c r="U53" s="69">
        <f ca="1">OFFSET(③各部被害関数計算結果!$J$2,3+($A53-1)*4,0)</f>
        <v>0</v>
      </c>
      <c r="V53" s="81" t="str">
        <f t="shared" si="15"/>
        <v/>
      </c>
      <c r="W53" s="81" t="str">
        <f t="shared" si="16"/>
        <v/>
      </c>
      <c r="X53" s="69">
        <f ca="1">OFFSET(③各部被害関数計算結果!$H$2,4+($A53-1)*4,0)</f>
        <v>0</v>
      </c>
      <c r="Y53" s="81" t="str">
        <f t="shared" si="17"/>
        <v/>
      </c>
      <c r="Z53" s="69">
        <f ca="1">OFFSET(③各部被害関数計算結果!$J$2,4+($A53-1)*4,0)</f>
        <v>0</v>
      </c>
    </row>
    <row r="54" spans="1:26" x14ac:dyDescent="0.15">
      <c r="A54">
        <v>41</v>
      </c>
      <c r="B54" s="49">
        <f>①簡易状況入力!B45</f>
        <v>0</v>
      </c>
      <c r="C54" s="33" t="s">
        <v>276</v>
      </c>
      <c r="D54" s="147" t="str">
        <f>IF($B54="●",①簡易状況入力!D45,"")</f>
        <v/>
      </c>
      <c r="E54" s="80" t="str">
        <f>IF($B54="●",①簡易状況入力!R45,"")</f>
        <v/>
      </c>
      <c r="F54" s="80" t="str">
        <f>IF($B54="●",①簡易状況入力!S45,"")</f>
        <v/>
      </c>
      <c r="G54" s="81" t="str">
        <f>IF($B54="●",①簡易状況入力!H45,"")</f>
        <v/>
      </c>
      <c r="H54" s="81" t="str">
        <f t="shared" si="9"/>
        <v/>
      </c>
      <c r="I54" s="69">
        <f ca="1">OFFSET(③各部被害関数計算結果!$H$2,1+($A54-1)*4,0)</f>
        <v>0</v>
      </c>
      <c r="J54" s="81" t="str">
        <f t="shared" si="10"/>
        <v/>
      </c>
      <c r="K54" s="69">
        <f ca="1">OFFSET(③各部被害関数計算結果!$J$2,1+($A54-1)*4,0)</f>
        <v>0</v>
      </c>
      <c r="L54" s="81" t="str">
        <f>IF($B54="●",①簡易状況入力!I45,"")</f>
        <v/>
      </c>
      <c r="M54" s="81" t="str">
        <f t="shared" si="11"/>
        <v/>
      </c>
      <c r="N54" s="69">
        <f ca="1">OFFSET(③各部被害関数計算結果!$H$2,2+($A54-1)*4,0)</f>
        <v>0</v>
      </c>
      <c r="O54" s="81" t="str">
        <f t="shared" si="12"/>
        <v/>
      </c>
      <c r="P54" s="69">
        <f ca="1">OFFSET(③各部被害関数計算結果!$J$2,2+($A54-1)*4,0)</f>
        <v>0</v>
      </c>
      <c r="Q54" s="81" t="str">
        <f>IF($B54="●",①簡易状況入力!J45,"")</f>
        <v/>
      </c>
      <c r="R54" s="81" t="str">
        <f t="shared" si="13"/>
        <v/>
      </c>
      <c r="S54" s="69">
        <f ca="1">OFFSET(③各部被害関数計算結果!$H$2,3+($A54-1)*4,0)</f>
        <v>0</v>
      </c>
      <c r="T54" s="81" t="str">
        <f t="shared" si="14"/>
        <v/>
      </c>
      <c r="U54" s="69">
        <f ca="1">OFFSET(③各部被害関数計算結果!$J$2,3+($A54-1)*4,0)</f>
        <v>0</v>
      </c>
      <c r="V54" s="81" t="str">
        <f t="shared" si="15"/>
        <v/>
      </c>
      <c r="W54" s="81" t="str">
        <f t="shared" si="16"/>
        <v/>
      </c>
      <c r="X54" s="69">
        <f ca="1">OFFSET(③各部被害関数計算結果!$H$2,4+($A54-1)*4,0)</f>
        <v>0</v>
      </c>
      <c r="Y54" s="81" t="str">
        <f t="shared" si="17"/>
        <v/>
      </c>
      <c r="Z54" s="69">
        <f ca="1">OFFSET(③各部被害関数計算結果!$J$2,4+($A54-1)*4,0)</f>
        <v>0</v>
      </c>
    </row>
    <row r="55" spans="1:26" x14ac:dyDescent="0.15">
      <c r="A55">
        <v>42</v>
      </c>
      <c r="B55" s="49">
        <f>①簡易状況入力!B46</f>
        <v>0</v>
      </c>
      <c r="C55" s="33" t="s">
        <v>277</v>
      </c>
      <c r="D55" s="147" t="str">
        <f>IF($B55="●",①簡易状況入力!D46,"")</f>
        <v/>
      </c>
      <c r="E55" s="80" t="str">
        <f>IF($B55="●",①簡易状況入力!R46,"")</f>
        <v/>
      </c>
      <c r="F55" s="80" t="str">
        <f>IF($B55="●",①簡易状況入力!S46,"")</f>
        <v/>
      </c>
      <c r="G55" s="81" t="str">
        <f>IF($B55="●",①簡易状況入力!H46,"")</f>
        <v/>
      </c>
      <c r="H55" s="81" t="str">
        <f t="shared" si="9"/>
        <v/>
      </c>
      <c r="I55" s="69">
        <f ca="1">OFFSET(③各部被害関数計算結果!$H$2,1+($A55-1)*4,0)</f>
        <v>0</v>
      </c>
      <c r="J55" s="81" t="str">
        <f t="shared" si="10"/>
        <v/>
      </c>
      <c r="K55" s="69">
        <f ca="1">OFFSET(③各部被害関数計算結果!$J$2,1+($A55-1)*4,0)</f>
        <v>0</v>
      </c>
      <c r="L55" s="81" t="str">
        <f>IF($B55="●",①簡易状況入力!I46,"")</f>
        <v/>
      </c>
      <c r="M55" s="81" t="str">
        <f t="shared" si="11"/>
        <v/>
      </c>
      <c r="N55" s="69">
        <f ca="1">OFFSET(③各部被害関数計算結果!$H$2,2+($A55-1)*4,0)</f>
        <v>0</v>
      </c>
      <c r="O55" s="81" t="str">
        <f t="shared" si="12"/>
        <v/>
      </c>
      <c r="P55" s="69">
        <f ca="1">OFFSET(③各部被害関数計算結果!$J$2,2+($A55-1)*4,0)</f>
        <v>0</v>
      </c>
      <c r="Q55" s="81" t="str">
        <f>IF($B55="●",①簡易状況入力!J46,"")</f>
        <v/>
      </c>
      <c r="R55" s="81" t="str">
        <f t="shared" si="13"/>
        <v/>
      </c>
      <c r="S55" s="69">
        <f ca="1">OFFSET(③各部被害関数計算結果!$H$2,3+($A55-1)*4,0)</f>
        <v>0</v>
      </c>
      <c r="T55" s="81" t="str">
        <f t="shared" si="14"/>
        <v/>
      </c>
      <c r="U55" s="69">
        <f ca="1">OFFSET(③各部被害関数計算結果!$J$2,3+($A55-1)*4,0)</f>
        <v>0</v>
      </c>
      <c r="V55" s="81" t="str">
        <f t="shared" si="15"/>
        <v/>
      </c>
      <c r="W55" s="81" t="str">
        <f t="shared" si="16"/>
        <v/>
      </c>
      <c r="X55" s="69">
        <f ca="1">OFFSET(③各部被害関数計算結果!$H$2,4+($A55-1)*4,0)</f>
        <v>0</v>
      </c>
      <c r="Y55" s="81" t="str">
        <f t="shared" si="17"/>
        <v/>
      </c>
      <c r="Z55" s="69">
        <f ca="1">OFFSET(③各部被害関数計算結果!$J$2,4+($A55-1)*4,0)</f>
        <v>0</v>
      </c>
    </row>
    <row r="56" spans="1:26" x14ac:dyDescent="0.15">
      <c r="A56">
        <v>43</v>
      </c>
      <c r="B56" s="49">
        <f>①簡易状況入力!B47</f>
        <v>0</v>
      </c>
      <c r="C56" s="33" t="s">
        <v>278</v>
      </c>
      <c r="D56" s="147" t="str">
        <f>IF($B56="●",①簡易状況入力!D47,"")</f>
        <v/>
      </c>
      <c r="E56" s="80" t="str">
        <f>IF($B56="●",①簡易状況入力!R47,"")</f>
        <v/>
      </c>
      <c r="F56" s="80" t="str">
        <f>IF($B56="●",①簡易状況入力!S47,"")</f>
        <v/>
      </c>
      <c r="G56" s="81" t="str">
        <f>IF($B56="●",①簡易状況入力!H47,"")</f>
        <v/>
      </c>
      <c r="H56" s="81" t="str">
        <f t="shared" si="9"/>
        <v/>
      </c>
      <c r="I56" s="69">
        <f ca="1">OFFSET(③各部被害関数計算結果!$H$2,1+($A56-1)*4,0)</f>
        <v>0</v>
      </c>
      <c r="J56" s="81" t="str">
        <f t="shared" si="10"/>
        <v/>
      </c>
      <c r="K56" s="69">
        <f ca="1">OFFSET(③各部被害関数計算結果!$J$2,1+($A56-1)*4,0)</f>
        <v>0</v>
      </c>
      <c r="L56" s="81" t="str">
        <f>IF($B56="●",①簡易状況入力!I47,"")</f>
        <v/>
      </c>
      <c r="M56" s="81" t="str">
        <f t="shared" si="11"/>
        <v/>
      </c>
      <c r="N56" s="69">
        <f ca="1">OFFSET(③各部被害関数計算結果!$H$2,2+($A56-1)*4,0)</f>
        <v>0</v>
      </c>
      <c r="O56" s="81" t="str">
        <f t="shared" si="12"/>
        <v/>
      </c>
      <c r="P56" s="69">
        <f ca="1">OFFSET(③各部被害関数計算結果!$J$2,2+($A56-1)*4,0)</f>
        <v>0</v>
      </c>
      <c r="Q56" s="81" t="str">
        <f>IF($B56="●",①簡易状況入力!J47,"")</f>
        <v/>
      </c>
      <c r="R56" s="81" t="str">
        <f t="shared" si="13"/>
        <v/>
      </c>
      <c r="S56" s="69">
        <f ca="1">OFFSET(③各部被害関数計算結果!$H$2,3+($A56-1)*4,0)</f>
        <v>0</v>
      </c>
      <c r="T56" s="81" t="str">
        <f t="shared" si="14"/>
        <v/>
      </c>
      <c r="U56" s="69">
        <f ca="1">OFFSET(③各部被害関数計算結果!$J$2,3+($A56-1)*4,0)</f>
        <v>0</v>
      </c>
      <c r="V56" s="81" t="str">
        <f t="shared" si="15"/>
        <v/>
      </c>
      <c r="W56" s="81" t="str">
        <f t="shared" si="16"/>
        <v/>
      </c>
      <c r="X56" s="69">
        <f ca="1">OFFSET(③各部被害関数計算結果!$H$2,4+($A56-1)*4,0)</f>
        <v>0</v>
      </c>
      <c r="Y56" s="81" t="str">
        <f t="shared" si="17"/>
        <v/>
      </c>
      <c r="Z56" s="69">
        <f ca="1">OFFSET(③各部被害関数計算結果!$J$2,4+($A56-1)*4,0)</f>
        <v>0</v>
      </c>
    </row>
    <row r="57" spans="1:26" x14ac:dyDescent="0.15">
      <c r="A57">
        <v>44</v>
      </c>
      <c r="B57" s="49">
        <f>①簡易状況入力!B48</f>
        <v>0</v>
      </c>
      <c r="C57" s="33" t="s">
        <v>279</v>
      </c>
      <c r="D57" s="147" t="str">
        <f>IF($B57="●",①簡易状況入力!D48,"")</f>
        <v/>
      </c>
      <c r="E57" s="80" t="str">
        <f>IF($B57="●",①簡易状況入力!R48,"")</f>
        <v/>
      </c>
      <c r="F57" s="80" t="str">
        <f>IF($B57="●",①簡易状況入力!S48,"")</f>
        <v/>
      </c>
      <c r="G57" s="81" t="str">
        <f>IF($B57="●",①簡易状況入力!H48,"")</f>
        <v/>
      </c>
      <c r="H57" s="81" t="str">
        <f t="shared" si="9"/>
        <v/>
      </c>
      <c r="I57" s="69">
        <f ca="1">OFFSET(③各部被害関数計算結果!$H$2,1+($A57-1)*4,0)</f>
        <v>0</v>
      </c>
      <c r="J57" s="81" t="str">
        <f t="shared" si="10"/>
        <v/>
      </c>
      <c r="K57" s="69">
        <f ca="1">OFFSET(③各部被害関数計算結果!$J$2,1+($A57-1)*4,0)</f>
        <v>0</v>
      </c>
      <c r="L57" s="81" t="str">
        <f>IF($B57="●",①簡易状況入力!I48,"")</f>
        <v/>
      </c>
      <c r="M57" s="81" t="str">
        <f t="shared" si="11"/>
        <v/>
      </c>
      <c r="N57" s="69">
        <f ca="1">OFFSET(③各部被害関数計算結果!$H$2,2+($A57-1)*4,0)</f>
        <v>0</v>
      </c>
      <c r="O57" s="81" t="str">
        <f t="shared" si="12"/>
        <v/>
      </c>
      <c r="P57" s="69">
        <f ca="1">OFFSET(③各部被害関数計算結果!$J$2,2+($A57-1)*4,0)</f>
        <v>0</v>
      </c>
      <c r="Q57" s="81" t="str">
        <f>IF($B57="●",①簡易状況入力!J48,"")</f>
        <v/>
      </c>
      <c r="R57" s="81" t="str">
        <f t="shared" si="13"/>
        <v/>
      </c>
      <c r="S57" s="69">
        <f ca="1">OFFSET(③各部被害関数計算結果!$H$2,3+($A57-1)*4,0)</f>
        <v>0</v>
      </c>
      <c r="T57" s="81" t="str">
        <f t="shared" si="14"/>
        <v/>
      </c>
      <c r="U57" s="69">
        <f ca="1">OFFSET(③各部被害関数計算結果!$J$2,3+($A57-1)*4,0)</f>
        <v>0</v>
      </c>
      <c r="V57" s="81" t="str">
        <f t="shared" si="15"/>
        <v/>
      </c>
      <c r="W57" s="81" t="str">
        <f t="shared" si="16"/>
        <v/>
      </c>
      <c r="X57" s="69">
        <f ca="1">OFFSET(③各部被害関数計算結果!$H$2,4+($A57-1)*4,0)</f>
        <v>0</v>
      </c>
      <c r="Y57" s="81" t="str">
        <f t="shared" si="17"/>
        <v/>
      </c>
      <c r="Z57" s="69">
        <f ca="1">OFFSET(③各部被害関数計算結果!$J$2,4+($A57-1)*4,0)</f>
        <v>0</v>
      </c>
    </row>
    <row r="58" spans="1:26" x14ac:dyDescent="0.15">
      <c r="A58">
        <v>45</v>
      </c>
      <c r="B58" s="49">
        <f>①簡易状況入力!B49</f>
        <v>0</v>
      </c>
      <c r="C58" s="33" t="s">
        <v>280</v>
      </c>
      <c r="D58" s="147" t="str">
        <f>IF($B58="●",①簡易状況入力!D49,"")</f>
        <v/>
      </c>
      <c r="E58" s="80" t="str">
        <f>IF($B58="●",①簡易状況入力!R49,"")</f>
        <v/>
      </c>
      <c r="F58" s="80" t="str">
        <f>IF($B58="●",①簡易状況入力!S49,"")</f>
        <v/>
      </c>
      <c r="G58" s="81" t="str">
        <f>IF($B58="●",①簡易状況入力!H49,"")</f>
        <v/>
      </c>
      <c r="H58" s="81" t="str">
        <f t="shared" si="9"/>
        <v/>
      </c>
      <c r="I58" s="69">
        <f ca="1">OFFSET(③各部被害関数計算結果!$H$2,1+($A58-1)*4,0)</f>
        <v>0</v>
      </c>
      <c r="J58" s="81" t="str">
        <f t="shared" si="10"/>
        <v/>
      </c>
      <c r="K58" s="69">
        <f ca="1">OFFSET(③各部被害関数計算結果!$J$2,1+($A58-1)*4,0)</f>
        <v>0</v>
      </c>
      <c r="L58" s="81" t="str">
        <f>IF($B58="●",①簡易状況入力!I49,"")</f>
        <v/>
      </c>
      <c r="M58" s="81" t="str">
        <f t="shared" si="11"/>
        <v/>
      </c>
      <c r="N58" s="69">
        <f ca="1">OFFSET(③各部被害関数計算結果!$H$2,2+($A58-1)*4,0)</f>
        <v>0</v>
      </c>
      <c r="O58" s="81" t="str">
        <f t="shared" si="12"/>
        <v/>
      </c>
      <c r="P58" s="69">
        <f ca="1">OFFSET(③各部被害関数計算結果!$J$2,2+($A58-1)*4,0)</f>
        <v>0</v>
      </c>
      <c r="Q58" s="81" t="str">
        <f>IF($B58="●",①簡易状況入力!J49,"")</f>
        <v/>
      </c>
      <c r="R58" s="81" t="str">
        <f t="shared" si="13"/>
        <v/>
      </c>
      <c r="S58" s="69">
        <f ca="1">OFFSET(③各部被害関数計算結果!$H$2,3+($A58-1)*4,0)</f>
        <v>0</v>
      </c>
      <c r="T58" s="81" t="str">
        <f t="shared" si="14"/>
        <v/>
      </c>
      <c r="U58" s="69">
        <f ca="1">OFFSET(③各部被害関数計算結果!$J$2,3+($A58-1)*4,0)</f>
        <v>0</v>
      </c>
      <c r="V58" s="81" t="str">
        <f t="shared" si="15"/>
        <v/>
      </c>
      <c r="W58" s="81" t="str">
        <f t="shared" si="16"/>
        <v/>
      </c>
      <c r="X58" s="69">
        <f ca="1">OFFSET(③各部被害関数計算結果!$H$2,4+($A58-1)*4,0)</f>
        <v>0</v>
      </c>
      <c r="Y58" s="81" t="str">
        <f t="shared" si="17"/>
        <v/>
      </c>
      <c r="Z58" s="69">
        <f ca="1">OFFSET(③各部被害関数計算結果!$J$2,4+($A58-1)*4,0)</f>
        <v>0</v>
      </c>
    </row>
    <row r="59" spans="1:26" x14ac:dyDescent="0.15">
      <c r="A59">
        <v>46</v>
      </c>
      <c r="B59" s="49">
        <f>①簡易状況入力!B50</f>
        <v>0</v>
      </c>
      <c r="C59" s="33" t="s">
        <v>281</v>
      </c>
      <c r="D59" s="147" t="str">
        <f>IF($B59="●",①簡易状況入力!D50,"")</f>
        <v/>
      </c>
      <c r="E59" s="80" t="str">
        <f>IF($B59="●",①簡易状況入力!R50,"")</f>
        <v/>
      </c>
      <c r="F59" s="80" t="str">
        <f>IF($B59="●",①簡易状況入力!S50,"")</f>
        <v/>
      </c>
      <c r="G59" s="81" t="str">
        <f>IF($B59="●",①簡易状況入力!H50,"")</f>
        <v/>
      </c>
      <c r="H59" s="81" t="str">
        <f t="shared" si="9"/>
        <v/>
      </c>
      <c r="I59" s="69">
        <f ca="1">OFFSET(③各部被害関数計算結果!$H$2,1+($A59-1)*4,0)</f>
        <v>0</v>
      </c>
      <c r="J59" s="81" t="str">
        <f t="shared" si="10"/>
        <v/>
      </c>
      <c r="K59" s="69">
        <f ca="1">OFFSET(③各部被害関数計算結果!$J$2,1+($A59-1)*4,0)</f>
        <v>0</v>
      </c>
      <c r="L59" s="81" t="str">
        <f>IF($B59="●",①簡易状況入力!I50,"")</f>
        <v/>
      </c>
      <c r="M59" s="81" t="str">
        <f t="shared" si="11"/>
        <v/>
      </c>
      <c r="N59" s="69">
        <f ca="1">OFFSET(③各部被害関数計算結果!$H$2,2+($A59-1)*4,0)</f>
        <v>0</v>
      </c>
      <c r="O59" s="81" t="str">
        <f t="shared" si="12"/>
        <v/>
      </c>
      <c r="P59" s="69">
        <f ca="1">OFFSET(③各部被害関数計算結果!$J$2,2+($A59-1)*4,0)</f>
        <v>0</v>
      </c>
      <c r="Q59" s="81" t="str">
        <f>IF($B59="●",①簡易状況入力!J50,"")</f>
        <v/>
      </c>
      <c r="R59" s="81" t="str">
        <f t="shared" si="13"/>
        <v/>
      </c>
      <c r="S59" s="69">
        <f ca="1">OFFSET(③各部被害関数計算結果!$H$2,3+($A59-1)*4,0)</f>
        <v>0</v>
      </c>
      <c r="T59" s="81" t="str">
        <f t="shared" si="14"/>
        <v/>
      </c>
      <c r="U59" s="69">
        <f ca="1">OFFSET(③各部被害関数計算結果!$J$2,3+($A59-1)*4,0)</f>
        <v>0</v>
      </c>
      <c r="V59" s="81" t="str">
        <f t="shared" si="15"/>
        <v/>
      </c>
      <c r="W59" s="81" t="str">
        <f t="shared" si="16"/>
        <v/>
      </c>
      <c r="X59" s="69">
        <f ca="1">OFFSET(③各部被害関数計算結果!$H$2,4+($A59-1)*4,0)</f>
        <v>0</v>
      </c>
      <c r="Y59" s="81" t="str">
        <f t="shared" si="17"/>
        <v/>
      </c>
      <c r="Z59" s="69">
        <f ca="1">OFFSET(③各部被害関数計算結果!$J$2,4+($A59-1)*4,0)</f>
        <v>0</v>
      </c>
    </row>
    <row r="60" spans="1:26" x14ac:dyDescent="0.15">
      <c r="A60">
        <v>47</v>
      </c>
      <c r="B60" s="49">
        <f>①簡易状況入力!B51</f>
        <v>0</v>
      </c>
      <c r="C60" s="33" t="s">
        <v>282</v>
      </c>
      <c r="D60" s="147" t="str">
        <f>IF($B60="●",①簡易状況入力!D51,"")</f>
        <v/>
      </c>
      <c r="E60" s="80" t="str">
        <f>IF($B60="●",①簡易状況入力!R51,"")</f>
        <v/>
      </c>
      <c r="F60" s="80" t="str">
        <f>IF($B60="●",①簡易状況入力!S51,"")</f>
        <v/>
      </c>
      <c r="G60" s="81" t="str">
        <f>IF($B60="●",①簡易状況入力!H51,"")</f>
        <v/>
      </c>
      <c r="H60" s="81" t="str">
        <f t="shared" si="9"/>
        <v/>
      </c>
      <c r="I60" s="69">
        <f ca="1">OFFSET(③各部被害関数計算結果!$H$2,1+($A60-1)*4,0)</f>
        <v>0</v>
      </c>
      <c r="J60" s="81" t="str">
        <f t="shared" si="10"/>
        <v/>
      </c>
      <c r="K60" s="69">
        <f ca="1">OFFSET(③各部被害関数計算結果!$J$2,1+($A60-1)*4,0)</f>
        <v>0</v>
      </c>
      <c r="L60" s="81" t="str">
        <f>IF($B60="●",①簡易状況入力!I51,"")</f>
        <v/>
      </c>
      <c r="M60" s="81" t="str">
        <f t="shared" si="11"/>
        <v/>
      </c>
      <c r="N60" s="69">
        <f ca="1">OFFSET(③各部被害関数計算結果!$H$2,2+($A60-1)*4,0)</f>
        <v>0</v>
      </c>
      <c r="O60" s="81" t="str">
        <f t="shared" si="12"/>
        <v/>
      </c>
      <c r="P60" s="69">
        <f ca="1">OFFSET(③各部被害関数計算結果!$J$2,2+($A60-1)*4,0)</f>
        <v>0</v>
      </c>
      <c r="Q60" s="81" t="str">
        <f>IF($B60="●",①簡易状況入力!J51,"")</f>
        <v/>
      </c>
      <c r="R60" s="81" t="str">
        <f t="shared" si="13"/>
        <v/>
      </c>
      <c r="S60" s="69">
        <f ca="1">OFFSET(③各部被害関数計算結果!$H$2,3+($A60-1)*4,0)</f>
        <v>0</v>
      </c>
      <c r="T60" s="81" t="str">
        <f t="shared" si="14"/>
        <v/>
      </c>
      <c r="U60" s="69">
        <f ca="1">OFFSET(③各部被害関数計算結果!$J$2,3+($A60-1)*4,0)</f>
        <v>0</v>
      </c>
      <c r="V60" s="81" t="str">
        <f t="shared" si="15"/>
        <v/>
      </c>
      <c r="W60" s="81" t="str">
        <f t="shared" si="16"/>
        <v/>
      </c>
      <c r="X60" s="69">
        <f ca="1">OFFSET(③各部被害関数計算結果!$H$2,4+($A60-1)*4,0)</f>
        <v>0</v>
      </c>
      <c r="Y60" s="81" t="str">
        <f t="shared" si="17"/>
        <v/>
      </c>
      <c r="Z60" s="69">
        <f ca="1">OFFSET(③各部被害関数計算結果!$J$2,4+($A60-1)*4,0)</f>
        <v>0</v>
      </c>
    </row>
    <row r="61" spans="1:26" x14ac:dyDescent="0.15">
      <c r="A61">
        <v>48</v>
      </c>
      <c r="B61" s="49">
        <f>①簡易状況入力!B52</f>
        <v>0</v>
      </c>
      <c r="C61" s="33" t="s">
        <v>283</v>
      </c>
      <c r="D61" s="147" t="str">
        <f>IF($B61="●",①簡易状況入力!D52,"")</f>
        <v/>
      </c>
      <c r="E61" s="80" t="str">
        <f>IF($B61="●",①簡易状況入力!R52,"")</f>
        <v/>
      </c>
      <c r="F61" s="80" t="str">
        <f>IF($B61="●",①簡易状況入力!S52,"")</f>
        <v/>
      </c>
      <c r="G61" s="81" t="str">
        <f>IF($B61="●",①簡易状況入力!H52,"")</f>
        <v/>
      </c>
      <c r="H61" s="81" t="str">
        <f t="shared" si="9"/>
        <v/>
      </c>
      <c r="I61" s="69">
        <f ca="1">OFFSET(③各部被害関数計算結果!$H$2,1+($A61-1)*4,0)</f>
        <v>0</v>
      </c>
      <c r="J61" s="81" t="str">
        <f t="shared" si="10"/>
        <v/>
      </c>
      <c r="K61" s="69">
        <f ca="1">OFFSET(③各部被害関数計算結果!$J$2,1+($A61-1)*4,0)</f>
        <v>0</v>
      </c>
      <c r="L61" s="81" t="str">
        <f>IF($B61="●",①簡易状況入力!I52,"")</f>
        <v/>
      </c>
      <c r="M61" s="81" t="str">
        <f t="shared" si="11"/>
        <v/>
      </c>
      <c r="N61" s="69">
        <f ca="1">OFFSET(③各部被害関数計算結果!$H$2,2+($A61-1)*4,0)</f>
        <v>0</v>
      </c>
      <c r="O61" s="81" t="str">
        <f t="shared" si="12"/>
        <v/>
      </c>
      <c r="P61" s="69">
        <f ca="1">OFFSET(③各部被害関数計算結果!$J$2,2+($A61-1)*4,0)</f>
        <v>0</v>
      </c>
      <c r="Q61" s="81" t="str">
        <f>IF($B61="●",①簡易状況入力!J52,"")</f>
        <v/>
      </c>
      <c r="R61" s="81" t="str">
        <f t="shared" si="13"/>
        <v/>
      </c>
      <c r="S61" s="69">
        <f ca="1">OFFSET(③各部被害関数計算結果!$H$2,3+($A61-1)*4,0)</f>
        <v>0</v>
      </c>
      <c r="T61" s="81" t="str">
        <f t="shared" si="14"/>
        <v/>
      </c>
      <c r="U61" s="69">
        <f ca="1">OFFSET(③各部被害関数計算結果!$J$2,3+($A61-1)*4,0)</f>
        <v>0</v>
      </c>
      <c r="V61" s="81" t="str">
        <f t="shared" si="15"/>
        <v/>
      </c>
      <c r="W61" s="81" t="str">
        <f t="shared" si="16"/>
        <v/>
      </c>
      <c r="X61" s="69">
        <f ca="1">OFFSET(③各部被害関数計算結果!$H$2,4+($A61-1)*4,0)</f>
        <v>0</v>
      </c>
      <c r="Y61" s="81" t="str">
        <f t="shared" si="17"/>
        <v/>
      </c>
      <c r="Z61" s="69">
        <f ca="1">OFFSET(③各部被害関数計算結果!$J$2,4+($A61-1)*4,0)</f>
        <v>0</v>
      </c>
    </row>
    <row r="62" spans="1:26" x14ac:dyDescent="0.15">
      <c r="A62">
        <v>49</v>
      </c>
      <c r="B62" s="49">
        <f>①簡易状況入力!B53</f>
        <v>0</v>
      </c>
      <c r="C62" s="33" t="s">
        <v>284</v>
      </c>
      <c r="D62" s="147" t="str">
        <f>IF($B62="●",①簡易状況入力!D53,"")</f>
        <v/>
      </c>
      <c r="E62" s="80" t="str">
        <f>IF($B62="●",①簡易状況入力!R53,"")</f>
        <v/>
      </c>
      <c r="F62" s="80" t="str">
        <f>IF($B62="●",①簡易状況入力!S53,"")</f>
        <v/>
      </c>
      <c r="G62" s="81" t="str">
        <f>IF($B62="●",①簡易状況入力!H53,"")</f>
        <v/>
      </c>
      <c r="H62" s="81" t="str">
        <f t="shared" si="9"/>
        <v/>
      </c>
      <c r="I62" s="69">
        <f ca="1">OFFSET(③各部被害関数計算結果!$H$2,1+($A62-1)*4,0)</f>
        <v>0</v>
      </c>
      <c r="J62" s="81" t="str">
        <f t="shared" si="10"/>
        <v/>
      </c>
      <c r="K62" s="69">
        <f ca="1">OFFSET(③各部被害関数計算結果!$J$2,1+($A62-1)*4,0)</f>
        <v>0</v>
      </c>
      <c r="L62" s="81" t="str">
        <f>IF($B62="●",①簡易状況入力!I53,"")</f>
        <v/>
      </c>
      <c r="M62" s="81" t="str">
        <f t="shared" si="11"/>
        <v/>
      </c>
      <c r="N62" s="69">
        <f ca="1">OFFSET(③各部被害関数計算結果!$H$2,2+($A62-1)*4,0)</f>
        <v>0</v>
      </c>
      <c r="O62" s="81" t="str">
        <f t="shared" si="12"/>
        <v/>
      </c>
      <c r="P62" s="69">
        <f ca="1">OFFSET(③各部被害関数計算結果!$J$2,2+($A62-1)*4,0)</f>
        <v>0</v>
      </c>
      <c r="Q62" s="81" t="str">
        <f>IF($B62="●",①簡易状況入力!J53,"")</f>
        <v/>
      </c>
      <c r="R62" s="81" t="str">
        <f t="shared" si="13"/>
        <v/>
      </c>
      <c r="S62" s="69">
        <f ca="1">OFFSET(③各部被害関数計算結果!$H$2,3+($A62-1)*4,0)</f>
        <v>0</v>
      </c>
      <c r="T62" s="81" t="str">
        <f t="shared" si="14"/>
        <v/>
      </c>
      <c r="U62" s="69">
        <f ca="1">OFFSET(③各部被害関数計算結果!$J$2,3+($A62-1)*4,0)</f>
        <v>0</v>
      </c>
      <c r="V62" s="81" t="str">
        <f t="shared" si="15"/>
        <v/>
      </c>
      <c r="W62" s="81" t="str">
        <f t="shared" si="16"/>
        <v/>
      </c>
      <c r="X62" s="69">
        <f ca="1">OFFSET(③各部被害関数計算結果!$H$2,4+($A62-1)*4,0)</f>
        <v>0</v>
      </c>
      <c r="Y62" s="81" t="str">
        <f t="shared" si="17"/>
        <v/>
      </c>
      <c r="Z62" s="69">
        <f ca="1">OFFSET(③各部被害関数計算結果!$J$2,4+($A62-1)*4,0)</f>
        <v>0</v>
      </c>
    </row>
    <row r="63" spans="1:26" x14ac:dyDescent="0.15">
      <c r="A63">
        <v>50</v>
      </c>
      <c r="B63" s="49">
        <f>①簡易状況入力!B54</f>
        <v>0</v>
      </c>
      <c r="C63" s="33" t="s">
        <v>285</v>
      </c>
      <c r="D63" s="147" t="str">
        <f>IF($B63="●",①簡易状況入力!D54,"")</f>
        <v/>
      </c>
      <c r="E63" s="80" t="str">
        <f>IF($B63="●",①簡易状況入力!R54,"")</f>
        <v/>
      </c>
      <c r="F63" s="80" t="str">
        <f>IF($B63="●",①簡易状況入力!S54,"")</f>
        <v/>
      </c>
      <c r="G63" s="81" t="str">
        <f>IF($B63="●",①簡易状況入力!H54,"")</f>
        <v/>
      </c>
      <c r="H63" s="81" t="str">
        <f t="shared" si="9"/>
        <v/>
      </c>
      <c r="I63" s="69">
        <f ca="1">OFFSET(③各部被害関数計算結果!$H$2,1+($A63-1)*4,0)</f>
        <v>0</v>
      </c>
      <c r="J63" s="81" t="str">
        <f t="shared" si="10"/>
        <v/>
      </c>
      <c r="K63" s="69">
        <f ca="1">OFFSET(③各部被害関数計算結果!$J$2,1+($A63-1)*4,0)</f>
        <v>0</v>
      </c>
      <c r="L63" s="81" t="str">
        <f>IF($B63="●",①簡易状況入力!I54,"")</f>
        <v/>
      </c>
      <c r="M63" s="81" t="str">
        <f t="shared" si="11"/>
        <v/>
      </c>
      <c r="N63" s="69">
        <f ca="1">OFFSET(③各部被害関数計算結果!$H$2,2+($A63-1)*4,0)</f>
        <v>0</v>
      </c>
      <c r="O63" s="81" t="str">
        <f t="shared" si="12"/>
        <v/>
      </c>
      <c r="P63" s="69">
        <f ca="1">OFFSET(③各部被害関数計算結果!$J$2,2+($A63-1)*4,0)</f>
        <v>0</v>
      </c>
      <c r="Q63" s="81" t="str">
        <f>IF($B63="●",①簡易状況入力!J54,"")</f>
        <v/>
      </c>
      <c r="R63" s="81" t="str">
        <f t="shared" si="13"/>
        <v/>
      </c>
      <c r="S63" s="69">
        <f ca="1">OFFSET(③各部被害関数計算結果!$H$2,3+($A63-1)*4,0)</f>
        <v>0</v>
      </c>
      <c r="T63" s="81" t="str">
        <f t="shared" si="14"/>
        <v/>
      </c>
      <c r="U63" s="69">
        <f ca="1">OFFSET(③各部被害関数計算結果!$J$2,3+($A63-1)*4,0)</f>
        <v>0</v>
      </c>
      <c r="V63" s="81" t="str">
        <f t="shared" si="15"/>
        <v/>
      </c>
      <c r="W63" s="81" t="str">
        <f t="shared" si="16"/>
        <v/>
      </c>
      <c r="X63" s="69">
        <f ca="1">OFFSET(③各部被害関数計算結果!$H$2,4+($A63-1)*4,0)</f>
        <v>0</v>
      </c>
      <c r="Y63" s="81" t="str">
        <f t="shared" si="17"/>
        <v/>
      </c>
      <c r="Z63" s="69">
        <f ca="1">OFFSET(③各部被害関数計算結果!$J$2,4+($A63-1)*4,0)</f>
        <v>0</v>
      </c>
    </row>
    <row r="64" spans="1:26" x14ac:dyDescent="0.15">
      <c r="A64">
        <v>51</v>
      </c>
      <c r="B64" s="49">
        <f>①簡易状況入力!B55</f>
        <v>0</v>
      </c>
      <c r="C64" s="33" t="s">
        <v>286</v>
      </c>
      <c r="D64" s="147" t="str">
        <f>IF($B64="●",①簡易状況入力!D55,"")</f>
        <v/>
      </c>
      <c r="E64" s="80" t="str">
        <f>IF($B64="●",①簡易状況入力!R55,"")</f>
        <v/>
      </c>
      <c r="F64" s="80" t="str">
        <f>IF($B64="●",①簡易状況入力!S55,"")</f>
        <v/>
      </c>
      <c r="G64" s="81" t="str">
        <f>IF($B64="●",①簡易状況入力!H55,"")</f>
        <v/>
      </c>
      <c r="H64" s="81" t="str">
        <f t="shared" si="9"/>
        <v/>
      </c>
      <c r="I64" s="69">
        <f ca="1">OFFSET(③各部被害関数計算結果!$H$2,1+($A64-1)*4,0)</f>
        <v>0</v>
      </c>
      <c r="J64" s="81" t="str">
        <f t="shared" si="10"/>
        <v/>
      </c>
      <c r="K64" s="69">
        <f ca="1">OFFSET(③各部被害関数計算結果!$J$2,1+($A64-1)*4,0)</f>
        <v>0</v>
      </c>
      <c r="L64" s="81" t="str">
        <f>IF($B64="●",①簡易状況入力!I55,"")</f>
        <v/>
      </c>
      <c r="M64" s="81" t="str">
        <f t="shared" si="11"/>
        <v/>
      </c>
      <c r="N64" s="69">
        <f ca="1">OFFSET(③各部被害関数計算結果!$H$2,2+($A64-1)*4,0)</f>
        <v>0</v>
      </c>
      <c r="O64" s="81" t="str">
        <f t="shared" si="12"/>
        <v/>
      </c>
      <c r="P64" s="69">
        <f ca="1">OFFSET(③各部被害関数計算結果!$J$2,2+($A64-1)*4,0)</f>
        <v>0</v>
      </c>
      <c r="Q64" s="81" t="str">
        <f>IF($B64="●",①簡易状況入力!J55,"")</f>
        <v/>
      </c>
      <c r="R64" s="81" t="str">
        <f t="shared" si="13"/>
        <v/>
      </c>
      <c r="S64" s="69">
        <f ca="1">OFFSET(③各部被害関数計算結果!$H$2,3+($A64-1)*4,0)</f>
        <v>0</v>
      </c>
      <c r="T64" s="81" t="str">
        <f t="shared" si="14"/>
        <v/>
      </c>
      <c r="U64" s="69">
        <f ca="1">OFFSET(③各部被害関数計算結果!$J$2,3+($A64-1)*4,0)</f>
        <v>0</v>
      </c>
      <c r="V64" s="81" t="str">
        <f t="shared" si="15"/>
        <v/>
      </c>
      <c r="W64" s="81" t="str">
        <f t="shared" si="16"/>
        <v/>
      </c>
      <c r="X64" s="69">
        <f ca="1">OFFSET(③各部被害関数計算結果!$H$2,4+($A64-1)*4,0)</f>
        <v>0</v>
      </c>
      <c r="Y64" s="81" t="str">
        <f t="shared" si="17"/>
        <v/>
      </c>
      <c r="Z64" s="69">
        <f ca="1">OFFSET(③各部被害関数計算結果!$J$2,4+($A64-1)*4,0)</f>
        <v>0</v>
      </c>
    </row>
    <row r="65" spans="1:26" x14ac:dyDescent="0.15">
      <c r="A65">
        <v>52</v>
      </c>
      <c r="B65" s="49">
        <f>①簡易状況入力!B56</f>
        <v>0</v>
      </c>
      <c r="C65" s="33" t="s">
        <v>287</v>
      </c>
      <c r="D65" s="147" t="str">
        <f>IF($B65="●",①簡易状況入力!D56,"")</f>
        <v/>
      </c>
      <c r="E65" s="80" t="str">
        <f>IF($B65="●",①簡易状況入力!R56,"")</f>
        <v/>
      </c>
      <c r="F65" s="80" t="str">
        <f>IF($B65="●",①簡易状況入力!S56,"")</f>
        <v/>
      </c>
      <c r="G65" s="81" t="str">
        <f>IF($B65="●",①簡易状況入力!H56,"")</f>
        <v/>
      </c>
      <c r="H65" s="81" t="str">
        <f t="shared" si="9"/>
        <v/>
      </c>
      <c r="I65" s="69">
        <f ca="1">OFFSET(③各部被害関数計算結果!$H$2,1+($A65-1)*4,0)</f>
        <v>0</v>
      </c>
      <c r="J65" s="81" t="str">
        <f t="shared" si="10"/>
        <v/>
      </c>
      <c r="K65" s="69">
        <f ca="1">OFFSET(③各部被害関数計算結果!$J$2,1+($A65-1)*4,0)</f>
        <v>0</v>
      </c>
      <c r="L65" s="81" t="str">
        <f>IF($B65="●",①簡易状況入力!I56,"")</f>
        <v/>
      </c>
      <c r="M65" s="81" t="str">
        <f t="shared" si="11"/>
        <v/>
      </c>
      <c r="N65" s="69">
        <f ca="1">OFFSET(③各部被害関数計算結果!$H$2,2+($A65-1)*4,0)</f>
        <v>0</v>
      </c>
      <c r="O65" s="81" t="str">
        <f t="shared" si="12"/>
        <v/>
      </c>
      <c r="P65" s="69">
        <f ca="1">OFFSET(③各部被害関数計算結果!$J$2,2+($A65-1)*4,0)</f>
        <v>0</v>
      </c>
      <c r="Q65" s="81" t="str">
        <f>IF($B65="●",①簡易状況入力!J56,"")</f>
        <v/>
      </c>
      <c r="R65" s="81" t="str">
        <f t="shared" si="13"/>
        <v/>
      </c>
      <c r="S65" s="69">
        <f ca="1">OFFSET(③各部被害関数計算結果!$H$2,3+($A65-1)*4,0)</f>
        <v>0</v>
      </c>
      <c r="T65" s="81" t="str">
        <f t="shared" si="14"/>
        <v/>
      </c>
      <c r="U65" s="69">
        <f ca="1">OFFSET(③各部被害関数計算結果!$J$2,3+($A65-1)*4,0)</f>
        <v>0</v>
      </c>
      <c r="V65" s="81" t="str">
        <f t="shared" si="15"/>
        <v/>
      </c>
      <c r="W65" s="81" t="str">
        <f t="shared" si="16"/>
        <v/>
      </c>
      <c r="X65" s="69">
        <f ca="1">OFFSET(③各部被害関数計算結果!$H$2,4+($A65-1)*4,0)</f>
        <v>0</v>
      </c>
      <c r="Y65" s="81" t="str">
        <f t="shared" si="17"/>
        <v/>
      </c>
      <c r="Z65" s="69">
        <f ca="1">OFFSET(③各部被害関数計算結果!$J$2,4+($A65-1)*4,0)</f>
        <v>0</v>
      </c>
    </row>
    <row r="66" spans="1:26" x14ac:dyDescent="0.15">
      <c r="A66">
        <v>53</v>
      </c>
      <c r="B66" s="49">
        <f>①簡易状況入力!B57</f>
        <v>0</v>
      </c>
      <c r="C66" s="33" t="s">
        <v>288</v>
      </c>
      <c r="D66" s="147" t="str">
        <f>IF($B66="●",①簡易状況入力!D57,"")</f>
        <v/>
      </c>
      <c r="E66" s="80" t="str">
        <f>IF($B66="●",①簡易状況入力!R57,"")</f>
        <v/>
      </c>
      <c r="F66" s="80" t="str">
        <f>IF($B66="●",①簡易状況入力!S57,"")</f>
        <v/>
      </c>
      <c r="G66" s="81" t="str">
        <f>IF($B66="●",①簡易状況入力!H57,"")</f>
        <v/>
      </c>
      <c r="H66" s="81" t="str">
        <f t="shared" si="9"/>
        <v/>
      </c>
      <c r="I66" s="69">
        <f ca="1">OFFSET(③各部被害関数計算結果!$H$2,1+($A66-1)*4,0)</f>
        <v>0</v>
      </c>
      <c r="J66" s="81" t="str">
        <f t="shared" si="10"/>
        <v/>
      </c>
      <c r="K66" s="69">
        <f ca="1">OFFSET(③各部被害関数計算結果!$J$2,1+($A66-1)*4,0)</f>
        <v>0</v>
      </c>
      <c r="L66" s="81" t="str">
        <f>IF($B66="●",①簡易状況入力!I57,"")</f>
        <v/>
      </c>
      <c r="M66" s="81" t="str">
        <f t="shared" si="11"/>
        <v/>
      </c>
      <c r="N66" s="69">
        <f ca="1">OFFSET(③各部被害関数計算結果!$H$2,2+($A66-1)*4,0)</f>
        <v>0</v>
      </c>
      <c r="O66" s="81" t="str">
        <f t="shared" si="12"/>
        <v/>
      </c>
      <c r="P66" s="69">
        <f ca="1">OFFSET(③各部被害関数計算結果!$J$2,2+($A66-1)*4,0)</f>
        <v>0</v>
      </c>
      <c r="Q66" s="81" t="str">
        <f>IF($B66="●",①簡易状況入力!J57,"")</f>
        <v/>
      </c>
      <c r="R66" s="81" t="str">
        <f t="shared" si="13"/>
        <v/>
      </c>
      <c r="S66" s="69">
        <f ca="1">OFFSET(③各部被害関数計算結果!$H$2,3+($A66-1)*4,0)</f>
        <v>0</v>
      </c>
      <c r="T66" s="81" t="str">
        <f t="shared" si="14"/>
        <v/>
      </c>
      <c r="U66" s="69">
        <f ca="1">OFFSET(③各部被害関数計算結果!$J$2,3+($A66-1)*4,0)</f>
        <v>0</v>
      </c>
      <c r="V66" s="81" t="str">
        <f t="shared" si="15"/>
        <v/>
      </c>
      <c r="W66" s="81" t="str">
        <f t="shared" si="16"/>
        <v/>
      </c>
      <c r="X66" s="69">
        <f ca="1">OFFSET(③各部被害関数計算結果!$H$2,4+($A66-1)*4,0)</f>
        <v>0</v>
      </c>
      <c r="Y66" s="81" t="str">
        <f t="shared" si="17"/>
        <v/>
      </c>
      <c r="Z66" s="69">
        <f ca="1">OFFSET(③各部被害関数計算結果!$J$2,4+($A66-1)*4,0)</f>
        <v>0</v>
      </c>
    </row>
    <row r="67" spans="1:26" x14ac:dyDescent="0.15">
      <c r="A67">
        <v>54</v>
      </c>
      <c r="B67" s="49">
        <f>①簡易状況入力!B58</f>
        <v>0</v>
      </c>
      <c r="C67" s="33" t="s">
        <v>289</v>
      </c>
      <c r="D67" s="147" t="str">
        <f>IF($B67="●",①簡易状況入力!D58,"")</f>
        <v/>
      </c>
      <c r="E67" s="80" t="str">
        <f>IF($B67="●",①簡易状況入力!R58,"")</f>
        <v/>
      </c>
      <c r="F67" s="80" t="str">
        <f>IF($B67="●",①簡易状況入力!S58,"")</f>
        <v/>
      </c>
      <c r="G67" s="81" t="str">
        <f>IF($B67="●",①簡易状況入力!H58,"")</f>
        <v/>
      </c>
      <c r="H67" s="81" t="str">
        <f t="shared" si="9"/>
        <v/>
      </c>
      <c r="I67" s="69">
        <f ca="1">OFFSET(③各部被害関数計算結果!$H$2,1+($A67-1)*4,0)</f>
        <v>0</v>
      </c>
      <c r="J67" s="81" t="str">
        <f t="shared" si="10"/>
        <v/>
      </c>
      <c r="K67" s="69">
        <f ca="1">OFFSET(③各部被害関数計算結果!$J$2,1+($A67-1)*4,0)</f>
        <v>0</v>
      </c>
      <c r="L67" s="81" t="str">
        <f>IF($B67="●",①簡易状況入力!I58,"")</f>
        <v/>
      </c>
      <c r="M67" s="81" t="str">
        <f t="shared" si="11"/>
        <v/>
      </c>
      <c r="N67" s="69">
        <f ca="1">OFFSET(③各部被害関数計算結果!$H$2,2+($A67-1)*4,0)</f>
        <v>0</v>
      </c>
      <c r="O67" s="81" t="str">
        <f t="shared" si="12"/>
        <v/>
      </c>
      <c r="P67" s="69">
        <f ca="1">OFFSET(③各部被害関数計算結果!$J$2,2+($A67-1)*4,0)</f>
        <v>0</v>
      </c>
      <c r="Q67" s="81" t="str">
        <f>IF($B67="●",①簡易状況入力!J58,"")</f>
        <v/>
      </c>
      <c r="R67" s="81" t="str">
        <f t="shared" si="13"/>
        <v/>
      </c>
      <c r="S67" s="69">
        <f ca="1">OFFSET(③各部被害関数計算結果!$H$2,3+($A67-1)*4,0)</f>
        <v>0</v>
      </c>
      <c r="T67" s="81" t="str">
        <f t="shared" si="14"/>
        <v/>
      </c>
      <c r="U67" s="69">
        <f ca="1">OFFSET(③各部被害関数計算結果!$J$2,3+($A67-1)*4,0)</f>
        <v>0</v>
      </c>
      <c r="V67" s="81" t="str">
        <f t="shared" si="15"/>
        <v/>
      </c>
      <c r="W67" s="81" t="str">
        <f t="shared" si="16"/>
        <v/>
      </c>
      <c r="X67" s="69">
        <f ca="1">OFFSET(③各部被害関数計算結果!$H$2,4+($A67-1)*4,0)</f>
        <v>0</v>
      </c>
      <c r="Y67" s="81" t="str">
        <f t="shared" si="17"/>
        <v/>
      </c>
      <c r="Z67" s="69">
        <f ca="1">OFFSET(③各部被害関数計算結果!$J$2,4+($A67-1)*4,0)</f>
        <v>0</v>
      </c>
    </row>
    <row r="68" spans="1:26" x14ac:dyDescent="0.15">
      <c r="A68">
        <v>55</v>
      </c>
      <c r="B68" s="49">
        <f>①簡易状況入力!B59</f>
        <v>0</v>
      </c>
      <c r="C68" s="33" t="s">
        <v>290</v>
      </c>
      <c r="D68" s="147" t="str">
        <f>IF($B68="●",①簡易状況入力!D59,"")</f>
        <v/>
      </c>
      <c r="E68" s="80" t="str">
        <f>IF($B68="●",①簡易状況入力!R59,"")</f>
        <v/>
      </c>
      <c r="F68" s="80" t="str">
        <f>IF($B68="●",①簡易状況入力!S59,"")</f>
        <v/>
      </c>
      <c r="G68" s="81" t="str">
        <f>IF($B68="●",①簡易状況入力!H59,"")</f>
        <v/>
      </c>
      <c r="H68" s="81" t="str">
        <f t="shared" si="9"/>
        <v/>
      </c>
      <c r="I68" s="69">
        <f ca="1">OFFSET(③各部被害関数計算結果!$H$2,1+($A68-1)*4,0)</f>
        <v>0</v>
      </c>
      <c r="J68" s="81" t="str">
        <f t="shared" si="10"/>
        <v/>
      </c>
      <c r="K68" s="69">
        <f ca="1">OFFSET(③各部被害関数計算結果!$J$2,1+($A68-1)*4,0)</f>
        <v>0</v>
      </c>
      <c r="L68" s="81" t="str">
        <f>IF($B68="●",①簡易状況入力!I59,"")</f>
        <v/>
      </c>
      <c r="M68" s="81" t="str">
        <f t="shared" si="11"/>
        <v/>
      </c>
      <c r="N68" s="69">
        <f ca="1">OFFSET(③各部被害関数計算結果!$H$2,2+($A68-1)*4,0)</f>
        <v>0</v>
      </c>
      <c r="O68" s="81" t="str">
        <f t="shared" si="12"/>
        <v/>
      </c>
      <c r="P68" s="69">
        <f ca="1">OFFSET(③各部被害関数計算結果!$J$2,2+($A68-1)*4,0)</f>
        <v>0</v>
      </c>
      <c r="Q68" s="81" t="str">
        <f>IF($B68="●",①簡易状況入力!J59,"")</f>
        <v/>
      </c>
      <c r="R68" s="81" t="str">
        <f t="shared" si="13"/>
        <v/>
      </c>
      <c r="S68" s="69">
        <f ca="1">OFFSET(③各部被害関数計算結果!$H$2,3+($A68-1)*4,0)</f>
        <v>0</v>
      </c>
      <c r="T68" s="81" t="str">
        <f t="shared" si="14"/>
        <v/>
      </c>
      <c r="U68" s="69">
        <f ca="1">OFFSET(③各部被害関数計算結果!$J$2,3+($A68-1)*4,0)</f>
        <v>0</v>
      </c>
      <c r="V68" s="81" t="str">
        <f t="shared" si="15"/>
        <v/>
      </c>
      <c r="W68" s="81" t="str">
        <f t="shared" si="16"/>
        <v/>
      </c>
      <c r="X68" s="69">
        <f ca="1">OFFSET(③各部被害関数計算結果!$H$2,4+($A68-1)*4,0)</f>
        <v>0</v>
      </c>
      <c r="Y68" s="81" t="str">
        <f t="shared" si="17"/>
        <v/>
      </c>
      <c r="Z68" s="69">
        <f ca="1">OFFSET(③各部被害関数計算結果!$J$2,4+($A68-1)*4,0)</f>
        <v>0</v>
      </c>
    </row>
    <row r="69" spans="1:26" x14ac:dyDescent="0.15">
      <c r="A69">
        <v>56</v>
      </c>
      <c r="B69" s="49">
        <f>①簡易状況入力!B60</f>
        <v>0</v>
      </c>
      <c r="C69" s="33" t="s">
        <v>291</v>
      </c>
      <c r="D69" s="147" t="str">
        <f>IF($B69="●",①簡易状況入力!D60,"")</f>
        <v/>
      </c>
      <c r="E69" s="80" t="str">
        <f>IF($B69="●",①簡易状況入力!R60,"")</f>
        <v/>
      </c>
      <c r="F69" s="80" t="str">
        <f>IF($B69="●",①簡易状況入力!S60,"")</f>
        <v/>
      </c>
      <c r="G69" s="81" t="str">
        <f>IF($B69="●",①簡易状況入力!H60,"")</f>
        <v/>
      </c>
      <c r="H69" s="81" t="str">
        <f t="shared" si="9"/>
        <v/>
      </c>
      <c r="I69" s="69">
        <f ca="1">OFFSET(③各部被害関数計算結果!$H$2,1+($A69-1)*4,0)</f>
        <v>0</v>
      </c>
      <c r="J69" s="81" t="str">
        <f t="shared" si="10"/>
        <v/>
      </c>
      <c r="K69" s="69">
        <f ca="1">OFFSET(③各部被害関数計算結果!$J$2,1+($A69-1)*4,0)</f>
        <v>0</v>
      </c>
      <c r="L69" s="81" t="str">
        <f>IF($B69="●",①簡易状況入力!I60,"")</f>
        <v/>
      </c>
      <c r="M69" s="81" t="str">
        <f t="shared" si="11"/>
        <v/>
      </c>
      <c r="N69" s="69">
        <f ca="1">OFFSET(③各部被害関数計算結果!$H$2,2+($A69-1)*4,0)</f>
        <v>0</v>
      </c>
      <c r="O69" s="81" t="str">
        <f t="shared" si="12"/>
        <v/>
      </c>
      <c r="P69" s="69">
        <f ca="1">OFFSET(③各部被害関数計算結果!$J$2,2+($A69-1)*4,0)</f>
        <v>0</v>
      </c>
      <c r="Q69" s="81" t="str">
        <f>IF($B69="●",①簡易状況入力!J60,"")</f>
        <v/>
      </c>
      <c r="R69" s="81" t="str">
        <f t="shared" si="13"/>
        <v/>
      </c>
      <c r="S69" s="69">
        <f ca="1">OFFSET(③各部被害関数計算結果!$H$2,3+($A69-1)*4,0)</f>
        <v>0</v>
      </c>
      <c r="T69" s="81" t="str">
        <f t="shared" si="14"/>
        <v/>
      </c>
      <c r="U69" s="69">
        <f ca="1">OFFSET(③各部被害関数計算結果!$J$2,3+($A69-1)*4,0)</f>
        <v>0</v>
      </c>
      <c r="V69" s="81" t="str">
        <f t="shared" si="15"/>
        <v/>
      </c>
      <c r="W69" s="81" t="str">
        <f t="shared" si="16"/>
        <v/>
      </c>
      <c r="X69" s="69">
        <f ca="1">OFFSET(③各部被害関数計算結果!$H$2,4+($A69-1)*4,0)</f>
        <v>0</v>
      </c>
      <c r="Y69" s="81" t="str">
        <f t="shared" si="17"/>
        <v/>
      </c>
      <c r="Z69" s="69">
        <f ca="1">OFFSET(③各部被害関数計算結果!$J$2,4+($A69-1)*4,0)</f>
        <v>0</v>
      </c>
    </row>
    <row r="70" spans="1:26" x14ac:dyDescent="0.15">
      <c r="A70">
        <v>57</v>
      </c>
      <c r="B70" s="49">
        <f>①簡易状況入力!B61</f>
        <v>0</v>
      </c>
      <c r="C70" s="33" t="s">
        <v>292</v>
      </c>
      <c r="D70" s="147" t="str">
        <f>IF($B70="●",①簡易状況入力!D61,"")</f>
        <v/>
      </c>
      <c r="E70" s="80" t="str">
        <f>IF($B70="●",①簡易状況入力!R61,"")</f>
        <v/>
      </c>
      <c r="F70" s="80" t="str">
        <f>IF($B70="●",①簡易状況入力!S61,"")</f>
        <v/>
      </c>
      <c r="G70" s="81" t="str">
        <f>IF($B70="●",①簡易状況入力!H61,"")</f>
        <v/>
      </c>
      <c r="H70" s="81" t="str">
        <f t="shared" si="9"/>
        <v/>
      </c>
      <c r="I70" s="69">
        <f ca="1">OFFSET(③各部被害関数計算結果!$H$2,1+($A70-1)*4,0)</f>
        <v>0</v>
      </c>
      <c r="J70" s="81" t="str">
        <f t="shared" si="10"/>
        <v/>
      </c>
      <c r="K70" s="69">
        <f ca="1">OFFSET(③各部被害関数計算結果!$J$2,1+($A70-1)*4,0)</f>
        <v>0</v>
      </c>
      <c r="L70" s="81" t="str">
        <f>IF($B70="●",①簡易状況入力!I61,"")</f>
        <v/>
      </c>
      <c r="M70" s="81" t="str">
        <f t="shared" si="11"/>
        <v/>
      </c>
      <c r="N70" s="69">
        <f ca="1">OFFSET(③各部被害関数計算結果!$H$2,2+($A70-1)*4,0)</f>
        <v>0</v>
      </c>
      <c r="O70" s="81" t="str">
        <f t="shared" si="12"/>
        <v/>
      </c>
      <c r="P70" s="69">
        <f ca="1">OFFSET(③各部被害関数計算結果!$J$2,2+($A70-1)*4,0)</f>
        <v>0</v>
      </c>
      <c r="Q70" s="81" t="str">
        <f>IF($B70="●",①簡易状況入力!J61,"")</f>
        <v/>
      </c>
      <c r="R70" s="81" t="str">
        <f t="shared" si="13"/>
        <v/>
      </c>
      <c r="S70" s="69">
        <f ca="1">OFFSET(③各部被害関数計算結果!$H$2,3+($A70-1)*4,0)</f>
        <v>0</v>
      </c>
      <c r="T70" s="81" t="str">
        <f t="shared" si="14"/>
        <v/>
      </c>
      <c r="U70" s="69">
        <f ca="1">OFFSET(③各部被害関数計算結果!$J$2,3+($A70-1)*4,0)</f>
        <v>0</v>
      </c>
      <c r="V70" s="81" t="str">
        <f t="shared" si="15"/>
        <v/>
      </c>
      <c r="W70" s="81" t="str">
        <f t="shared" si="16"/>
        <v/>
      </c>
      <c r="X70" s="69">
        <f ca="1">OFFSET(③各部被害関数計算結果!$H$2,4+($A70-1)*4,0)</f>
        <v>0</v>
      </c>
      <c r="Y70" s="81" t="str">
        <f t="shared" si="17"/>
        <v/>
      </c>
      <c r="Z70" s="69">
        <f ca="1">OFFSET(③各部被害関数計算結果!$J$2,4+($A70-1)*4,0)</f>
        <v>0</v>
      </c>
    </row>
    <row r="71" spans="1:26" x14ac:dyDescent="0.15">
      <c r="A71">
        <v>58</v>
      </c>
      <c r="B71" s="49">
        <f>①簡易状況入力!B62</f>
        <v>0</v>
      </c>
      <c r="C71" s="33" t="s">
        <v>293</v>
      </c>
      <c r="D71" s="147" t="str">
        <f>IF($B71="●",①簡易状況入力!D62,"")</f>
        <v/>
      </c>
      <c r="E71" s="80" t="str">
        <f>IF($B71="●",①簡易状況入力!R62,"")</f>
        <v/>
      </c>
      <c r="F71" s="80" t="str">
        <f>IF($B71="●",①簡易状況入力!S62,"")</f>
        <v/>
      </c>
      <c r="G71" s="81" t="str">
        <f>IF($B71="●",①簡易状況入力!H62,"")</f>
        <v/>
      </c>
      <c r="H71" s="81" t="str">
        <f t="shared" si="9"/>
        <v/>
      </c>
      <c r="I71" s="69">
        <f ca="1">OFFSET(③各部被害関数計算結果!$H$2,1+($A71-1)*4,0)</f>
        <v>0</v>
      </c>
      <c r="J71" s="81" t="str">
        <f t="shared" si="10"/>
        <v/>
      </c>
      <c r="K71" s="69">
        <f ca="1">OFFSET(③各部被害関数計算結果!$J$2,1+($A71-1)*4,0)</f>
        <v>0</v>
      </c>
      <c r="L71" s="81" t="str">
        <f>IF($B71="●",①簡易状況入力!I62,"")</f>
        <v/>
      </c>
      <c r="M71" s="81" t="str">
        <f t="shared" si="11"/>
        <v/>
      </c>
      <c r="N71" s="69">
        <f ca="1">OFFSET(③各部被害関数計算結果!$H$2,2+($A71-1)*4,0)</f>
        <v>0</v>
      </c>
      <c r="O71" s="81" t="str">
        <f t="shared" si="12"/>
        <v/>
      </c>
      <c r="P71" s="69">
        <f ca="1">OFFSET(③各部被害関数計算結果!$J$2,2+($A71-1)*4,0)</f>
        <v>0</v>
      </c>
      <c r="Q71" s="81" t="str">
        <f>IF($B71="●",①簡易状況入力!J62,"")</f>
        <v/>
      </c>
      <c r="R71" s="81" t="str">
        <f t="shared" si="13"/>
        <v/>
      </c>
      <c r="S71" s="69">
        <f ca="1">OFFSET(③各部被害関数計算結果!$H$2,3+($A71-1)*4,0)</f>
        <v>0</v>
      </c>
      <c r="T71" s="81" t="str">
        <f t="shared" si="14"/>
        <v/>
      </c>
      <c r="U71" s="69">
        <f ca="1">OFFSET(③各部被害関数計算結果!$J$2,3+($A71-1)*4,0)</f>
        <v>0</v>
      </c>
      <c r="V71" s="81" t="str">
        <f t="shared" si="15"/>
        <v/>
      </c>
      <c r="W71" s="81" t="str">
        <f t="shared" si="16"/>
        <v/>
      </c>
      <c r="X71" s="69">
        <f ca="1">OFFSET(③各部被害関数計算結果!$H$2,4+($A71-1)*4,0)</f>
        <v>0</v>
      </c>
      <c r="Y71" s="81" t="str">
        <f t="shared" si="17"/>
        <v/>
      </c>
      <c r="Z71" s="69">
        <f ca="1">OFFSET(③各部被害関数計算結果!$J$2,4+($A71-1)*4,0)</f>
        <v>0</v>
      </c>
    </row>
    <row r="72" spans="1:26" x14ac:dyDescent="0.15">
      <c r="A72">
        <v>59</v>
      </c>
      <c r="B72" s="49">
        <f>①簡易状況入力!B63</f>
        <v>0</v>
      </c>
      <c r="C72" s="33" t="s">
        <v>294</v>
      </c>
      <c r="D72" s="147" t="str">
        <f>IF($B72="●",①簡易状況入力!D63,"")</f>
        <v/>
      </c>
      <c r="E72" s="80" t="str">
        <f>IF($B72="●",①簡易状況入力!R63,"")</f>
        <v/>
      </c>
      <c r="F72" s="80" t="str">
        <f>IF($B72="●",①簡易状況入力!S63,"")</f>
        <v/>
      </c>
      <c r="G72" s="81" t="str">
        <f>IF($B72="●",①簡易状況入力!H63,"")</f>
        <v/>
      </c>
      <c r="H72" s="81" t="str">
        <f t="shared" si="9"/>
        <v/>
      </c>
      <c r="I72" s="69">
        <f ca="1">OFFSET(③各部被害関数計算結果!$H$2,1+($A72-1)*4,0)</f>
        <v>0</v>
      </c>
      <c r="J72" s="81" t="str">
        <f t="shared" si="10"/>
        <v/>
      </c>
      <c r="K72" s="69">
        <f ca="1">OFFSET(③各部被害関数計算結果!$J$2,1+($A72-1)*4,0)</f>
        <v>0</v>
      </c>
      <c r="L72" s="81" t="str">
        <f>IF($B72="●",①簡易状況入力!I63,"")</f>
        <v/>
      </c>
      <c r="M72" s="81" t="str">
        <f t="shared" si="11"/>
        <v/>
      </c>
      <c r="N72" s="69">
        <f ca="1">OFFSET(③各部被害関数計算結果!$H$2,2+($A72-1)*4,0)</f>
        <v>0</v>
      </c>
      <c r="O72" s="81" t="str">
        <f t="shared" si="12"/>
        <v/>
      </c>
      <c r="P72" s="69">
        <f ca="1">OFFSET(③各部被害関数計算結果!$J$2,2+($A72-1)*4,0)</f>
        <v>0</v>
      </c>
      <c r="Q72" s="81" t="str">
        <f>IF($B72="●",①簡易状況入力!J63,"")</f>
        <v/>
      </c>
      <c r="R72" s="81" t="str">
        <f t="shared" si="13"/>
        <v/>
      </c>
      <c r="S72" s="69">
        <f ca="1">OFFSET(③各部被害関数計算結果!$H$2,3+($A72-1)*4,0)</f>
        <v>0</v>
      </c>
      <c r="T72" s="81" t="str">
        <f t="shared" si="14"/>
        <v/>
      </c>
      <c r="U72" s="69">
        <f ca="1">OFFSET(③各部被害関数計算結果!$J$2,3+($A72-1)*4,0)</f>
        <v>0</v>
      </c>
      <c r="V72" s="81" t="str">
        <f t="shared" si="15"/>
        <v/>
      </c>
      <c r="W72" s="81" t="str">
        <f t="shared" si="16"/>
        <v/>
      </c>
      <c r="X72" s="69">
        <f ca="1">OFFSET(③各部被害関数計算結果!$H$2,4+($A72-1)*4,0)</f>
        <v>0</v>
      </c>
      <c r="Y72" s="81" t="str">
        <f t="shared" si="17"/>
        <v/>
      </c>
      <c r="Z72" s="69">
        <f ca="1">OFFSET(③各部被害関数計算結果!$J$2,4+($A72-1)*4,0)</f>
        <v>0</v>
      </c>
    </row>
    <row r="73" spans="1:26" x14ac:dyDescent="0.15">
      <c r="A73">
        <v>60</v>
      </c>
      <c r="B73" s="49">
        <f>①簡易状況入力!B64</f>
        <v>0</v>
      </c>
      <c r="C73" s="33" t="s">
        <v>295</v>
      </c>
      <c r="D73" s="147" t="str">
        <f>IF($B73="●",①簡易状況入力!D64,"")</f>
        <v/>
      </c>
      <c r="E73" s="80" t="str">
        <f>IF($B73="●",①簡易状況入力!R64,"")</f>
        <v/>
      </c>
      <c r="F73" s="80" t="str">
        <f>IF($B73="●",①簡易状況入力!S64,"")</f>
        <v/>
      </c>
      <c r="G73" s="81" t="str">
        <f>IF($B73="●",①簡易状況入力!H64,"")</f>
        <v/>
      </c>
      <c r="H73" s="81" t="str">
        <f t="shared" si="9"/>
        <v/>
      </c>
      <c r="I73" s="69">
        <f ca="1">OFFSET(③各部被害関数計算結果!$H$2,1+($A73-1)*4,0)</f>
        <v>0</v>
      </c>
      <c r="J73" s="81" t="str">
        <f t="shared" si="10"/>
        <v/>
      </c>
      <c r="K73" s="69">
        <f ca="1">OFFSET(③各部被害関数計算結果!$J$2,1+($A73-1)*4,0)</f>
        <v>0</v>
      </c>
      <c r="L73" s="81" t="str">
        <f>IF($B73="●",①簡易状況入力!I64,"")</f>
        <v/>
      </c>
      <c r="M73" s="81" t="str">
        <f t="shared" si="11"/>
        <v/>
      </c>
      <c r="N73" s="69">
        <f ca="1">OFFSET(③各部被害関数計算結果!$H$2,2+($A73-1)*4,0)</f>
        <v>0</v>
      </c>
      <c r="O73" s="81" t="str">
        <f t="shared" si="12"/>
        <v/>
      </c>
      <c r="P73" s="69">
        <f ca="1">OFFSET(③各部被害関数計算結果!$J$2,2+($A73-1)*4,0)</f>
        <v>0</v>
      </c>
      <c r="Q73" s="81" t="str">
        <f>IF($B73="●",①簡易状況入力!J64,"")</f>
        <v/>
      </c>
      <c r="R73" s="81" t="str">
        <f t="shared" si="13"/>
        <v/>
      </c>
      <c r="S73" s="69">
        <f ca="1">OFFSET(③各部被害関数計算結果!$H$2,3+($A73-1)*4,0)</f>
        <v>0</v>
      </c>
      <c r="T73" s="81" t="str">
        <f t="shared" si="14"/>
        <v/>
      </c>
      <c r="U73" s="69">
        <f ca="1">OFFSET(③各部被害関数計算結果!$J$2,3+($A73-1)*4,0)</f>
        <v>0</v>
      </c>
      <c r="V73" s="81" t="str">
        <f t="shared" si="15"/>
        <v/>
      </c>
      <c r="W73" s="81" t="str">
        <f t="shared" si="16"/>
        <v/>
      </c>
      <c r="X73" s="69">
        <f ca="1">OFFSET(③各部被害関数計算結果!$H$2,4+($A73-1)*4,0)</f>
        <v>0</v>
      </c>
      <c r="Y73" s="81" t="str">
        <f t="shared" si="17"/>
        <v/>
      </c>
      <c r="Z73" s="69">
        <f ca="1">OFFSET(③各部被害関数計算結果!$J$2,4+($A73-1)*4,0)</f>
        <v>0</v>
      </c>
    </row>
    <row r="74" spans="1:26" x14ac:dyDescent="0.15">
      <c r="A74">
        <v>61</v>
      </c>
      <c r="B74" s="49">
        <f>①簡易状況入力!B65</f>
        <v>0</v>
      </c>
      <c r="C74" s="33" t="s">
        <v>296</v>
      </c>
      <c r="D74" s="147" t="str">
        <f>IF($B74="●",①簡易状況入力!D65,"")</f>
        <v/>
      </c>
      <c r="E74" s="80" t="str">
        <f>IF($B74="●",①簡易状況入力!R65,"")</f>
        <v/>
      </c>
      <c r="F74" s="80" t="str">
        <f>IF($B74="●",①簡易状況入力!S65,"")</f>
        <v/>
      </c>
      <c r="G74" s="81" t="str">
        <f>IF($B74="●",①簡易状況入力!H65,"")</f>
        <v/>
      </c>
      <c r="H74" s="81" t="str">
        <f t="shared" si="9"/>
        <v/>
      </c>
      <c r="I74" s="69">
        <f ca="1">OFFSET(③各部被害関数計算結果!$H$2,1+($A74-1)*4,0)</f>
        <v>0</v>
      </c>
      <c r="J74" s="81" t="str">
        <f t="shared" si="10"/>
        <v/>
      </c>
      <c r="K74" s="69">
        <f ca="1">OFFSET(③各部被害関数計算結果!$J$2,1+($A74-1)*4,0)</f>
        <v>0</v>
      </c>
      <c r="L74" s="81" t="str">
        <f>IF($B74="●",①簡易状況入力!I65,"")</f>
        <v/>
      </c>
      <c r="M74" s="81" t="str">
        <f t="shared" si="11"/>
        <v/>
      </c>
      <c r="N74" s="69">
        <f ca="1">OFFSET(③各部被害関数計算結果!$H$2,2+($A74-1)*4,0)</f>
        <v>0</v>
      </c>
      <c r="O74" s="81" t="str">
        <f t="shared" si="12"/>
        <v/>
      </c>
      <c r="P74" s="69">
        <f ca="1">OFFSET(③各部被害関数計算結果!$J$2,2+($A74-1)*4,0)</f>
        <v>0</v>
      </c>
      <c r="Q74" s="81" t="str">
        <f>IF($B74="●",①簡易状況入力!J65,"")</f>
        <v/>
      </c>
      <c r="R74" s="81" t="str">
        <f t="shared" si="13"/>
        <v/>
      </c>
      <c r="S74" s="69">
        <f ca="1">OFFSET(③各部被害関数計算結果!$H$2,3+($A74-1)*4,0)</f>
        <v>0</v>
      </c>
      <c r="T74" s="81" t="str">
        <f t="shared" si="14"/>
        <v/>
      </c>
      <c r="U74" s="69">
        <f ca="1">OFFSET(③各部被害関数計算結果!$J$2,3+($A74-1)*4,0)</f>
        <v>0</v>
      </c>
      <c r="V74" s="81" t="str">
        <f t="shared" si="15"/>
        <v/>
      </c>
      <c r="W74" s="81" t="str">
        <f t="shared" si="16"/>
        <v/>
      </c>
      <c r="X74" s="69">
        <f ca="1">OFFSET(③各部被害関数計算結果!$H$2,4+($A74-1)*4,0)</f>
        <v>0</v>
      </c>
      <c r="Y74" s="81" t="str">
        <f t="shared" si="17"/>
        <v/>
      </c>
      <c r="Z74" s="69">
        <f ca="1">OFFSET(③各部被害関数計算結果!$J$2,4+($A74-1)*4,0)</f>
        <v>0</v>
      </c>
    </row>
    <row r="75" spans="1:26" x14ac:dyDescent="0.15">
      <c r="A75">
        <v>62</v>
      </c>
      <c r="B75" s="49">
        <f>①簡易状況入力!B66</f>
        <v>0</v>
      </c>
      <c r="C75" s="33" t="s">
        <v>297</v>
      </c>
      <c r="D75" s="147" t="str">
        <f>IF($B75="●",①簡易状況入力!D66,"")</f>
        <v/>
      </c>
      <c r="E75" s="80" t="str">
        <f>IF($B75="●",①簡易状況入力!R66,"")</f>
        <v/>
      </c>
      <c r="F75" s="80" t="str">
        <f>IF($B75="●",①簡易状況入力!S66,"")</f>
        <v/>
      </c>
      <c r="G75" s="81" t="str">
        <f>IF($B75="●",①簡易状況入力!H66,"")</f>
        <v/>
      </c>
      <c r="H75" s="81" t="str">
        <f t="shared" si="9"/>
        <v/>
      </c>
      <c r="I75" s="69">
        <f ca="1">OFFSET(③各部被害関数計算結果!$H$2,1+($A75-1)*4,0)</f>
        <v>0</v>
      </c>
      <c r="J75" s="81" t="str">
        <f t="shared" si="10"/>
        <v/>
      </c>
      <c r="K75" s="69">
        <f ca="1">OFFSET(③各部被害関数計算結果!$J$2,1+($A75-1)*4,0)</f>
        <v>0</v>
      </c>
      <c r="L75" s="81" t="str">
        <f>IF($B75="●",①簡易状況入力!I66,"")</f>
        <v/>
      </c>
      <c r="M75" s="81" t="str">
        <f t="shared" si="11"/>
        <v/>
      </c>
      <c r="N75" s="69">
        <f ca="1">OFFSET(③各部被害関数計算結果!$H$2,2+($A75-1)*4,0)</f>
        <v>0</v>
      </c>
      <c r="O75" s="81" t="str">
        <f t="shared" si="12"/>
        <v/>
      </c>
      <c r="P75" s="69">
        <f ca="1">OFFSET(③各部被害関数計算結果!$J$2,2+($A75-1)*4,0)</f>
        <v>0</v>
      </c>
      <c r="Q75" s="81" t="str">
        <f>IF($B75="●",①簡易状況入力!J66,"")</f>
        <v/>
      </c>
      <c r="R75" s="81" t="str">
        <f t="shared" si="13"/>
        <v/>
      </c>
      <c r="S75" s="69">
        <f ca="1">OFFSET(③各部被害関数計算結果!$H$2,3+($A75-1)*4,0)</f>
        <v>0</v>
      </c>
      <c r="T75" s="81" t="str">
        <f t="shared" si="14"/>
        <v/>
      </c>
      <c r="U75" s="69">
        <f ca="1">OFFSET(③各部被害関数計算結果!$J$2,3+($A75-1)*4,0)</f>
        <v>0</v>
      </c>
      <c r="V75" s="81" t="str">
        <f t="shared" si="15"/>
        <v/>
      </c>
      <c r="W75" s="81" t="str">
        <f t="shared" si="16"/>
        <v/>
      </c>
      <c r="X75" s="69">
        <f ca="1">OFFSET(③各部被害関数計算結果!$H$2,4+($A75-1)*4,0)</f>
        <v>0</v>
      </c>
      <c r="Y75" s="81" t="str">
        <f t="shared" si="17"/>
        <v/>
      </c>
      <c r="Z75" s="69">
        <f ca="1">OFFSET(③各部被害関数計算結果!$J$2,4+($A75-1)*4,0)</f>
        <v>0</v>
      </c>
    </row>
    <row r="76" spans="1:26" x14ac:dyDescent="0.15">
      <c r="A76">
        <v>63</v>
      </c>
      <c r="B76" s="49">
        <f>①簡易状況入力!B67</f>
        <v>0</v>
      </c>
      <c r="C76" s="33" t="s">
        <v>298</v>
      </c>
      <c r="D76" s="147" t="str">
        <f>IF($B76="●",①簡易状況入力!D67,"")</f>
        <v/>
      </c>
      <c r="E76" s="80" t="str">
        <f>IF($B76="●",①簡易状況入力!R67,"")</f>
        <v/>
      </c>
      <c r="F76" s="80" t="str">
        <f>IF($B76="●",①簡易状況入力!S67,"")</f>
        <v/>
      </c>
      <c r="G76" s="81" t="str">
        <f>IF($B76="●",①簡易状況入力!H67,"")</f>
        <v/>
      </c>
      <c r="H76" s="81" t="str">
        <f t="shared" si="9"/>
        <v/>
      </c>
      <c r="I76" s="69">
        <f ca="1">OFFSET(③各部被害関数計算結果!$H$2,1+($A76-1)*4,0)</f>
        <v>0</v>
      </c>
      <c r="J76" s="81" t="str">
        <f t="shared" si="10"/>
        <v/>
      </c>
      <c r="K76" s="69">
        <f ca="1">OFFSET(③各部被害関数計算結果!$J$2,1+($A76-1)*4,0)</f>
        <v>0</v>
      </c>
      <c r="L76" s="81" t="str">
        <f>IF($B76="●",①簡易状況入力!I67,"")</f>
        <v/>
      </c>
      <c r="M76" s="81" t="str">
        <f t="shared" si="11"/>
        <v/>
      </c>
      <c r="N76" s="69">
        <f ca="1">OFFSET(③各部被害関数計算結果!$H$2,2+($A76-1)*4,0)</f>
        <v>0</v>
      </c>
      <c r="O76" s="81" t="str">
        <f t="shared" si="12"/>
        <v/>
      </c>
      <c r="P76" s="69">
        <f ca="1">OFFSET(③各部被害関数計算結果!$J$2,2+($A76-1)*4,0)</f>
        <v>0</v>
      </c>
      <c r="Q76" s="81" t="str">
        <f>IF($B76="●",①簡易状況入力!J67,"")</f>
        <v/>
      </c>
      <c r="R76" s="81" t="str">
        <f t="shared" si="13"/>
        <v/>
      </c>
      <c r="S76" s="69">
        <f ca="1">OFFSET(③各部被害関数計算結果!$H$2,3+($A76-1)*4,0)</f>
        <v>0</v>
      </c>
      <c r="T76" s="81" t="str">
        <f t="shared" si="14"/>
        <v/>
      </c>
      <c r="U76" s="69">
        <f ca="1">OFFSET(③各部被害関数計算結果!$J$2,3+($A76-1)*4,0)</f>
        <v>0</v>
      </c>
      <c r="V76" s="81" t="str">
        <f t="shared" si="15"/>
        <v/>
      </c>
      <c r="W76" s="81" t="str">
        <f t="shared" si="16"/>
        <v/>
      </c>
      <c r="X76" s="69">
        <f ca="1">OFFSET(③各部被害関数計算結果!$H$2,4+($A76-1)*4,0)</f>
        <v>0</v>
      </c>
      <c r="Y76" s="81" t="str">
        <f t="shared" si="17"/>
        <v/>
      </c>
      <c r="Z76" s="69">
        <f ca="1">OFFSET(③各部被害関数計算結果!$J$2,4+($A76-1)*4,0)</f>
        <v>0</v>
      </c>
    </row>
    <row r="77" spans="1:26" x14ac:dyDescent="0.15">
      <c r="A77">
        <v>64</v>
      </c>
      <c r="B77" s="49">
        <f>①簡易状況入力!B68</f>
        <v>0</v>
      </c>
      <c r="C77" s="33" t="s">
        <v>299</v>
      </c>
      <c r="D77" s="147" t="str">
        <f>IF($B77="●",①簡易状況入力!D68,"")</f>
        <v/>
      </c>
      <c r="E77" s="80" t="str">
        <f>IF($B77="●",①簡易状況入力!R68,"")</f>
        <v/>
      </c>
      <c r="F77" s="80" t="str">
        <f>IF($B77="●",①簡易状況入力!S68,"")</f>
        <v/>
      </c>
      <c r="G77" s="81" t="str">
        <f>IF($B77="●",①簡易状況入力!H68,"")</f>
        <v/>
      </c>
      <c r="H77" s="81" t="str">
        <f t="shared" si="9"/>
        <v/>
      </c>
      <c r="I77" s="69">
        <f ca="1">OFFSET(③各部被害関数計算結果!$H$2,1+($A77-1)*4,0)</f>
        <v>0</v>
      </c>
      <c r="J77" s="81" t="str">
        <f t="shared" si="10"/>
        <v/>
      </c>
      <c r="K77" s="69">
        <f ca="1">OFFSET(③各部被害関数計算結果!$J$2,1+($A77-1)*4,0)</f>
        <v>0</v>
      </c>
      <c r="L77" s="81" t="str">
        <f>IF($B77="●",①簡易状況入力!I68,"")</f>
        <v/>
      </c>
      <c r="M77" s="81" t="str">
        <f t="shared" si="11"/>
        <v/>
      </c>
      <c r="N77" s="69">
        <f ca="1">OFFSET(③各部被害関数計算結果!$H$2,2+($A77-1)*4,0)</f>
        <v>0</v>
      </c>
      <c r="O77" s="81" t="str">
        <f t="shared" si="12"/>
        <v/>
      </c>
      <c r="P77" s="69">
        <f ca="1">OFFSET(③各部被害関数計算結果!$J$2,2+($A77-1)*4,0)</f>
        <v>0</v>
      </c>
      <c r="Q77" s="81" t="str">
        <f>IF($B77="●",①簡易状況入力!J68,"")</f>
        <v/>
      </c>
      <c r="R77" s="81" t="str">
        <f t="shared" si="13"/>
        <v/>
      </c>
      <c r="S77" s="69">
        <f ca="1">OFFSET(③各部被害関数計算結果!$H$2,3+($A77-1)*4,0)</f>
        <v>0</v>
      </c>
      <c r="T77" s="81" t="str">
        <f t="shared" si="14"/>
        <v/>
      </c>
      <c r="U77" s="69">
        <f ca="1">OFFSET(③各部被害関数計算結果!$J$2,3+($A77-1)*4,0)</f>
        <v>0</v>
      </c>
      <c r="V77" s="81" t="str">
        <f t="shared" si="15"/>
        <v/>
      </c>
      <c r="W77" s="81" t="str">
        <f t="shared" si="16"/>
        <v/>
      </c>
      <c r="X77" s="69">
        <f ca="1">OFFSET(③各部被害関数計算結果!$H$2,4+($A77-1)*4,0)</f>
        <v>0</v>
      </c>
      <c r="Y77" s="81" t="str">
        <f t="shared" si="17"/>
        <v/>
      </c>
      <c r="Z77" s="69">
        <f ca="1">OFFSET(③各部被害関数計算結果!$J$2,4+($A77-1)*4,0)</f>
        <v>0</v>
      </c>
    </row>
    <row r="78" spans="1:26" x14ac:dyDescent="0.15">
      <c r="A78">
        <v>65</v>
      </c>
      <c r="B78" s="49">
        <f>①簡易状況入力!B69</f>
        <v>0</v>
      </c>
      <c r="C78" s="33" t="s">
        <v>300</v>
      </c>
      <c r="D78" s="147" t="str">
        <f>IF($B78="●",①簡易状況入力!D69,"")</f>
        <v/>
      </c>
      <c r="E78" s="80" t="str">
        <f>IF($B78="●",①簡易状況入力!R69,"")</f>
        <v/>
      </c>
      <c r="F78" s="80" t="str">
        <f>IF($B78="●",①簡易状況入力!S69,"")</f>
        <v/>
      </c>
      <c r="G78" s="81" t="str">
        <f>IF($B78="●",①簡易状況入力!H69,"")</f>
        <v/>
      </c>
      <c r="H78" s="81" t="str">
        <f t="shared" si="9"/>
        <v/>
      </c>
      <c r="I78" s="69">
        <f ca="1">OFFSET(③各部被害関数計算結果!$H$2,1+($A78-1)*4,0)</f>
        <v>0</v>
      </c>
      <c r="J78" s="81" t="str">
        <f t="shared" si="10"/>
        <v/>
      </c>
      <c r="K78" s="69">
        <f ca="1">OFFSET(③各部被害関数計算結果!$J$2,1+($A78-1)*4,0)</f>
        <v>0</v>
      </c>
      <c r="L78" s="81" t="str">
        <f>IF($B78="●",①簡易状況入力!I69,"")</f>
        <v/>
      </c>
      <c r="M78" s="81" t="str">
        <f t="shared" si="11"/>
        <v/>
      </c>
      <c r="N78" s="69">
        <f ca="1">OFFSET(③各部被害関数計算結果!$H$2,2+($A78-1)*4,0)</f>
        <v>0</v>
      </c>
      <c r="O78" s="81" t="str">
        <f t="shared" si="12"/>
        <v/>
      </c>
      <c r="P78" s="69">
        <f ca="1">OFFSET(③各部被害関数計算結果!$J$2,2+($A78-1)*4,0)</f>
        <v>0</v>
      </c>
      <c r="Q78" s="81" t="str">
        <f>IF($B78="●",①簡易状況入力!J69,"")</f>
        <v/>
      </c>
      <c r="R78" s="81" t="str">
        <f t="shared" si="13"/>
        <v/>
      </c>
      <c r="S78" s="69">
        <f ca="1">OFFSET(③各部被害関数計算結果!$H$2,3+($A78-1)*4,0)</f>
        <v>0</v>
      </c>
      <c r="T78" s="81" t="str">
        <f t="shared" si="14"/>
        <v/>
      </c>
      <c r="U78" s="69">
        <f ca="1">OFFSET(③各部被害関数計算結果!$J$2,3+($A78-1)*4,0)</f>
        <v>0</v>
      </c>
      <c r="V78" s="81" t="str">
        <f t="shared" si="15"/>
        <v/>
      </c>
      <c r="W78" s="81" t="str">
        <f t="shared" si="16"/>
        <v/>
      </c>
      <c r="X78" s="69">
        <f ca="1">OFFSET(③各部被害関数計算結果!$H$2,4+($A78-1)*4,0)</f>
        <v>0</v>
      </c>
      <c r="Y78" s="81" t="str">
        <f t="shared" si="17"/>
        <v/>
      </c>
      <c r="Z78" s="69">
        <f ca="1">OFFSET(③各部被害関数計算結果!$J$2,4+($A78-1)*4,0)</f>
        <v>0</v>
      </c>
    </row>
    <row r="79" spans="1:26" x14ac:dyDescent="0.15">
      <c r="A79">
        <v>66</v>
      </c>
      <c r="B79" s="49">
        <f>①簡易状況入力!B70</f>
        <v>0</v>
      </c>
      <c r="C79" s="33" t="s">
        <v>301</v>
      </c>
      <c r="D79" s="147" t="str">
        <f>IF($B79="●",①簡易状況入力!D70,"")</f>
        <v/>
      </c>
      <c r="E79" s="80" t="str">
        <f>IF($B79="●",①簡易状況入力!R70,"")</f>
        <v/>
      </c>
      <c r="F79" s="80" t="str">
        <f>IF($B79="●",①簡易状況入力!S70,"")</f>
        <v/>
      </c>
      <c r="G79" s="81" t="str">
        <f>IF($B79="●",①簡易状況入力!H70,"")</f>
        <v/>
      </c>
      <c r="H79" s="81" t="str">
        <f t="shared" si="9"/>
        <v/>
      </c>
      <c r="I79" s="69">
        <f ca="1">OFFSET(③各部被害関数計算結果!$H$2,1+($A79-1)*4,0)</f>
        <v>0</v>
      </c>
      <c r="J79" s="81" t="str">
        <f t="shared" si="10"/>
        <v/>
      </c>
      <c r="K79" s="69">
        <f ca="1">OFFSET(③各部被害関数計算結果!$J$2,1+($A79-1)*4,0)</f>
        <v>0</v>
      </c>
      <c r="L79" s="81" t="str">
        <f>IF($B79="●",①簡易状況入力!I70,"")</f>
        <v/>
      </c>
      <c r="M79" s="81" t="str">
        <f t="shared" si="11"/>
        <v/>
      </c>
      <c r="N79" s="69">
        <f ca="1">OFFSET(③各部被害関数計算結果!$H$2,2+($A79-1)*4,0)</f>
        <v>0</v>
      </c>
      <c r="O79" s="81" t="str">
        <f t="shared" si="12"/>
        <v/>
      </c>
      <c r="P79" s="69">
        <f ca="1">OFFSET(③各部被害関数計算結果!$J$2,2+($A79-1)*4,0)</f>
        <v>0</v>
      </c>
      <c r="Q79" s="81" t="str">
        <f>IF($B79="●",①簡易状況入力!J70,"")</f>
        <v/>
      </c>
      <c r="R79" s="81" t="str">
        <f t="shared" si="13"/>
        <v/>
      </c>
      <c r="S79" s="69">
        <f ca="1">OFFSET(③各部被害関数計算結果!$H$2,3+($A79-1)*4,0)</f>
        <v>0</v>
      </c>
      <c r="T79" s="81" t="str">
        <f t="shared" si="14"/>
        <v/>
      </c>
      <c r="U79" s="69">
        <f ca="1">OFFSET(③各部被害関数計算結果!$J$2,3+($A79-1)*4,0)</f>
        <v>0</v>
      </c>
      <c r="V79" s="81" t="str">
        <f t="shared" si="15"/>
        <v/>
      </c>
      <c r="W79" s="81" t="str">
        <f t="shared" si="16"/>
        <v/>
      </c>
      <c r="X79" s="69">
        <f ca="1">OFFSET(③各部被害関数計算結果!$H$2,4+($A79-1)*4,0)</f>
        <v>0</v>
      </c>
      <c r="Y79" s="81" t="str">
        <f t="shared" si="17"/>
        <v/>
      </c>
      <c r="Z79" s="69">
        <f ca="1">OFFSET(③各部被害関数計算結果!$J$2,4+($A79-1)*4,0)</f>
        <v>0</v>
      </c>
    </row>
    <row r="80" spans="1:26" x14ac:dyDescent="0.15">
      <c r="A80">
        <v>67</v>
      </c>
      <c r="B80" s="49">
        <f>①簡易状況入力!B71</f>
        <v>0</v>
      </c>
      <c r="C80" s="33" t="s">
        <v>302</v>
      </c>
      <c r="D80" s="147" t="str">
        <f>IF($B80="●",①簡易状況入力!D71,"")</f>
        <v/>
      </c>
      <c r="E80" s="80" t="str">
        <f>IF($B80="●",①簡易状況入力!R71,"")</f>
        <v/>
      </c>
      <c r="F80" s="80" t="str">
        <f>IF($B80="●",①簡易状況入力!S71,"")</f>
        <v/>
      </c>
      <c r="G80" s="81" t="str">
        <f>IF($B80="●",①簡易状況入力!H71,"")</f>
        <v/>
      </c>
      <c r="H80" s="81" t="str">
        <f t="shared" si="9"/>
        <v/>
      </c>
      <c r="I80" s="69">
        <f ca="1">OFFSET(③各部被害関数計算結果!$H$2,1+($A80-1)*4,0)</f>
        <v>0</v>
      </c>
      <c r="J80" s="81" t="str">
        <f t="shared" si="10"/>
        <v/>
      </c>
      <c r="K80" s="69">
        <f ca="1">OFFSET(③各部被害関数計算結果!$J$2,1+($A80-1)*4,0)</f>
        <v>0</v>
      </c>
      <c r="L80" s="81" t="str">
        <f>IF($B80="●",①簡易状況入力!I71,"")</f>
        <v/>
      </c>
      <c r="M80" s="81" t="str">
        <f t="shared" si="11"/>
        <v/>
      </c>
      <c r="N80" s="69">
        <f ca="1">OFFSET(③各部被害関数計算結果!$H$2,2+($A80-1)*4,0)</f>
        <v>0</v>
      </c>
      <c r="O80" s="81" t="str">
        <f t="shared" si="12"/>
        <v/>
      </c>
      <c r="P80" s="69">
        <f ca="1">OFFSET(③各部被害関数計算結果!$J$2,2+($A80-1)*4,0)</f>
        <v>0</v>
      </c>
      <c r="Q80" s="81" t="str">
        <f>IF($B80="●",①簡易状況入力!J71,"")</f>
        <v/>
      </c>
      <c r="R80" s="81" t="str">
        <f t="shared" si="13"/>
        <v/>
      </c>
      <c r="S80" s="69">
        <f ca="1">OFFSET(③各部被害関数計算結果!$H$2,3+($A80-1)*4,0)</f>
        <v>0</v>
      </c>
      <c r="T80" s="81" t="str">
        <f t="shared" si="14"/>
        <v/>
      </c>
      <c r="U80" s="69">
        <f ca="1">OFFSET(③各部被害関数計算結果!$J$2,3+($A80-1)*4,0)</f>
        <v>0</v>
      </c>
      <c r="V80" s="81" t="str">
        <f t="shared" si="15"/>
        <v/>
      </c>
      <c r="W80" s="81" t="str">
        <f t="shared" si="16"/>
        <v/>
      </c>
      <c r="X80" s="69">
        <f ca="1">OFFSET(③各部被害関数計算結果!$H$2,4+($A80-1)*4,0)</f>
        <v>0</v>
      </c>
      <c r="Y80" s="81" t="str">
        <f t="shared" si="17"/>
        <v/>
      </c>
      <c r="Z80" s="69">
        <f ca="1">OFFSET(③各部被害関数計算結果!$J$2,4+($A80-1)*4,0)</f>
        <v>0</v>
      </c>
    </row>
    <row r="81" spans="1:26" x14ac:dyDescent="0.15">
      <c r="A81">
        <v>68</v>
      </c>
      <c r="B81" s="49">
        <f>①簡易状況入力!B72</f>
        <v>0</v>
      </c>
      <c r="C81" s="33" t="s">
        <v>303</v>
      </c>
      <c r="D81" s="147" t="str">
        <f>IF($B81="●",①簡易状況入力!D72,"")</f>
        <v/>
      </c>
      <c r="E81" s="80" t="str">
        <f>IF($B81="●",①簡易状況入力!R72,"")</f>
        <v/>
      </c>
      <c r="F81" s="80" t="str">
        <f>IF($B81="●",①簡易状況入力!S72,"")</f>
        <v/>
      </c>
      <c r="G81" s="81" t="str">
        <f>IF($B81="●",①簡易状況入力!H72,"")</f>
        <v/>
      </c>
      <c r="H81" s="81" t="str">
        <f t="shared" si="9"/>
        <v/>
      </c>
      <c r="I81" s="69">
        <f ca="1">OFFSET(③各部被害関数計算結果!$H$2,1+($A81-1)*4,0)</f>
        <v>0</v>
      </c>
      <c r="J81" s="81" t="str">
        <f t="shared" si="10"/>
        <v/>
      </c>
      <c r="K81" s="69">
        <f ca="1">OFFSET(③各部被害関数計算結果!$J$2,1+($A81-1)*4,0)</f>
        <v>0</v>
      </c>
      <c r="L81" s="81" t="str">
        <f>IF($B81="●",①簡易状況入力!I72,"")</f>
        <v/>
      </c>
      <c r="M81" s="81" t="str">
        <f t="shared" si="11"/>
        <v/>
      </c>
      <c r="N81" s="69">
        <f ca="1">OFFSET(③各部被害関数計算結果!$H$2,2+($A81-1)*4,0)</f>
        <v>0</v>
      </c>
      <c r="O81" s="81" t="str">
        <f t="shared" si="12"/>
        <v/>
      </c>
      <c r="P81" s="69">
        <f ca="1">OFFSET(③各部被害関数計算結果!$J$2,2+($A81-1)*4,0)</f>
        <v>0</v>
      </c>
      <c r="Q81" s="81" t="str">
        <f>IF($B81="●",①簡易状況入力!J72,"")</f>
        <v/>
      </c>
      <c r="R81" s="81" t="str">
        <f t="shared" si="13"/>
        <v/>
      </c>
      <c r="S81" s="69">
        <f ca="1">OFFSET(③各部被害関数計算結果!$H$2,3+($A81-1)*4,0)</f>
        <v>0</v>
      </c>
      <c r="T81" s="81" t="str">
        <f t="shared" si="14"/>
        <v/>
      </c>
      <c r="U81" s="69">
        <f ca="1">OFFSET(③各部被害関数計算結果!$J$2,3+($A81-1)*4,0)</f>
        <v>0</v>
      </c>
      <c r="V81" s="81" t="str">
        <f t="shared" si="15"/>
        <v/>
      </c>
      <c r="W81" s="81" t="str">
        <f t="shared" si="16"/>
        <v/>
      </c>
      <c r="X81" s="69">
        <f ca="1">OFFSET(③各部被害関数計算結果!$H$2,4+($A81-1)*4,0)</f>
        <v>0</v>
      </c>
      <c r="Y81" s="81" t="str">
        <f t="shared" si="17"/>
        <v/>
      </c>
      <c r="Z81" s="69">
        <f ca="1">OFFSET(③各部被害関数計算結果!$J$2,4+($A81-1)*4,0)</f>
        <v>0</v>
      </c>
    </row>
    <row r="82" spans="1:26" x14ac:dyDescent="0.15">
      <c r="A82">
        <v>69</v>
      </c>
      <c r="B82" s="49">
        <f>①簡易状況入力!B73</f>
        <v>0</v>
      </c>
      <c r="C82" s="33" t="s">
        <v>304</v>
      </c>
      <c r="D82" s="147" t="str">
        <f>IF($B82="●",①簡易状況入力!D73,"")</f>
        <v/>
      </c>
      <c r="E82" s="80" t="str">
        <f>IF($B82="●",①簡易状況入力!R73,"")</f>
        <v/>
      </c>
      <c r="F82" s="80" t="str">
        <f>IF($B82="●",①簡易状況入力!S73,"")</f>
        <v/>
      </c>
      <c r="G82" s="81" t="str">
        <f>IF($B82="●",①簡易状況入力!H73,"")</f>
        <v/>
      </c>
      <c r="H82" s="81" t="str">
        <f t="shared" si="9"/>
        <v/>
      </c>
      <c r="I82" s="69">
        <f ca="1">OFFSET(③各部被害関数計算結果!$H$2,1+($A82-1)*4,0)</f>
        <v>0</v>
      </c>
      <c r="J82" s="81" t="str">
        <f t="shared" si="10"/>
        <v/>
      </c>
      <c r="K82" s="69">
        <f ca="1">OFFSET(③各部被害関数計算結果!$J$2,1+($A82-1)*4,0)</f>
        <v>0</v>
      </c>
      <c r="L82" s="81" t="str">
        <f>IF($B82="●",①簡易状況入力!I73,"")</f>
        <v/>
      </c>
      <c r="M82" s="81" t="str">
        <f t="shared" si="11"/>
        <v/>
      </c>
      <c r="N82" s="69">
        <f ca="1">OFFSET(③各部被害関数計算結果!$H$2,2+($A82-1)*4,0)</f>
        <v>0</v>
      </c>
      <c r="O82" s="81" t="str">
        <f t="shared" si="12"/>
        <v/>
      </c>
      <c r="P82" s="69">
        <f ca="1">OFFSET(③各部被害関数計算結果!$J$2,2+($A82-1)*4,0)</f>
        <v>0</v>
      </c>
      <c r="Q82" s="81" t="str">
        <f>IF($B82="●",①簡易状況入力!J73,"")</f>
        <v/>
      </c>
      <c r="R82" s="81" t="str">
        <f t="shared" si="13"/>
        <v/>
      </c>
      <c r="S82" s="69">
        <f ca="1">OFFSET(③各部被害関数計算結果!$H$2,3+($A82-1)*4,0)</f>
        <v>0</v>
      </c>
      <c r="T82" s="81" t="str">
        <f t="shared" si="14"/>
        <v/>
      </c>
      <c r="U82" s="69">
        <f ca="1">OFFSET(③各部被害関数計算結果!$J$2,3+($A82-1)*4,0)</f>
        <v>0</v>
      </c>
      <c r="V82" s="81" t="str">
        <f t="shared" si="15"/>
        <v/>
      </c>
      <c r="W82" s="81" t="str">
        <f t="shared" si="16"/>
        <v/>
      </c>
      <c r="X82" s="69">
        <f ca="1">OFFSET(③各部被害関数計算結果!$H$2,4+($A82-1)*4,0)</f>
        <v>0</v>
      </c>
      <c r="Y82" s="81" t="str">
        <f t="shared" si="17"/>
        <v/>
      </c>
      <c r="Z82" s="69">
        <f ca="1">OFFSET(③各部被害関数計算結果!$J$2,4+($A82-1)*4,0)</f>
        <v>0</v>
      </c>
    </row>
    <row r="83" spans="1:26" x14ac:dyDescent="0.15">
      <c r="A83">
        <v>70</v>
      </c>
      <c r="B83" s="49">
        <f>①簡易状況入力!B74</f>
        <v>0</v>
      </c>
      <c r="C83" s="33" t="s">
        <v>305</v>
      </c>
      <c r="D83" s="147" t="str">
        <f>IF($B83="●",①簡易状況入力!D74,"")</f>
        <v/>
      </c>
      <c r="E83" s="80" t="str">
        <f>IF($B83="●",①簡易状況入力!R74,"")</f>
        <v/>
      </c>
      <c r="F83" s="80" t="str">
        <f>IF($B83="●",①簡易状況入力!S74,"")</f>
        <v/>
      </c>
      <c r="G83" s="81" t="str">
        <f>IF($B83="●",①簡易状況入力!H74,"")</f>
        <v/>
      </c>
      <c r="H83" s="81" t="str">
        <f t="shared" si="9"/>
        <v/>
      </c>
      <c r="I83" s="69">
        <f ca="1">OFFSET(③各部被害関数計算結果!$H$2,1+($A83-1)*4,0)</f>
        <v>0</v>
      </c>
      <c r="J83" s="81" t="str">
        <f t="shared" si="10"/>
        <v/>
      </c>
      <c r="K83" s="69">
        <f ca="1">OFFSET(③各部被害関数計算結果!$J$2,1+($A83-1)*4,0)</f>
        <v>0</v>
      </c>
      <c r="L83" s="81" t="str">
        <f>IF($B83="●",①簡易状況入力!I74,"")</f>
        <v/>
      </c>
      <c r="M83" s="81" t="str">
        <f t="shared" si="11"/>
        <v/>
      </c>
      <c r="N83" s="69">
        <f ca="1">OFFSET(③各部被害関数計算結果!$H$2,2+($A83-1)*4,0)</f>
        <v>0</v>
      </c>
      <c r="O83" s="81" t="str">
        <f t="shared" si="12"/>
        <v/>
      </c>
      <c r="P83" s="69">
        <f ca="1">OFFSET(③各部被害関数計算結果!$J$2,2+($A83-1)*4,0)</f>
        <v>0</v>
      </c>
      <c r="Q83" s="81" t="str">
        <f>IF($B83="●",①簡易状況入力!J74,"")</f>
        <v/>
      </c>
      <c r="R83" s="81" t="str">
        <f t="shared" si="13"/>
        <v/>
      </c>
      <c r="S83" s="69">
        <f ca="1">OFFSET(③各部被害関数計算結果!$H$2,3+($A83-1)*4,0)</f>
        <v>0</v>
      </c>
      <c r="T83" s="81" t="str">
        <f t="shared" si="14"/>
        <v/>
      </c>
      <c r="U83" s="69">
        <f ca="1">OFFSET(③各部被害関数計算結果!$J$2,3+($A83-1)*4,0)</f>
        <v>0</v>
      </c>
      <c r="V83" s="81" t="str">
        <f t="shared" si="15"/>
        <v/>
      </c>
      <c r="W83" s="81" t="str">
        <f t="shared" si="16"/>
        <v/>
      </c>
      <c r="X83" s="69">
        <f ca="1">OFFSET(③各部被害関数計算結果!$H$2,4+($A83-1)*4,0)</f>
        <v>0</v>
      </c>
      <c r="Y83" s="81" t="str">
        <f t="shared" si="17"/>
        <v/>
      </c>
      <c r="Z83" s="69">
        <f ca="1">OFFSET(③各部被害関数計算結果!$J$2,4+($A83-1)*4,0)</f>
        <v>0</v>
      </c>
    </row>
    <row r="84" spans="1:26" x14ac:dyDescent="0.15">
      <c r="A84">
        <v>71</v>
      </c>
      <c r="B84" s="49">
        <f>①簡易状況入力!B75</f>
        <v>0</v>
      </c>
      <c r="C84" s="33" t="s">
        <v>306</v>
      </c>
      <c r="D84" s="147" t="str">
        <f>IF($B84="●",①簡易状況入力!D75,"")</f>
        <v/>
      </c>
      <c r="E84" s="80" t="str">
        <f>IF($B84="●",①簡易状況入力!R75,"")</f>
        <v/>
      </c>
      <c r="F84" s="80" t="str">
        <f>IF($B84="●",①簡易状況入力!S75,"")</f>
        <v/>
      </c>
      <c r="G84" s="81" t="str">
        <f>IF($B84="●",①簡易状況入力!H75,"")</f>
        <v/>
      </c>
      <c r="H84" s="81" t="str">
        <f t="shared" si="9"/>
        <v/>
      </c>
      <c r="I84" s="69">
        <f ca="1">OFFSET(③各部被害関数計算結果!$H$2,1+($A84-1)*4,0)</f>
        <v>0</v>
      </c>
      <c r="J84" s="81" t="str">
        <f t="shared" si="10"/>
        <v/>
      </c>
      <c r="K84" s="69">
        <f ca="1">OFFSET(③各部被害関数計算結果!$J$2,1+($A84-1)*4,0)</f>
        <v>0</v>
      </c>
      <c r="L84" s="81" t="str">
        <f>IF($B84="●",①簡易状況入力!I75,"")</f>
        <v/>
      </c>
      <c r="M84" s="81" t="str">
        <f t="shared" si="11"/>
        <v/>
      </c>
      <c r="N84" s="69">
        <f ca="1">OFFSET(③各部被害関数計算結果!$H$2,2+($A84-1)*4,0)</f>
        <v>0</v>
      </c>
      <c r="O84" s="81" t="str">
        <f t="shared" si="12"/>
        <v/>
      </c>
      <c r="P84" s="69">
        <f ca="1">OFFSET(③各部被害関数計算結果!$J$2,2+($A84-1)*4,0)</f>
        <v>0</v>
      </c>
      <c r="Q84" s="81" t="str">
        <f>IF($B84="●",①簡易状況入力!J75,"")</f>
        <v/>
      </c>
      <c r="R84" s="81" t="str">
        <f t="shared" si="13"/>
        <v/>
      </c>
      <c r="S84" s="69">
        <f ca="1">OFFSET(③各部被害関数計算結果!$H$2,3+($A84-1)*4,0)</f>
        <v>0</v>
      </c>
      <c r="T84" s="81" t="str">
        <f t="shared" si="14"/>
        <v/>
      </c>
      <c r="U84" s="69">
        <f ca="1">OFFSET(③各部被害関数計算結果!$J$2,3+($A84-1)*4,0)</f>
        <v>0</v>
      </c>
      <c r="V84" s="81" t="str">
        <f t="shared" si="15"/>
        <v/>
      </c>
      <c r="W84" s="81" t="str">
        <f t="shared" si="16"/>
        <v/>
      </c>
      <c r="X84" s="69">
        <f ca="1">OFFSET(③各部被害関数計算結果!$H$2,4+($A84-1)*4,0)</f>
        <v>0</v>
      </c>
      <c r="Y84" s="81" t="str">
        <f t="shared" si="17"/>
        <v/>
      </c>
      <c r="Z84" s="69">
        <f ca="1">OFFSET(③各部被害関数計算結果!$J$2,4+($A84-1)*4,0)</f>
        <v>0</v>
      </c>
    </row>
    <row r="85" spans="1:26" x14ac:dyDescent="0.15">
      <c r="A85">
        <v>72</v>
      </c>
      <c r="B85" s="49">
        <f>①簡易状況入力!B76</f>
        <v>0</v>
      </c>
      <c r="C85" s="33" t="s">
        <v>307</v>
      </c>
      <c r="D85" s="147" t="str">
        <f>IF($B85="●",①簡易状況入力!D76,"")</f>
        <v/>
      </c>
      <c r="E85" s="80" t="str">
        <f>IF($B85="●",①簡易状況入力!R76,"")</f>
        <v/>
      </c>
      <c r="F85" s="80" t="str">
        <f>IF($B85="●",①簡易状況入力!S76,"")</f>
        <v/>
      </c>
      <c r="G85" s="81" t="str">
        <f>IF($B85="●",①簡易状況入力!H76,"")</f>
        <v/>
      </c>
      <c r="H85" s="81" t="str">
        <f t="shared" si="9"/>
        <v/>
      </c>
      <c r="I85" s="69">
        <f ca="1">OFFSET(③各部被害関数計算結果!$H$2,1+($A85-1)*4,0)</f>
        <v>0</v>
      </c>
      <c r="J85" s="81" t="str">
        <f t="shared" si="10"/>
        <v/>
      </c>
      <c r="K85" s="69">
        <f ca="1">OFFSET(③各部被害関数計算結果!$J$2,1+($A85-1)*4,0)</f>
        <v>0</v>
      </c>
      <c r="L85" s="81" t="str">
        <f>IF($B85="●",①簡易状況入力!I76,"")</f>
        <v/>
      </c>
      <c r="M85" s="81" t="str">
        <f t="shared" si="11"/>
        <v/>
      </c>
      <c r="N85" s="69">
        <f ca="1">OFFSET(③各部被害関数計算結果!$H$2,2+($A85-1)*4,0)</f>
        <v>0</v>
      </c>
      <c r="O85" s="81" t="str">
        <f t="shared" si="12"/>
        <v/>
      </c>
      <c r="P85" s="69">
        <f ca="1">OFFSET(③各部被害関数計算結果!$J$2,2+($A85-1)*4,0)</f>
        <v>0</v>
      </c>
      <c r="Q85" s="81" t="str">
        <f>IF($B85="●",①簡易状況入力!J76,"")</f>
        <v/>
      </c>
      <c r="R85" s="81" t="str">
        <f t="shared" si="13"/>
        <v/>
      </c>
      <c r="S85" s="69">
        <f ca="1">OFFSET(③各部被害関数計算結果!$H$2,3+($A85-1)*4,0)</f>
        <v>0</v>
      </c>
      <c r="T85" s="81" t="str">
        <f t="shared" si="14"/>
        <v/>
      </c>
      <c r="U85" s="69">
        <f ca="1">OFFSET(③各部被害関数計算結果!$J$2,3+($A85-1)*4,0)</f>
        <v>0</v>
      </c>
      <c r="V85" s="81" t="str">
        <f t="shared" si="15"/>
        <v/>
      </c>
      <c r="W85" s="81" t="str">
        <f t="shared" si="16"/>
        <v/>
      </c>
      <c r="X85" s="69">
        <f ca="1">OFFSET(③各部被害関数計算結果!$H$2,4+($A85-1)*4,0)</f>
        <v>0</v>
      </c>
      <c r="Y85" s="81" t="str">
        <f t="shared" si="17"/>
        <v/>
      </c>
      <c r="Z85" s="69">
        <f ca="1">OFFSET(③各部被害関数計算結果!$J$2,4+($A85-1)*4,0)</f>
        <v>0</v>
      </c>
    </row>
    <row r="86" spans="1:26" x14ac:dyDescent="0.15">
      <c r="A86">
        <v>73</v>
      </c>
      <c r="B86" s="49">
        <f>①簡易状況入力!B77</f>
        <v>0</v>
      </c>
      <c r="C86" s="33" t="s">
        <v>308</v>
      </c>
      <c r="D86" s="147" t="str">
        <f>IF($B86="●",①簡易状況入力!D77,"")</f>
        <v/>
      </c>
      <c r="E86" s="80" t="str">
        <f>IF($B86="●",①簡易状況入力!R77,"")</f>
        <v/>
      </c>
      <c r="F86" s="80" t="str">
        <f>IF($B86="●",①簡易状況入力!S77,"")</f>
        <v/>
      </c>
      <c r="G86" s="81" t="str">
        <f>IF($B86="●",①簡易状況入力!H77,"")</f>
        <v/>
      </c>
      <c r="H86" s="81" t="str">
        <f t="shared" si="9"/>
        <v/>
      </c>
      <c r="I86" s="69">
        <f ca="1">OFFSET(③各部被害関数計算結果!$H$2,1+($A86-1)*4,0)</f>
        <v>0</v>
      </c>
      <c r="J86" s="81" t="str">
        <f t="shared" si="10"/>
        <v/>
      </c>
      <c r="K86" s="69">
        <f ca="1">OFFSET(③各部被害関数計算結果!$J$2,1+($A86-1)*4,0)</f>
        <v>0</v>
      </c>
      <c r="L86" s="81" t="str">
        <f>IF($B86="●",①簡易状況入力!I77,"")</f>
        <v/>
      </c>
      <c r="M86" s="81" t="str">
        <f t="shared" si="11"/>
        <v/>
      </c>
      <c r="N86" s="69">
        <f ca="1">OFFSET(③各部被害関数計算結果!$H$2,2+($A86-1)*4,0)</f>
        <v>0</v>
      </c>
      <c r="O86" s="81" t="str">
        <f t="shared" si="12"/>
        <v/>
      </c>
      <c r="P86" s="69">
        <f ca="1">OFFSET(③各部被害関数計算結果!$J$2,2+($A86-1)*4,0)</f>
        <v>0</v>
      </c>
      <c r="Q86" s="81" t="str">
        <f>IF($B86="●",①簡易状況入力!J77,"")</f>
        <v/>
      </c>
      <c r="R86" s="81" t="str">
        <f t="shared" si="13"/>
        <v/>
      </c>
      <c r="S86" s="69">
        <f ca="1">OFFSET(③各部被害関数計算結果!$H$2,3+($A86-1)*4,0)</f>
        <v>0</v>
      </c>
      <c r="T86" s="81" t="str">
        <f t="shared" si="14"/>
        <v/>
      </c>
      <c r="U86" s="69">
        <f ca="1">OFFSET(③各部被害関数計算結果!$J$2,3+($A86-1)*4,0)</f>
        <v>0</v>
      </c>
      <c r="V86" s="81" t="str">
        <f t="shared" si="15"/>
        <v/>
      </c>
      <c r="W86" s="81" t="str">
        <f t="shared" si="16"/>
        <v/>
      </c>
      <c r="X86" s="69">
        <f ca="1">OFFSET(③各部被害関数計算結果!$H$2,4+($A86-1)*4,0)</f>
        <v>0</v>
      </c>
      <c r="Y86" s="81" t="str">
        <f t="shared" si="17"/>
        <v/>
      </c>
      <c r="Z86" s="69">
        <f ca="1">OFFSET(③各部被害関数計算結果!$J$2,4+($A86-1)*4,0)</f>
        <v>0</v>
      </c>
    </row>
    <row r="87" spans="1:26" x14ac:dyDescent="0.15">
      <c r="A87">
        <v>74</v>
      </c>
      <c r="B87" s="49">
        <f>①簡易状況入力!B78</f>
        <v>0</v>
      </c>
      <c r="C87" s="33" t="s">
        <v>309</v>
      </c>
      <c r="D87" s="147" t="str">
        <f>IF($B87="●",①簡易状況入力!D78,"")</f>
        <v/>
      </c>
      <c r="E87" s="80" t="str">
        <f>IF($B87="●",①簡易状況入力!R78,"")</f>
        <v/>
      </c>
      <c r="F87" s="80" t="str">
        <f>IF($B87="●",①簡易状況入力!S78,"")</f>
        <v/>
      </c>
      <c r="G87" s="81" t="str">
        <f>IF($B87="●",①簡易状況入力!H78,"")</f>
        <v/>
      </c>
      <c r="H87" s="81" t="str">
        <f t="shared" si="9"/>
        <v/>
      </c>
      <c r="I87" s="69">
        <f ca="1">OFFSET(③各部被害関数計算結果!$H$2,1+($A87-1)*4,0)</f>
        <v>0</v>
      </c>
      <c r="J87" s="81" t="str">
        <f t="shared" si="10"/>
        <v/>
      </c>
      <c r="K87" s="69">
        <f ca="1">OFFSET(③各部被害関数計算結果!$J$2,1+($A87-1)*4,0)</f>
        <v>0</v>
      </c>
      <c r="L87" s="81" t="str">
        <f>IF($B87="●",①簡易状況入力!I78,"")</f>
        <v/>
      </c>
      <c r="M87" s="81" t="str">
        <f t="shared" si="11"/>
        <v/>
      </c>
      <c r="N87" s="69">
        <f ca="1">OFFSET(③各部被害関数計算結果!$H$2,2+($A87-1)*4,0)</f>
        <v>0</v>
      </c>
      <c r="O87" s="81" t="str">
        <f t="shared" si="12"/>
        <v/>
      </c>
      <c r="P87" s="69">
        <f ca="1">OFFSET(③各部被害関数計算結果!$J$2,2+($A87-1)*4,0)</f>
        <v>0</v>
      </c>
      <c r="Q87" s="81" t="str">
        <f>IF($B87="●",①簡易状況入力!J78,"")</f>
        <v/>
      </c>
      <c r="R87" s="81" t="str">
        <f t="shared" si="13"/>
        <v/>
      </c>
      <c r="S87" s="69">
        <f ca="1">OFFSET(③各部被害関数計算結果!$H$2,3+($A87-1)*4,0)</f>
        <v>0</v>
      </c>
      <c r="T87" s="81" t="str">
        <f t="shared" si="14"/>
        <v/>
      </c>
      <c r="U87" s="69">
        <f ca="1">OFFSET(③各部被害関数計算結果!$J$2,3+($A87-1)*4,0)</f>
        <v>0</v>
      </c>
      <c r="V87" s="81" t="str">
        <f t="shared" si="15"/>
        <v/>
      </c>
      <c r="W87" s="81" t="str">
        <f t="shared" si="16"/>
        <v/>
      </c>
      <c r="X87" s="69">
        <f ca="1">OFFSET(③各部被害関数計算結果!$H$2,4+($A87-1)*4,0)</f>
        <v>0</v>
      </c>
      <c r="Y87" s="81" t="str">
        <f t="shared" si="17"/>
        <v/>
      </c>
      <c r="Z87" s="69">
        <f ca="1">OFFSET(③各部被害関数計算結果!$J$2,4+($A87-1)*4,0)</f>
        <v>0</v>
      </c>
    </row>
    <row r="88" spans="1:26" x14ac:dyDescent="0.15">
      <c r="A88">
        <v>75</v>
      </c>
      <c r="B88" s="49">
        <f>①簡易状況入力!B79</f>
        <v>0</v>
      </c>
      <c r="C88" s="33" t="s">
        <v>310</v>
      </c>
      <c r="D88" s="147" t="str">
        <f>IF($B88="●",①簡易状況入力!D79,"")</f>
        <v/>
      </c>
      <c r="E88" s="80" t="str">
        <f>IF($B88="●",①簡易状況入力!R79,"")</f>
        <v/>
      </c>
      <c r="F88" s="80" t="str">
        <f>IF($B88="●",①簡易状況入力!S79,"")</f>
        <v/>
      </c>
      <c r="G88" s="81" t="str">
        <f>IF($B88="●",①簡易状況入力!H79,"")</f>
        <v/>
      </c>
      <c r="H88" s="81" t="str">
        <f t="shared" si="9"/>
        <v/>
      </c>
      <c r="I88" s="69">
        <f ca="1">OFFSET(③各部被害関数計算結果!$H$2,1+($A88-1)*4,0)</f>
        <v>0</v>
      </c>
      <c r="J88" s="81" t="str">
        <f t="shared" si="10"/>
        <v/>
      </c>
      <c r="K88" s="69">
        <f ca="1">OFFSET(③各部被害関数計算結果!$J$2,1+($A88-1)*4,0)</f>
        <v>0</v>
      </c>
      <c r="L88" s="81" t="str">
        <f>IF($B88="●",①簡易状況入力!I79,"")</f>
        <v/>
      </c>
      <c r="M88" s="81" t="str">
        <f t="shared" si="11"/>
        <v/>
      </c>
      <c r="N88" s="69">
        <f ca="1">OFFSET(③各部被害関数計算結果!$H$2,2+($A88-1)*4,0)</f>
        <v>0</v>
      </c>
      <c r="O88" s="81" t="str">
        <f t="shared" si="12"/>
        <v/>
      </c>
      <c r="P88" s="69">
        <f ca="1">OFFSET(③各部被害関数計算結果!$J$2,2+($A88-1)*4,0)</f>
        <v>0</v>
      </c>
      <c r="Q88" s="81" t="str">
        <f>IF($B88="●",①簡易状況入力!J79,"")</f>
        <v/>
      </c>
      <c r="R88" s="81" t="str">
        <f t="shared" si="13"/>
        <v/>
      </c>
      <c r="S88" s="69">
        <f ca="1">OFFSET(③各部被害関数計算結果!$H$2,3+($A88-1)*4,0)</f>
        <v>0</v>
      </c>
      <c r="T88" s="81" t="str">
        <f t="shared" si="14"/>
        <v/>
      </c>
      <c r="U88" s="69">
        <f ca="1">OFFSET(③各部被害関数計算結果!$J$2,3+($A88-1)*4,0)</f>
        <v>0</v>
      </c>
      <c r="V88" s="81" t="str">
        <f t="shared" si="15"/>
        <v/>
      </c>
      <c r="W88" s="81" t="str">
        <f t="shared" si="16"/>
        <v/>
      </c>
      <c r="X88" s="69">
        <f ca="1">OFFSET(③各部被害関数計算結果!$H$2,4+($A88-1)*4,0)</f>
        <v>0</v>
      </c>
      <c r="Y88" s="81" t="str">
        <f t="shared" si="17"/>
        <v/>
      </c>
      <c r="Z88" s="69">
        <f ca="1">OFFSET(③各部被害関数計算結果!$J$2,4+($A88-1)*4,0)</f>
        <v>0</v>
      </c>
    </row>
    <row r="89" spans="1:26" x14ac:dyDescent="0.15">
      <c r="A89">
        <v>76</v>
      </c>
      <c r="B89" s="49">
        <f>①簡易状況入力!B80</f>
        <v>0</v>
      </c>
      <c r="C89" s="33" t="s">
        <v>311</v>
      </c>
      <c r="D89" s="147" t="str">
        <f>IF($B89="●",①簡易状況入力!D80,"")</f>
        <v/>
      </c>
      <c r="E89" s="80" t="str">
        <f>IF($B89="●",①簡易状況入力!R80,"")</f>
        <v/>
      </c>
      <c r="F89" s="80" t="str">
        <f>IF($B89="●",①簡易状況入力!S80,"")</f>
        <v/>
      </c>
      <c r="G89" s="81" t="str">
        <f>IF($B89="●",①簡易状況入力!H80,"")</f>
        <v/>
      </c>
      <c r="H89" s="81" t="str">
        <f t="shared" si="9"/>
        <v/>
      </c>
      <c r="I89" s="69">
        <f ca="1">OFFSET(③各部被害関数計算結果!$H$2,1+($A89-1)*4,0)</f>
        <v>0</v>
      </c>
      <c r="J89" s="81" t="str">
        <f t="shared" si="10"/>
        <v/>
      </c>
      <c r="K89" s="69">
        <f ca="1">OFFSET(③各部被害関数計算結果!$J$2,1+($A89-1)*4,0)</f>
        <v>0</v>
      </c>
      <c r="L89" s="81" t="str">
        <f>IF($B89="●",①簡易状況入力!I80,"")</f>
        <v/>
      </c>
      <c r="M89" s="81" t="str">
        <f t="shared" si="11"/>
        <v/>
      </c>
      <c r="N89" s="69">
        <f ca="1">OFFSET(③各部被害関数計算結果!$H$2,2+($A89-1)*4,0)</f>
        <v>0</v>
      </c>
      <c r="O89" s="81" t="str">
        <f t="shared" si="12"/>
        <v/>
      </c>
      <c r="P89" s="69">
        <f ca="1">OFFSET(③各部被害関数計算結果!$J$2,2+($A89-1)*4,0)</f>
        <v>0</v>
      </c>
      <c r="Q89" s="81" t="str">
        <f>IF($B89="●",①簡易状況入力!J80,"")</f>
        <v/>
      </c>
      <c r="R89" s="81" t="str">
        <f t="shared" si="13"/>
        <v/>
      </c>
      <c r="S89" s="69">
        <f ca="1">OFFSET(③各部被害関数計算結果!$H$2,3+($A89-1)*4,0)</f>
        <v>0</v>
      </c>
      <c r="T89" s="81" t="str">
        <f t="shared" si="14"/>
        <v/>
      </c>
      <c r="U89" s="69">
        <f ca="1">OFFSET(③各部被害関数計算結果!$J$2,3+($A89-1)*4,0)</f>
        <v>0</v>
      </c>
      <c r="V89" s="81" t="str">
        <f t="shared" si="15"/>
        <v/>
      </c>
      <c r="W89" s="81" t="str">
        <f t="shared" si="16"/>
        <v/>
      </c>
      <c r="X89" s="69">
        <f ca="1">OFFSET(③各部被害関数計算結果!$H$2,4+($A89-1)*4,0)</f>
        <v>0</v>
      </c>
      <c r="Y89" s="81" t="str">
        <f t="shared" si="17"/>
        <v/>
      </c>
      <c r="Z89" s="69">
        <f ca="1">OFFSET(③各部被害関数計算結果!$J$2,4+($A89-1)*4,0)</f>
        <v>0</v>
      </c>
    </row>
    <row r="90" spans="1:26" x14ac:dyDescent="0.15">
      <c r="A90">
        <v>77</v>
      </c>
      <c r="B90" s="49">
        <f>①簡易状況入力!B81</f>
        <v>0</v>
      </c>
      <c r="C90" s="33" t="s">
        <v>312</v>
      </c>
      <c r="D90" s="147" t="str">
        <f>IF($B90="●",①簡易状況入力!D81,"")</f>
        <v/>
      </c>
      <c r="E90" s="80" t="str">
        <f>IF($B90="●",①簡易状況入力!R81,"")</f>
        <v/>
      </c>
      <c r="F90" s="80" t="str">
        <f>IF($B90="●",①簡易状況入力!S81,"")</f>
        <v/>
      </c>
      <c r="G90" s="81" t="str">
        <f>IF($B90="●",①簡易状況入力!H81,"")</f>
        <v/>
      </c>
      <c r="H90" s="81" t="str">
        <f t="shared" si="9"/>
        <v/>
      </c>
      <c r="I90" s="69">
        <f ca="1">OFFSET(③各部被害関数計算結果!$H$2,1+($A90-1)*4,0)</f>
        <v>0</v>
      </c>
      <c r="J90" s="81" t="str">
        <f t="shared" si="10"/>
        <v/>
      </c>
      <c r="K90" s="69">
        <f ca="1">OFFSET(③各部被害関数計算結果!$J$2,1+($A90-1)*4,0)</f>
        <v>0</v>
      </c>
      <c r="L90" s="81" t="str">
        <f>IF($B90="●",①簡易状況入力!I81,"")</f>
        <v/>
      </c>
      <c r="M90" s="81" t="str">
        <f t="shared" si="11"/>
        <v/>
      </c>
      <c r="N90" s="69">
        <f ca="1">OFFSET(③各部被害関数計算結果!$H$2,2+($A90-1)*4,0)</f>
        <v>0</v>
      </c>
      <c r="O90" s="81" t="str">
        <f t="shared" si="12"/>
        <v/>
      </c>
      <c r="P90" s="69">
        <f ca="1">OFFSET(③各部被害関数計算結果!$J$2,2+($A90-1)*4,0)</f>
        <v>0</v>
      </c>
      <c r="Q90" s="81" t="str">
        <f>IF($B90="●",①簡易状況入力!J81,"")</f>
        <v/>
      </c>
      <c r="R90" s="81" t="str">
        <f t="shared" si="13"/>
        <v/>
      </c>
      <c r="S90" s="69">
        <f ca="1">OFFSET(③各部被害関数計算結果!$H$2,3+($A90-1)*4,0)</f>
        <v>0</v>
      </c>
      <c r="T90" s="81" t="str">
        <f t="shared" si="14"/>
        <v/>
      </c>
      <c r="U90" s="69">
        <f ca="1">OFFSET(③各部被害関数計算結果!$J$2,3+($A90-1)*4,0)</f>
        <v>0</v>
      </c>
      <c r="V90" s="81" t="str">
        <f t="shared" si="15"/>
        <v/>
      </c>
      <c r="W90" s="81" t="str">
        <f t="shared" si="16"/>
        <v/>
      </c>
      <c r="X90" s="69">
        <f ca="1">OFFSET(③各部被害関数計算結果!$H$2,4+($A90-1)*4,0)</f>
        <v>0</v>
      </c>
      <c r="Y90" s="81" t="str">
        <f t="shared" si="17"/>
        <v/>
      </c>
      <c r="Z90" s="69">
        <f ca="1">OFFSET(③各部被害関数計算結果!$J$2,4+($A90-1)*4,0)</f>
        <v>0</v>
      </c>
    </row>
    <row r="91" spans="1:26" x14ac:dyDescent="0.15">
      <c r="A91">
        <v>78</v>
      </c>
      <c r="B91" s="49">
        <f>①簡易状況入力!B82</f>
        <v>0</v>
      </c>
      <c r="C91" s="33" t="s">
        <v>313</v>
      </c>
      <c r="D91" s="147" t="str">
        <f>IF($B91="●",①簡易状況入力!D82,"")</f>
        <v/>
      </c>
      <c r="E91" s="80" t="str">
        <f>IF($B91="●",①簡易状況入力!R82,"")</f>
        <v/>
      </c>
      <c r="F91" s="80" t="str">
        <f>IF($B91="●",①簡易状況入力!S82,"")</f>
        <v/>
      </c>
      <c r="G91" s="81" t="str">
        <f>IF($B91="●",①簡易状況入力!H82,"")</f>
        <v/>
      </c>
      <c r="H91" s="81" t="str">
        <f t="shared" si="9"/>
        <v/>
      </c>
      <c r="I91" s="69">
        <f ca="1">OFFSET(③各部被害関数計算結果!$H$2,1+($A91-1)*4,0)</f>
        <v>0</v>
      </c>
      <c r="J91" s="81" t="str">
        <f t="shared" si="10"/>
        <v/>
      </c>
      <c r="K91" s="69">
        <f ca="1">OFFSET(③各部被害関数計算結果!$J$2,1+($A91-1)*4,0)</f>
        <v>0</v>
      </c>
      <c r="L91" s="81" t="str">
        <f>IF($B91="●",①簡易状況入力!I82,"")</f>
        <v/>
      </c>
      <c r="M91" s="81" t="str">
        <f t="shared" si="11"/>
        <v/>
      </c>
      <c r="N91" s="69">
        <f ca="1">OFFSET(③各部被害関数計算結果!$H$2,2+($A91-1)*4,0)</f>
        <v>0</v>
      </c>
      <c r="O91" s="81" t="str">
        <f t="shared" si="12"/>
        <v/>
      </c>
      <c r="P91" s="69">
        <f ca="1">OFFSET(③各部被害関数計算結果!$J$2,2+($A91-1)*4,0)</f>
        <v>0</v>
      </c>
      <c r="Q91" s="81" t="str">
        <f>IF($B91="●",①簡易状況入力!J82,"")</f>
        <v/>
      </c>
      <c r="R91" s="81" t="str">
        <f t="shared" si="13"/>
        <v/>
      </c>
      <c r="S91" s="69">
        <f ca="1">OFFSET(③各部被害関数計算結果!$H$2,3+($A91-1)*4,0)</f>
        <v>0</v>
      </c>
      <c r="T91" s="81" t="str">
        <f t="shared" si="14"/>
        <v/>
      </c>
      <c r="U91" s="69">
        <f ca="1">OFFSET(③各部被害関数計算結果!$J$2,3+($A91-1)*4,0)</f>
        <v>0</v>
      </c>
      <c r="V91" s="81" t="str">
        <f t="shared" si="15"/>
        <v/>
      </c>
      <c r="W91" s="81" t="str">
        <f t="shared" si="16"/>
        <v/>
      </c>
      <c r="X91" s="69">
        <f ca="1">OFFSET(③各部被害関数計算結果!$H$2,4+($A91-1)*4,0)</f>
        <v>0</v>
      </c>
      <c r="Y91" s="81" t="str">
        <f t="shared" si="17"/>
        <v/>
      </c>
      <c r="Z91" s="69">
        <f ca="1">OFFSET(③各部被害関数計算結果!$J$2,4+($A91-1)*4,0)</f>
        <v>0</v>
      </c>
    </row>
    <row r="92" spans="1:26" x14ac:dyDescent="0.15">
      <c r="A92">
        <v>79</v>
      </c>
      <c r="B92" s="49">
        <f>①簡易状況入力!B83</f>
        <v>0</v>
      </c>
      <c r="C92" s="33" t="s">
        <v>314</v>
      </c>
      <c r="D92" s="147" t="str">
        <f>IF($B92="●",①簡易状況入力!D83,"")</f>
        <v/>
      </c>
      <c r="E92" s="80" t="str">
        <f>IF($B92="●",①簡易状況入力!R83,"")</f>
        <v/>
      </c>
      <c r="F92" s="80" t="str">
        <f>IF($B92="●",①簡易状況入力!S83,"")</f>
        <v/>
      </c>
      <c r="G92" s="81" t="str">
        <f>IF($B92="●",①簡易状況入力!H83,"")</f>
        <v/>
      </c>
      <c r="H92" s="81" t="str">
        <f t="shared" si="9"/>
        <v/>
      </c>
      <c r="I92" s="69">
        <f ca="1">OFFSET(③各部被害関数計算結果!$H$2,1+($A92-1)*4,0)</f>
        <v>0</v>
      </c>
      <c r="J92" s="81" t="str">
        <f t="shared" si="10"/>
        <v/>
      </c>
      <c r="K92" s="69">
        <f ca="1">OFFSET(③各部被害関数計算結果!$J$2,1+($A92-1)*4,0)</f>
        <v>0</v>
      </c>
      <c r="L92" s="81" t="str">
        <f>IF($B92="●",①簡易状況入力!I83,"")</f>
        <v/>
      </c>
      <c r="M92" s="81" t="str">
        <f t="shared" si="11"/>
        <v/>
      </c>
      <c r="N92" s="69">
        <f ca="1">OFFSET(③各部被害関数計算結果!$H$2,2+($A92-1)*4,0)</f>
        <v>0</v>
      </c>
      <c r="O92" s="81" t="str">
        <f t="shared" si="12"/>
        <v/>
      </c>
      <c r="P92" s="69">
        <f ca="1">OFFSET(③各部被害関数計算結果!$J$2,2+($A92-1)*4,0)</f>
        <v>0</v>
      </c>
      <c r="Q92" s="81" t="str">
        <f>IF($B92="●",①簡易状況入力!J83,"")</f>
        <v/>
      </c>
      <c r="R92" s="81" t="str">
        <f t="shared" si="13"/>
        <v/>
      </c>
      <c r="S92" s="69">
        <f ca="1">OFFSET(③各部被害関数計算結果!$H$2,3+($A92-1)*4,0)</f>
        <v>0</v>
      </c>
      <c r="T92" s="81" t="str">
        <f t="shared" si="14"/>
        <v/>
      </c>
      <c r="U92" s="69">
        <f ca="1">OFFSET(③各部被害関数計算結果!$J$2,3+($A92-1)*4,0)</f>
        <v>0</v>
      </c>
      <c r="V92" s="81" t="str">
        <f t="shared" si="15"/>
        <v/>
      </c>
      <c r="W92" s="81" t="str">
        <f t="shared" si="16"/>
        <v/>
      </c>
      <c r="X92" s="69">
        <f ca="1">OFFSET(③各部被害関数計算結果!$H$2,4+($A92-1)*4,0)</f>
        <v>0</v>
      </c>
      <c r="Y92" s="81" t="str">
        <f t="shared" si="17"/>
        <v/>
      </c>
      <c r="Z92" s="69">
        <f ca="1">OFFSET(③各部被害関数計算結果!$J$2,4+($A92-1)*4,0)</f>
        <v>0</v>
      </c>
    </row>
    <row r="93" spans="1:26" x14ac:dyDescent="0.15">
      <c r="A93">
        <v>80</v>
      </c>
      <c r="B93" s="49">
        <f>①簡易状況入力!B84</f>
        <v>0</v>
      </c>
      <c r="C93" s="33" t="s">
        <v>315</v>
      </c>
      <c r="D93" s="147" t="str">
        <f>IF($B93="●",①簡易状況入力!D84,"")</f>
        <v/>
      </c>
      <c r="E93" s="80" t="str">
        <f>IF($B93="●",①簡易状況入力!R84,"")</f>
        <v/>
      </c>
      <c r="F93" s="80" t="str">
        <f>IF($B93="●",①簡易状況入力!S84,"")</f>
        <v/>
      </c>
      <c r="G93" s="81" t="str">
        <f>IF($B93="●",①簡易状況入力!H84,"")</f>
        <v/>
      </c>
      <c r="H93" s="81" t="str">
        <f t="shared" si="9"/>
        <v/>
      </c>
      <c r="I93" s="69">
        <f ca="1">OFFSET(③各部被害関数計算結果!$H$2,1+($A93-1)*4,0)</f>
        <v>0</v>
      </c>
      <c r="J93" s="81" t="str">
        <f t="shared" si="10"/>
        <v/>
      </c>
      <c r="K93" s="69">
        <f ca="1">OFFSET(③各部被害関数計算結果!$J$2,1+($A93-1)*4,0)</f>
        <v>0</v>
      </c>
      <c r="L93" s="81" t="str">
        <f>IF($B93="●",①簡易状況入力!I84,"")</f>
        <v/>
      </c>
      <c r="M93" s="81" t="str">
        <f t="shared" si="11"/>
        <v/>
      </c>
      <c r="N93" s="69">
        <f ca="1">OFFSET(③各部被害関数計算結果!$H$2,2+($A93-1)*4,0)</f>
        <v>0</v>
      </c>
      <c r="O93" s="81" t="str">
        <f t="shared" si="12"/>
        <v/>
      </c>
      <c r="P93" s="69">
        <f ca="1">OFFSET(③各部被害関数計算結果!$J$2,2+($A93-1)*4,0)</f>
        <v>0</v>
      </c>
      <c r="Q93" s="81" t="str">
        <f>IF($B93="●",①簡易状況入力!J84,"")</f>
        <v/>
      </c>
      <c r="R93" s="81" t="str">
        <f t="shared" si="13"/>
        <v/>
      </c>
      <c r="S93" s="69">
        <f ca="1">OFFSET(③各部被害関数計算結果!$H$2,3+($A93-1)*4,0)</f>
        <v>0</v>
      </c>
      <c r="T93" s="81" t="str">
        <f t="shared" si="14"/>
        <v/>
      </c>
      <c r="U93" s="69">
        <f ca="1">OFFSET(③各部被害関数計算結果!$J$2,3+($A93-1)*4,0)</f>
        <v>0</v>
      </c>
      <c r="V93" s="81" t="str">
        <f t="shared" si="15"/>
        <v/>
      </c>
      <c r="W93" s="81" t="str">
        <f t="shared" si="16"/>
        <v/>
      </c>
      <c r="X93" s="69">
        <f ca="1">OFFSET(③各部被害関数計算結果!$H$2,4+($A93-1)*4,0)</f>
        <v>0</v>
      </c>
      <c r="Y93" s="81" t="str">
        <f t="shared" si="17"/>
        <v/>
      </c>
      <c r="Z93" s="69">
        <f ca="1">OFFSET(③各部被害関数計算結果!$J$2,4+($A93-1)*4,0)</f>
        <v>0</v>
      </c>
    </row>
    <row r="94" spans="1:26" x14ac:dyDescent="0.15">
      <c r="A94">
        <v>81</v>
      </c>
      <c r="B94" s="49">
        <f>①簡易状況入力!B85</f>
        <v>0</v>
      </c>
      <c r="C94" s="33" t="s">
        <v>316</v>
      </c>
      <c r="D94" s="147" t="str">
        <f>IF($B94="●",①簡易状況入力!D85,"")</f>
        <v/>
      </c>
      <c r="E94" s="80" t="str">
        <f>IF($B94="●",①簡易状況入力!R85,"")</f>
        <v/>
      </c>
      <c r="F94" s="80" t="str">
        <f>IF($B94="●",①簡易状況入力!S85,"")</f>
        <v/>
      </c>
      <c r="G94" s="81" t="str">
        <f>IF($B94="●",①簡易状況入力!H85,"")</f>
        <v/>
      </c>
      <c r="H94" s="81" t="str">
        <f t="shared" si="9"/>
        <v/>
      </c>
      <c r="I94" s="69">
        <f ca="1">OFFSET(③各部被害関数計算結果!$H$2,1+($A94-1)*4,0)</f>
        <v>0</v>
      </c>
      <c r="J94" s="81" t="str">
        <f t="shared" si="10"/>
        <v/>
      </c>
      <c r="K94" s="69">
        <f ca="1">OFFSET(③各部被害関数計算結果!$J$2,1+($A94-1)*4,0)</f>
        <v>0</v>
      </c>
      <c r="L94" s="81" t="str">
        <f>IF($B94="●",①簡易状況入力!I85,"")</f>
        <v/>
      </c>
      <c r="M94" s="81" t="str">
        <f t="shared" si="11"/>
        <v/>
      </c>
      <c r="N94" s="69">
        <f ca="1">OFFSET(③各部被害関数計算結果!$H$2,2+($A94-1)*4,0)</f>
        <v>0</v>
      </c>
      <c r="O94" s="81" t="str">
        <f t="shared" si="12"/>
        <v/>
      </c>
      <c r="P94" s="69">
        <f ca="1">OFFSET(③各部被害関数計算結果!$J$2,2+($A94-1)*4,0)</f>
        <v>0</v>
      </c>
      <c r="Q94" s="81" t="str">
        <f>IF($B94="●",①簡易状況入力!J85,"")</f>
        <v/>
      </c>
      <c r="R94" s="81" t="str">
        <f t="shared" si="13"/>
        <v/>
      </c>
      <c r="S94" s="69">
        <f ca="1">OFFSET(③各部被害関数計算結果!$H$2,3+($A94-1)*4,0)</f>
        <v>0</v>
      </c>
      <c r="T94" s="81" t="str">
        <f t="shared" si="14"/>
        <v/>
      </c>
      <c r="U94" s="69">
        <f ca="1">OFFSET(③各部被害関数計算結果!$J$2,3+($A94-1)*4,0)</f>
        <v>0</v>
      </c>
      <c r="V94" s="81" t="str">
        <f t="shared" si="15"/>
        <v/>
      </c>
      <c r="W94" s="81" t="str">
        <f t="shared" si="16"/>
        <v/>
      </c>
      <c r="X94" s="69">
        <f ca="1">OFFSET(③各部被害関数計算結果!$H$2,4+($A94-1)*4,0)</f>
        <v>0</v>
      </c>
      <c r="Y94" s="81" t="str">
        <f t="shared" si="17"/>
        <v/>
      </c>
      <c r="Z94" s="69">
        <f ca="1">OFFSET(③各部被害関数計算結果!$J$2,4+($A94-1)*4,0)</f>
        <v>0</v>
      </c>
    </row>
    <row r="95" spans="1:26" x14ac:dyDescent="0.15">
      <c r="A95">
        <v>82</v>
      </c>
      <c r="B95" s="49">
        <f>①簡易状況入力!B86</f>
        <v>0</v>
      </c>
      <c r="C95" s="33" t="s">
        <v>317</v>
      </c>
      <c r="D95" s="147" t="str">
        <f>IF($B95="●",①簡易状況入力!D86,"")</f>
        <v/>
      </c>
      <c r="E95" s="80" t="str">
        <f>IF($B95="●",①簡易状況入力!R86,"")</f>
        <v/>
      </c>
      <c r="F95" s="80" t="str">
        <f>IF($B95="●",①簡易状況入力!S86,"")</f>
        <v/>
      </c>
      <c r="G95" s="81" t="str">
        <f>IF($B95="●",①簡易状況入力!H86,"")</f>
        <v/>
      </c>
      <c r="H95" s="81" t="str">
        <f t="shared" si="9"/>
        <v/>
      </c>
      <c r="I95" s="69">
        <f ca="1">OFFSET(③各部被害関数計算結果!$H$2,1+($A95-1)*4,0)</f>
        <v>0</v>
      </c>
      <c r="J95" s="81" t="str">
        <f t="shared" si="10"/>
        <v/>
      </c>
      <c r="K95" s="69">
        <f ca="1">OFFSET(③各部被害関数計算結果!$J$2,1+($A95-1)*4,0)</f>
        <v>0</v>
      </c>
      <c r="L95" s="81" t="str">
        <f>IF($B95="●",①簡易状況入力!I86,"")</f>
        <v/>
      </c>
      <c r="M95" s="81" t="str">
        <f t="shared" si="11"/>
        <v/>
      </c>
      <c r="N95" s="69">
        <f ca="1">OFFSET(③各部被害関数計算結果!$H$2,2+($A95-1)*4,0)</f>
        <v>0</v>
      </c>
      <c r="O95" s="81" t="str">
        <f t="shared" si="12"/>
        <v/>
      </c>
      <c r="P95" s="69">
        <f ca="1">OFFSET(③各部被害関数計算結果!$J$2,2+($A95-1)*4,0)</f>
        <v>0</v>
      </c>
      <c r="Q95" s="81" t="str">
        <f>IF($B95="●",①簡易状況入力!J86,"")</f>
        <v/>
      </c>
      <c r="R95" s="81" t="str">
        <f t="shared" si="13"/>
        <v/>
      </c>
      <c r="S95" s="69">
        <f ca="1">OFFSET(③各部被害関数計算結果!$H$2,3+($A95-1)*4,0)</f>
        <v>0</v>
      </c>
      <c r="T95" s="81" t="str">
        <f t="shared" si="14"/>
        <v/>
      </c>
      <c r="U95" s="69">
        <f ca="1">OFFSET(③各部被害関数計算結果!$J$2,3+($A95-1)*4,0)</f>
        <v>0</v>
      </c>
      <c r="V95" s="81" t="str">
        <f t="shared" si="15"/>
        <v/>
      </c>
      <c r="W95" s="81" t="str">
        <f t="shared" si="16"/>
        <v/>
      </c>
      <c r="X95" s="69">
        <f ca="1">OFFSET(③各部被害関数計算結果!$H$2,4+($A95-1)*4,0)</f>
        <v>0</v>
      </c>
      <c r="Y95" s="81" t="str">
        <f t="shared" si="17"/>
        <v/>
      </c>
      <c r="Z95" s="69">
        <f ca="1">OFFSET(③各部被害関数計算結果!$J$2,4+($A95-1)*4,0)</f>
        <v>0</v>
      </c>
    </row>
    <row r="96" spans="1:26" x14ac:dyDescent="0.15">
      <c r="A96">
        <v>83</v>
      </c>
      <c r="B96" s="49">
        <f>①簡易状況入力!B87</f>
        <v>0</v>
      </c>
      <c r="C96" s="33" t="s">
        <v>318</v>
      </c>
      <c r="D96" s="147" t="str">
        <f>IF($B96="●",①簡易状況入力!D87,"")</f>
        <v/>
      </c>
      <c r="E96" s="80" t="str">
        <f>IF($B96="●",①簡易状況入力!R87,"")</f>
        <v/>
      </c>
      <c r="F96" s="80" t="str">
        <f>IF($B96="●",①簡易状況入力!S87,"")</f>
        <v/>
      </c>
      <c r="G96" s="81" t="str">
        <f>IF($B96="●",①簡易状況入力!H87,"")</f>
        <v/>
      </c>
      <c r="H96" s="81" t="str">
        <f t="shared" si="9"/>
        <v/>
      </c>
      <c r="I96" s="69">
        <f ca="1">OFFSET(③各部被害関数計算結果!$H$2,1+($A96-1)*4,0)</f>
        <v>0</v>
      </c>
      <c r="J96" s="81" t="str">
        <f t="shared" si="10"/>
        <v/>
      </c>
      <c r="K96" s="69">
        <f ca="1">OFFSET(③各部被害関数計算結果!$J$2,1+($A96-1)*4,0)</f>
        <v>0</v>
      </c>
      <c r="L96" s="81" t="str">
        <f>IF($B96="●",①簡易状況入力!I87,"")</f>
        <v/>
      </c>
      <c r="M96" s="81" t="str">
        <f t="shared" si="11"/>
        <v/>
      </c>
      <c r="N96" s="69">
        <f ca="1">OFFSET(③各部被害関数計算結果!$H$2,2+($A96-1)*4,0)</f>
        <v>0</v>
      </c>
      <c r="O96" s="81" t="str">
        <f t="shared" si="12"/>
        <v/>
      </c>
      <c r="P96" s="69">
        <f ca="1">OFFSET(③各部被害関数計算結果!$J$2,2+($A96-1)*4,0)</f>
        <v>0</v>
      </c>
      <c r="Q96" s="81" t="str">
        <f>IF($B96="●",①簡易状況入力!J87,"")</f>
        <v/>
      </c>
      <c r="R96" s="81" t="str">
        <f t="shared" si="13"/>
        <v/>
      </c>
      <c r="S96" s="69">
        <f ca="1">OFFSET(③各部被害関数計算結果!$H$2,3+($A96-1)*4,0)</f>
        <v>0</v>
      </c>
      <c r="T96" s="81" t="str">
        <f t="shared" si="14"/>
        <v/>
      </c>
      <c r="U96" s="69">
        <f ca="1">OFFSET(③各部被害関数計算結果!$J$2,3+($A96-1)*4,0)</f>
        <v>0</v>
      </c>
      <c r="V96" s="81" t="str">
        <f t="shared" si="15"/>
        <v/>
      </c>
      <c r="W96" s="81" t="str">
        <f t="shared" si="16"/>
        <v/>
      </c>
      <c r="X96" s="69">
        <f ca="1">OFFSET(③各部被害関数計算結果!$H$2,4+($A96-1)*4,0)</f>
        <v>0</v>
      </c>
      <c r="Y96" s="81" t="str">
        <f t="shared" si="17"/>
        <v/>
      </c>
      <c r="Z96" s="69">
        <f ca="1">OFFSET(③各部被害関数計算結果!$J$2,4+($A96-1)*4,0)</f>
        <v>0</v>
      </c>
    </row>
    <row r="97" spans="1:26" x14ac:dyDescent="0.15">
      <c r="A97">
        <v>84</v>
      </c>
      <c r="B97" s="49">
        <f>①簡易状況入力!B88</f>
        <v>0</v>
      </c>
      <c r="C97" s="33" t="s">
        <v>319</v>
      </c>
      <c r="D97" s="147" t="str">
        <f>IF($B97="●",①簡易状況入力!D88,"")</f>
        <v/>
      </c>
      <c r="E97" s="80" t="str">
        <f>IF($B97="●",①簡易状況入力!R88,"")</f>
        <v/>
      </c>
      <c r="F97" s="80" t="str">
        <f>IF($B97="●",①簡易状況入力!S88,"")</f>
        <v/>
      </c>
      <c r="G97" s="81" t="str">
        <f>IF($B97="●",①簡易状況入力!H88,"")</f>
        <v/>
      </c>
      <c r="H97" s="81" t="str">
        <f t="shared" si="9"/>
        <v/>
      </c>
      <c r="I97" s="69">
        <f ca="1">OFFSET(③各部被害関数計算結果!$H$2,1+($A97-1)*4,0)</f>
        <v>0</v>
      </c>
      <c r="J97" s="81" t="str">
        <f t="shared" si="10"/>
        <v/>
      </c>
      <c r="K97" s="69">
        <f ca="1">OFFSET(③各部被害関数計算結果!$J$2,1+($A97-1)*4,0)</f>
        <v>0</v>
      </c>
      <c r="L97" s="81" t="str">
        <f>IF($B97="●",①簡易状況入力!I88,"")</f>
        <v/>
      </c>
      <c r="M97" s="81" t="str">
        <f t="shared" si="11"/>
        <v/>
      </c>
      <c r="N97" s="69">
        <f ca="1">OFFSET(③各部被害関数計算結果!$H$2,2+($A97-1)*4,0)</f>
        <v>0</v>
      </c>
      <c r="O97" s="81" t="str">
        <f t="shared" si="12"/>
        <v/>
      </c>
      <c r="P97" s="69">
        <f ca="1">OFFSET(③各部被害関数計算結果!$J$2,2+($A97-1)*4,0)</f>
        <v>0</v>
      </c>
      <c r="Q97" s="81" t="str">
        <f>IF($B97="●",①簡易状況入力!J88,"")</f>
        <v/>
      </c>
      <c r="R97" s="81" t="str">
        <f t="shared" si="13"/>
        <v/>
      </c>
      <c r="S97" s="69">
        <f ca="1">OFFSET(③各部被害関数計算結果!$H$2,3+($A97-1)*4,0)</f>
        <v>0</v>
      </c>
      <c r="T97" s="81" t="str">
        <f t="shared" si="14"/>
        <v/>
      </c>
      <c r="U97" s="69">
        <f ca="1">OFFSET(③各部被害関数計算結果!$J$2,3+($A97-1)*4,0)</f>
        <v>0</v>
      </c>
      <c r="V97" s="81" t="str">
        <f t="shared" si="15"/>
        <v/>
      </c>
      <c r="W97" s="81" t="str">
        <f t="shared" si="16"/>
        <v/>
      </c>
      <c r="X97" s="69">
        <f ca="1">OFFSET(③各部被害関数計算結果!$H$2,4+($A97-1)*4,0)</f>
        <v>0</v>
      </c>
      <c r="Y97" s="81" t="str">
        <f t="shared" si="17"/>
        <v/>
      </c>
      <c r="Z97" s="69">
        <f ca="1">OFFSET(③各部被害関数計算結果!$J$2,4+($A97-1)*4,0)</f>
        <v>0</v>
      </c>
    </row>
    <row r="98" spans="1:26" x14ac:dyDescent="0.15">
      <c r="A98">
        <v>85</v>
      </c>
      <c r="B98" s="49">
        <f>①簡易状況入力!B89</f>
        <v>0</v>
      </c>
      <c r="C98" s="33" t="s">
        <v>320</v>
      </c>
      <c r="D98" s="147" t="str">
        <f>IF($B98="●",①簡易状況入力!D89,"")</f>
        <v/>
      </c>
      <c r="E98" s="80" t="str">
        <f>IF($B98="●",①簡易状況入力!R89,"")</f>
        <v/>
      </c>
      <c r="F98" s="80" t="str">
        <f>IF($B98="●",①簡易状況入力!S89,"")</f>
        <v/>
      </c>
      <c r="G98" s="81" t="str">
        <f>IF($B98="●",①簡易状況入力!H89,"")</f>
        <v/>
      </c>
      <c r="H98" s="81" t="str">
        <f t="shared" ref="H98:H113" si="18">IF($B98="●",I98*$G98,"")</f>
        <v/>
      </c>
      <c r="I98" s="69">
        <f ca="1">OFFSET(③各部被害関数計算結果!$H$2,1+($A98-1)*4,0)</f>
        <v>0</v>
      </c>
      <c r="J98" s="81" t="str">
        <f t="shared" ref="J98:J113" si="19">IF($B98="●",K98*$G98,"")</f>
        <v/>
      </c>
      <c r="K98" s="69">
        <f ca="1">OFFSET(③各部被害関数計算結果!$J$2,1+($A98-1)*4,0)</f>
        <v>0</v>
      </c>
      <c r="L98" s="81" t="str">
        <f>IF($B98="●",①簡易状況入力!I89,"")</f>
        <v/>
      </c>
      <c r="M98" s="81" t="str">
        <f t="shared" ref="M98:M113" si="20">IF($B98="●",N98*$L98,"")</f>
        <v/>
      </c>
      <c r="N98" s="69">
        <f ca="1">OFFSET(③各部被害関数計算結果!$H$2,2+($A98-1)*4,0)</f>
        <v>0</v>
      </c>
      <c r="O98" s="81" t="str">
        <f t="shared" ref="O98:O113" si="21">IF($B98="●",P98*$L98,"")</f>
        <v/>
      </c>
      <c r="P98" s="69">
        <f ca="1">OFFSET(③各部被害関数計算結果!$J$2,2+($A98-1)*4,0)</f>
        <v>0</v>
      </c>
      <c r="Q98" s="81" t="str">
        <f>IF($B98="●",①簡易状況入力!J89,"")</f>
        <v/>
      </c>
      <c r="R98" s="81" t="str">
        <f t="shared" ref="R98:R113" si="22">IF($B98="●",S98*$Q98,"")</f>
        <v/>
      </c>
      <c r="S98" s="69">
        <f ca="1">OFFSET(③各部被害関数計算結果!$H$2,3+($A98-1)*4,0)</f>
        <v>0</v>
      </c>
      <c r="T98" s="81" t="str">
        <f t="shared" ref="T98:T113" si="23">IF($B98="●",U98*$Q98,"")</f>
        <v/>
      </c>
      <c r="U98" s="69">
        <f ca="1">OFFSET(③各部被害関数計算結果!$J$2,3+($A98-1)*4,0)</f>
        <v>0</v>
      </c>
      <c r="V98" s="81" t="str">
        <f t="shared" ref="V98:V113" si="24">IF(B98="●",Q98+L98+G98,"")</f>
        <v/>
      </c>
      <c r="W98" s="81" t="str">
        <f t="shared" ref="W98:W113" si="25">IF($B98="●",X98*$V98,"")</f>
        <v/>
      </c>
      <c r="X98" s="69">
        <f ca="1">OFFSET(③各部被害関数計算結果!$H$2,4+($A98-1)*4,0)</f>
        <v>0</v>
      </c>
      <c r="Y98" s="81" t="str">
        <f t="shared" ref="Y98:Y113" si="26">IF($B98="●",Z98*$V98,"")</f>
        <v/>
      </c>
      <c r="Z98" s="69">
        <f ca="1">OFFSET(③各部被害関数計算結果!$J$2,4+($A98-1)*4,0)</f>
        <v>0</v>
      </c>
    </row>
    <row r="99" spans="1:26" x14ac:dyDescent="0.15">
      <c r="A99">
        <v>86</v>
      </c>
      <c r="B99" s="49">
        <f>①簡易状況入力!B90</f>
        <v>0</v>
      </c>
      <c r="C99" s="33" t="s">
        <v>321</v>
      </c>
      <c r="D99" s="147" t="str">
        <f>IF($B99="●",①簡易状況入力!D90,"")</f>
        <v/>
      </c>
      <c r="E99" s="80" t="str">
        <f>IF($B99="●",①簡易状況入力!R90,"")</f>
        <v/>
      </c>
      <c r="F99" s="80" t="str">
        <f>IF($B99="●",①簡易状況入力!S90,"")</f>
        <v/>
      </c>
      <c r="G99" s="81" t="str">
        <f>IF($B99="●",①簡易状況入力!H90,"")</f>
        <v/>
      </c>
      <c r="H99" s="81" t="str">
        <f t="shared" si="18"/>
        <v/>
      </c>
      <c r="I99" s="69">
        <f ca="1">OFFSET(③各部被害関数計算結果!$H$2,1+($A99-1)*4,0)</f>
        <v>0</v>
      </c>
      <c r="J99" s="81" t="str">
        <f t="shared" si="19"/>
        <v/>
      </c>
      <c r="K99" s="69">
        <f ca="1">OFFSET(③各部被害関数計算結果!$J$2,1+($A99-1)*4,0)</f>
        <v>0</v>
      </c>
      <c r="L99" s="81" t="str">
        <f>IF($B99="●",①簡易状況入力!I90,"")</f>
        <v/>
      </c>
      <c r="M99" s="81" t="str">
        <f t="shared" si="20"/>
        <v/>
      </c>
      <c r="N99" s="69">
        <f ca="1">OFFSET(③各部被害関数計算結果!$H$2,2+($A99-1)*4,0)</f>
        <v>0</v>
      </c>
      <c r="O99" s="81" t="str">
        <f t="shared" si="21"/>
        <v/>
      </c>
      <c r="P99" s="69">
        <f ca="1">OFFSET(③各部被害関数計算結果!$J$2,2+($A99-1)*4,0)</f>
        <v>0</v>
      </c>
      <c r="Q99" s="81" t="str">
        <f>IF($B99="●",①簡易状況入力!J90,"")</f>
        <v/>
      </c>
      <c r="R99" s="81" t="str">
        <f t="shared" si="22"/>
        <v/>
      </c>
      <c r="S99" s="69">
        <f ca="1">OFFSET(③各部被害関数計算結果!$H$2,3+($A99-1)*4,0)</f>
        <v>0</v>
      </c>
      <c r="T99" s="81" t="str">
        <f t="shared" si="23"/>
        <v/>
      </c>
      <c r="U99" s="69">
        <f ca="1">OFFSET(③各部被害関数計算結果!$J$2,3+($A99-1)*4,0)</f>
        <v>0</v>
      </c>
      <c r="V99" s="81" t="str">
        <f t="shared" si="24"/>
        <v/>
      </c>
      <c r="W99" s="81" t="str">
        <f t="shared" si="25"/>
        <v/>
      </c>
      <c r="X99" s="69">
        <f ca="1">OFFSET(③各部被害関数計算結果!$H$2,4+($A99-1)*4,0)</f>
        <v>0</v>
      </c>
      <c r="Y99" s="81" t="str">
        <f t="shared" si="26"/>
        <v/>
      </c>
      <c r="Z99" s="69">
        <f ca="1">OFFSET(③各部被害関数計算結果!$J$2,4+($A99-1)*4,0)</f>
        <v>0</v>
      </c>
    </row>
    <row r="100" spans="1:26" x14ac:dyDescent="0.15">
      <c r="A100">
        <v>87</v>
      </c>
      <c r="B100" s="49">
        <f>①簡易状況入力!B91</f>
        <v>0</v>
      </c>
      <c r="C100" s="33" t="s">
        <v>322</v>
      </c>
      <c r="D100" s="147" t="str">
        <f>IF($B100="●",①簡易状況入力!D91,"")</f>
        <v/>
      </c>
      <c r="E100" s="80" t="str">
        <f>IF($B100="●",①簡易状況入力!R91,"")</f>
        <v/>
      </c>
      <c r="F100" s="80" t="str">
        <f>IF($B100="●",①簡易状況入力!S91,"")</f>
        <v/>
      </c>
      <c r="G100" s="81" t="str">
        <f>IF($B100="●",①簡易状況入力!H91,"")</f>
        <v/>
      </c>
      <c r="H100" s="81" t="str">
        <f t="shared" si="18"/>
        <v/>
      </c>
      <c r="I100" s="69">
        <f ca="1">OFFSET(③各部被害関数計算結果!$H$2,1+($A100-1)*4,0)</f>
        <v>0</v>
      </c>
      <c r="J100" s="81" t="str">
        <f t="shared" si="19"/>
        <v/>
      </c>
      <c r="K100" s="69">
        <f ca="1">OFFSET(③各部被害関数計算結果!$J$2,1+($A100-1)*4,0)</f>
        <v>0</v>
      </c>
      <c r="L100" s="81" t="str">
        <f>IF($B100="●",①簡易状況入力!I91,"")</f>
        <v/>
      </c>
      <c r="M100" s="81" t="str">
        <f t="shared" si="20"/>
        <v/>
      </c>
      <c r="N100" s="69">
        <f ca="1">OFFSET(③各部被害関数計算結果!$H$2,2+($A100-1)*4,0)</f>
        <v>0</v>
      </c>
      <c r="O100" s="81" t="str">
        <f t="shared" si="21"/>
        <v/>
      </c>
      <c r="P100" s="69">
        <f ca="1">OFFSET(③各部被害関数計算結果!$J$2,2+($A100-1)*4,0)</f>
        <v>0</v>
      </c>
      <c r="Q100" s="81" t="str">
        <f>IF($B100="●",①簡易状況入力!J91,"")</f>
        <v/>
      </c>
      <c r="R100" s="81" t="str">
        <f t="shared" si="22"/>
        <v/>
      </c>
      <c r="S100" s="69">
        <f ca="1">OFFSET(③各部被害関数計算結果!$H$2,3+($A100-1)*4,0)</f>
        <v>0</v>
      </c>
      <c r="T100" s="81" t="str">
        <f t="shared" si="23"/>
        <v/>
      </c>
      <c r="U100" s="69">
        <f ca="1">OFFSET(③各部被害関数計算結果!$J$2,3+($A100-1)*4,0)</f>
        <v>0</v>
      </c>
      <c r="V100" s="81" t="str">
        <f t="shared" si="24"/>
        <v/>
      </c>
      <c r="W100" s="81" t="str">
        <f t="shared" si="25"/>
        <v/>
      </c>
      <c r="X100" s="69">
        <f ca="1">OFFSET(③各部被害関数計算結果!$H$2,4+($A100-1)*4,0)</f>
        <v>0</v>
      </c>
      <c r="Y100" s="81" t="str">
        <f t="shared" si="26"/>
        <v/>
      </c>
      <c r="Z100" s="69">
        <f ca="1">OFFSET(③各部被害関数計算結果!$J$2,4+($A100-1)*4,0)</f>
        <v>0</v>
      </c>
    </row>
    <row r="101" spans="1:26" x14ac:dyDescent="0.15">
      <c r="A101">
        <v>88</v>
      </c>
      <c r="B101" s="49">
        <f>①簡易状況入力!B92</f>
        <v>0</v>
      </c>
      <c r="C101" s="33" t="s">
        <v>323</v>
      </c>
      <c r="D101" s="147" t="str">
        <f>IF($B101="●",①簡易状況入力!D92,"")</f>
        <v/>
      </c>
      <c r="E101" s="80" t="str">
        <f>IF($B101="●",①簡易状況入力!R92,"")</f>
        <v/>
      </c>
      <c r="F101" s="80" t="str">
        <f>IF($B101="●",①簡易状況入力!S92,"")</f>
        <v/>
      </c>
      <c r="G101" s="81" t="str">
        <f>IF($B101="●",①簡易状況入力!H92,"")</f>
        <v/>
      </c>
      <c r="H101" s="81" t="str">
        <f t="shared" si="18"/>
        <v/>
      </c>
      <c r="I101" s="69">
        <f ca="1">OFFSET(③各部被害関数計算結果!$H$2,1+($A101-1)*4,0)</f>
        <v>0</v>
      </c>
      <c r="J101" s="81" t="str">
        <f t="shared" si="19"/>
        <v/>
      </c>
      <c r="K101" s="69">
        <f ca="1">OFFSET(③各部被害関数計算結果!$J$2,1+($A101-1)*4,0)</f>
        <v>0</v>
      </c>
      <c r="L101" s="81" t="str">
        <f>IF($B101="●",①簡易状況入力!I92,"")</f>
        <v/>
      </c>
      <c r="M101" s="81" t="str">
        <f t="shared" si="20"/>
        <v/>
      </c>
      <c r="N101" s="69">
        <f ca="1">OFFSET(③各部被害関数計算結果!$H$2,2+($A101-1)*4,0)</f>
        <v>0</v>
      </c>
      <c r="O101" s="81" t="str">
        <f t="shared" si="21"/>
        <v/>
      </c>
      <c r="P101" s="69">
        <f ca="1">OFFSET(③各部被害関数計算結果!$J$2,2+($A101-1)*4,0)</f>
        <v>0</v>
      </c>
      <c r="Q101" s="81" t="str">
        <f>IF($B101="●",①簡易状況入力!J92,"")</f>
        <v/>
      </c>
      <c r="R101" s="81" t="str">
        <f t="shared" si="22"/>
        <v/>
      </c>
      <c r="S101" s="69">
        <f ca="1">OFFSET(③各部被害関数計算結果!$H$2,3+($A101-1)*4,0)</f>
        <v>0</v>
      </c>
      <c r="T101" s="81" t="str">
        <f t="shared" si="23"/>
        <v/>
      </c>
      <c r="U101" s="69">
        <f ca="1">OFFSET(③各部被害関数計算結果!$J$2,3+($A101-1)*4,0)</f>
        <v>0</v>
      </c>
      <c r="V101" s="81" t="str">
        <f t="shared" si="24"/>
        <v/>
      </c>
      <c r="W101" s="81" t="str">
        <f t="shared" si="25"/>
        <v/>
      </c>
      <c r="X101" s="69">
        <f ca="1">OFFSET(③各部被害関数計算結果!$H$2,4+($A101-1)*4,0)</f>
        <v>0</v>
      </c>
      <c r="Y101" s="81" t="str">
        <f t="shared" si="26"/>
        <v/>
      </c>
      <c r="Z101" s="69">
        <f ca="1">OFFSET(③各部被害関数計算結果!$J$2,4+($A101-1)*4,0)</f>
        <v>0</v>
      </c>
    </row>
    <row r="102" spans="1:26" x14ac:dyDescent="0.15">
      <c r="A102">
        <v>89</v>
      </c>
      <c r="B102" s="49">
        <f>①簡易状況入力!B93</f>
        <v>0</v>
      </c>
      <c r="C102" s="33" t="s">
        <v>324</v>
      </c>
      <c r="D102" s="147" t="str">
        <f>IF($B102="●",①簡易状況入力!D93,"")</f>
        <v/>
      </c>
      <c r="E102" s="80" t="str">
        <f>IF($B102="●",①簡易状況入力!R93,"")</f>
        <v/>
      </c>
      <c r="F102" s="80" t="str">
        <f>IF($B102="●",①簡易状況入力!S93,"")</f>
        <v/>
      </c>
      <c r="G102" s="81" t="str">
        <f>IF($B102="●",①簡易状況入力!H93,"")</f>
        <v/>
      </c>
      <c r="H102" s="81" t="str">
        <f t="shared" si="18"/>
        <v/>
      </c>
      <c r="I102" s="69">
        <f ca="1">OFFSET(③各部被害関数計算結果!$H$2,1+($A102-1)*4,0)</f>
        <v>0</v>
      </c>
      <c r="J102" s="81" t="str">
        <f t="shared" si="19"/>
        <v/>
      </c>
      <c r="K102" s="69">
        <f ca="1">OFFSET(③各部被害関数計算結果!$J$2,1+($A102-1)*4,0)</f>
        <v>0</v>
      </c>
      <c r="L102" s="81" t="str">
        <f>IF($B102="●",①簡易状況入力!I93,"")</f>
        <v/>
      </c>
      <c r="M102" s="81" t="str">
        <f t="shared" si="20"/>
        <v/>
      </c>
      <c r="N102" s="69">
        <f ca="1">OFFSET(③各部被害関数計算結果!$H$2,2+($A102-1)*4,0)</f>
        <v>0</v>
      </c>
      <c r="O102" s="81" t="str">
        <f t="shared" si="21"/>
        <v/>
      </c>
      <c r="P102" s="69">
        <f ca="1">OFFSET(③各部被害関数計算結果!$J$2,2+($A102-1)*4,0)</f>
        <v>0</v>
      </c>
      <c r="Q102" s="81" t="str">
        <f>IF($B102="●",①簡易状況入力!J93,"")</f>
        <v/>
      </c>
      <c r="R102" s="81" t="str">
        <f t="shared" si="22"/>
        <v/>
      </c>
      <c r="S102" s="69">
        <f ca="1">OFFSET(③各部被害関数計算結果!$H$2,3+($A102-1)*4,0)</f>
        <v>0</v>
      </c>
      <c r="T102" s="81" t="str">
        <f t="shared" si="23"/>
        <v/>
      </c>
      <c r="U102" s="69">
        <f ca="1">OFFSET(③各部被害関数計算結果!$J$2,3+($A102-1)*4,0)</f>
        <v>0</v>
      </c>
      <c r="V102" s="81" t="str">
        <f t="shared" si="24"/>
        <v/>
      </c>
      <c r="W102" s="81" t="str">
        <f t="shared" si="25"/>
        <v/>
      </c>
      <c r="X102" s="69">
        <f ca="1">OFFSET(③各部被害関数計算結果!$H$2,4+($A102-1)*4,0)</f>
        <v>0</v>
      </c>
      <c r="Y102" s="81" t="str">
        <f t="shared" si="26"/>
        <v/>
      </c>
      <c r="Z102" s="69">
        <f ca="1">OFFSET(③各部被害関数計算結果!$J$2,4+($A102-1)*4,0)</f>
        <v>0</v>
      </c>
    </row>
    <row r="103" spans="1:26" x14ac:dyDescent="0.15">
      <c r="A103">
        <v>90</v>
      </c>
      <c r="B103" s="49">
        <f>①簡易状況入力!B94</f>
        <v>0</v>
      </c>
      <c r="C103" s="33" t="s">
        <v>325</v>
      </c>
      <c r="D103" s="147" t="str">
        <f>IF($B103="●",①簡易状況入力!D94,"")</f>
        <v/>
      </c>
      <c r="E103" s="80" t="str">
        <f>IF($B103="●",①簡易状況入力!R94,"")</f>
        <v/>
      </c>
      <c r="F103" s="80" t="str">
        <f>IF($B103="●",①簡易状況入力!S94,"")</f>
        <v/>
      </c>
      <c r="G103" s="81" t="str">
        <f>IF($B103="●",①簡易状況入力!H94,"")</f>
        <v/>
      </c>
      <c r="H103" s="81" t="str">
        <f t="shared" si="18"/>
        <v/>
      </c>
      <c r="I103" s="69">
        <f ca="1">OFFSET(③各部被害関数計算結果!$H$2,1+($A103-1)*4,0)</f>
        <v>0</v>
      </c>
      <c r="J103" s="81" t="str">
        <f t="shared" si="19"/>
        <v/>
      </c>
      <c r="K103" s="69">
        <f ca="1">OFFSET(③各部被害関数計算結果!$J$2,1+($A103-1)*4,0)</f>
        <v>0</v>
      </c>
      <c r="L103" s="81" t="str">
        <f>IF($B103="●",①簡易状況入力!I94,"")</f>
        <v/>
      </c>
      <c r="M103" s="81" t="str">
        <f t="shared" si="20"/>
        <v/>
      </c>
      <c r="N103" s="69">
        <f ca="1">OFFSET(③各部被害関数計算結果!$H$2,2+($A103-1)*4,0)</f>
        <v>0</v>
      </c>
      <c r="O103" s="81" t="str">
        <f t="shared" si="21"/>
        <v/>
      </c>
      <c r="P103" s="69">
        <f ca="1">OFFSET(③各部被害関数計算結果!$J$2,2+($A103-1)*4,0)</f>
        <v>0</v>
      </c>
      <c r="Q103" s="81" t="str">
        <f>IF($B103="●",①簡易状況入力!J94,"")</f>
        <v/>
      </c>
      <c r="R103" s="81" t="str">
        <f t="shared" si="22"/>
        <v/>
      </c>
      <c r="S103" s="69">
        <f ca="1">OFFSET(③各部被害関数計算結果!$H$2,3+($A103-1)*4,0)</f>
        <v>0</v>
      </c>
      <c r="T103" s="81" t="str">
        <f t="shared" si="23"/>
        <v/>
      </c>
      <c r="U103" s="69">
        <f ca="1">OFFSET(③各部被害関数計算結果!$J$2,3+($A103-1)*4,0)</f>
        <v>0</v>
      </c>
      <c r="V103" s="81" t="str">
        <f t="shared" si="24"/>
        <v/>
      </c>
      <c r="W103" s="81" t="str">
        <f t="shared" si="25"/>
        <v/>
      </c>
      <c r="X103" s="69">
        <f ca="1">OFFSET(③各部被害関数計算結果!$H$2,4+($A103-1)*4,0)</f>
        <v>0</v>
      </c>
      <c r="Y103" s="81" t="str">
        <f t="shared" si="26"/>
        <v/>
      </c>
      <c r="Z103" s="69">
        <f ca="1">OFFSET(③各部被害関数計算結果!$J$2,4+($A103-1)*4,0)</f>
        <v>0</v>
      </c>
    </row>
    <row r="104" spans="1:26" x14ac:dyDescent="0.15">
      <c r="A104">
        <v>91</v>
      </c>
      <c r="B104" s="49">
        <f>①簡易状況入力!B95</f>
        <v>0</v>
      </c>
      <c r="C104" s="33" t="s">
        <v>326</v>
      </c>
      <c r="D104" s="147" t="str">
        <f>IF($B104="●",①簡易状況入力!D95,"")</f>
        <v/>
      </c>
      <c r="E104" s="80" t="str">
        <f>IF($B104="●",①簡易状況入力!R95,"")</f>
        <v/>
      </c>
      <c r="F104" s="80" t="str">
        <f>IF($B104="●",①簡易状況入力!S95,"")</f>
        <v/>
      </c>
      <c r="G104" s="81" t="str">
        <f>IF($B104="●",①簡易状況入力!H95,"")</f>
        <v/>
      </c>
      <c r="H104" s="81" t="str">
        <f t="shared" si="18"/>
        <v/>
      </c>
      <c r="I104" s="69">
        <f ca="1">OFFSET(③各部被害関数計算結果!$H$2,1+($A104-1)*4,0)</f>
        <v>0</v>
      </c>
      <c r="J104" s="81" t="str">
        <f t="shared" si="19"/>
        <v/>
      </c>
      <c r="K104" s="69">
        <f ca="1">OFFSET(③各部被害関数計算結果!$J$2,1+($A104-1)*4,0)</f>
        <v>0</v>
      </c>
      <c r="L104" s="81" t="str">
        <f>IF($B104="●",①簡易状況入力!I95,"")</f>
        <v/>
      </c>
      <c r="M104" s="81" t="str">
        <f t="shared" si="20"/>
        <v/>
      </c>
      <c r="N104" s="69">
        <f ca="1">OFFSET(③各部被害関数計算結果!$H$2,2+($A104-1)*4,0)</f>
        <v>0</v>
      </c>
      <c r="O104" s="81" t="str">
        <f t="shared" si="21"/>
        <v/>
      </c>
      <c r="P104" s="69">
        <f ca="1">OFFSET(③各部被害関数計算結果!$J$2,2+($A104-1)*4,0)</f>
        <v>0</v>
      </c>
      <c r="Q104" s="81" t="str">
        <f>IF($B104="●",①簡易状況入力!J95,"")</f>
        <v/>
      </c>
      <c r="R104" s="81" t="str">
        <f t="shared" si="22"/>
        <v/>
      </c>
      <c r="S104" s="69">
        <f ca="1">OFFSET(③各部被害関数計算結果!$H$2,3+($A104-1)*4,0)</f>
        <v>0</v>
      </c>
      <c r="T104" s="81" t="str">
        <f t="shared" si="23"/>
        <v/>
      </c>
      <c r="U104" s="69">
        <f ca="1">OFFSET(③各部被害関数計算結果!$J$2,3+($A104-1)*4,0)</f>
        <v>0</v>
      </c>
      <c r="V104" s="81" t="str">
        <f t="shared" si="24"/>
        <v/>
      </c>
      <c r="W104" s="81" t="str">
        <f t="shared" si="25"/>
        <v/>
      </c>
      <c r="X104" s="69">
        <f ca="1">OFFSET(③各部被害関数計算結果!$H$2,4+($A104-1)*4,0)</f>
        <v>0</v>
      </c>
      <c r="Y104" s="81" t="str">
        <f t="shared" si="26"/>
        <v/>
      </c>
      <c r="Z104" s="69">
        <f ca="1">OFFSET(③各部被害関数計算結果!$J$2,4+($A104-1)*4,0)</f>
        <v>0</v>
      </c>
    </row>
    <row r="105" spans="1:26" x14ac:dyDescent="0.15">
      <c r="A105">
        <v>92</v>
      </c>
      <c r="B105" s="49">
        <f>①簡易状況入力!B96</f>
        <v>0</v>
      </c>
      <c r="C105" s="33" t="s">
        <v>327</v>
      </c>
      <c r="D105" s="147" t="str">
        <f>IF($B105="●",①簡易状況入力!D96,"")</f>
        <v/>
      </c>
      <c r="E105" s="80" t="str">
        <f>IF($B105="●",①簡易状況入力!R96,"")</f>
        <v/>
      </c>
      <c r="F105" s="80" t="str">
        <f>IF($B105="●",①簡易状況入力!S96,"")</f>
        <v/>
      </c>
      <c r="G105" s="81" t="str">
        <f>IF($B105="●",①簡易状況入力!H96,"")</f>
        <v/>
      </c>
      <c r="H105" s="81" t="str">
        <f t="shared" si="18"/>
        <v/>
      </c>
      <c r="I105" s="69">
        <f ca="1">OFFSET(③各部被害関数計算結果!$H$2,1+($A105-1)*4,0)</f>
        <v>0</v>
      </c>
      <c r="J105" s="81" t="str">
        <f t="shared" si="19"/>
        <v/>
      </c>
      <c r="K105" s="69">
        <f ca="1">OFFSET(③各部被害関数計算結果!$J$2,1+($A105-1)*4,0)</f>
        <v>0</v>
      </c>
      <c r="L105" s="81" t="str">
        <f>IF($B105="●",①簡易状況入力!I96,"")</f>
        <v/>
      </c>
      <c r="M105" s="81" t="str">
        <f t="shared" si="20"/>
        <v/>
      </c>
      <c r="N105" s="69">
        <f ca="1">OFFSET(③各部被害関数計算結果!$H$2,2+($A105-1)*4,0)</f>
        <v>0</v>
      </c>
      <c r="O105" s="81" t="str">
        <f t="shared" si="21"/>
        <v/>
      </c>
      <c r="P105" s="69">
        <f ca="1">OFFSET(③各部被害関数計算結果!$J$2,2+($A105-1)*4,0)</f>
        <v>0</v>
      </c>
      <c r="Q105" s="81" t="str">
        <f>IF($B105="●",①簡易状況入力!J96,"")</f>
        <v/>
      </c>
      <c r="R105" s="81" t="str">
        <f t="shared" si="22"/>
        <v/>
      </c>
      <c r="S105" s="69">
        <f ca="1">OFFSET(③各部被害関数計算結果!$H$2,3+($A105-1)*4,0)</f>
        <v>0</v>
      </c>
      <c r="T105" s="81" t="str">
        <f t="shared" si="23"/>
        <v/>
      </c>
      <c r="U105" s="69">
        <f ca="1">OFFSET(③各部被害関数計算結果!$J$2,3+($A105-1)*4,0)</f>
        <v>0</v>
      </c>
      <c r="V105" s="81" t="str">
        <f t="shared" si="24"/>
        <v/>
      </c>
      <c r="W105" s="81" t="str">
        <f t="shared" si="25"/>
        <v/>
      </c>
      <c r="X105" s="69">
        <f ca="1">OFFSET(③各部被害関数計算結果!$H$2,4+($A105-1)*4,0)</f>
        <v>0</v>
      </c>
      <c r="Y105" s="81" t="str">
        <f t="shared" si="26"/>
        <v/>
      </c>
      <c r="Z105" s="69">
        <f ca="1">OFFSET(③各部被害関数計算結果!$J$2,4+($A105-1)*4,0)</f>
        <v>0</v>
      </c>
    </row>
    <row r="106" spans="1:26" x14ac:dyDescent="0.15">
      <c r="A106">
        <v>93</v>
      </c>
      <c r="B106" s="49">
        <f>①簡易状況入力!B97</f>
        <v>0</v>
      </c>
      <c r="C106" s="33" t="s">
        <v>328</v>
      </c>
      <c r="D106" s="147" t="str">
        <f>IF($B106="●",①簡易状況入力!D97,"")</f>
        <v/>
      </c>
      <c r="E106" s="80" t="str">
        <f>IF($B106="●",①簡易状況入力!R97,"")</f>
        <v/>
      </c>
      <c r="F106" s="80" t="str">
        <f>IF($B106="●",①簡易状況入力!S97,"")</f>
        <v/>
      </c>
      <c r="G106" s="81" t="str">
        <f>IF($B106="●",①簡易状況入力!H97,"")</f>
        <v/>
      </c>
      <c r="H106" s="81" t="str">
        <f t="shared" si="18"/>
        <v/>
      </c>
      <c r="I106" s="69">
        <f ca="1">OFFSET(③各部被害関数計算結果!$H$2,1+($A106-1)*4,0)</f>
        <v>0</v>
      </c>
      <c r="J106" s="81" t="str">
        <f t="shared" si="19"/>
        <v/>
      </c>
      <c r="K106" s="69">
        <f ca="1">OFFSET(③各部被害関数計算結果!$J$2,1+($A106-1)*4,0)</f>
        <v>0</v>
      </c>
      <c r="L106" s="81" t="str">
        <f>IF($B106="●",①簡易状況入力!I97,"")</f>
        <v/>
      </c>
      <c r="M106" s="81" t="str">
        <f t="shared" si="20"/>
        <v/>
      </c>
      <c r="N106" s="69">
        <f ca="1">OFFSET(③各部被害関数計算結果!$H$2,2+($A106-1)*4,0)</f>
        <v>0</v>
      </c>
      <c r="O106" s="81" t="str">
        <f t="shared" si="21"/>
        <v/>
      </c>
      <c r="P106" s="69">
        <f ca="1">OFFSET(③各部被害関数計算結果!$J$2,2+($A106-1)*4,0)</f>
        <v>0</v>
      </c>
      <c r="Q106" s="81" t="str">
        <f>IF($B106="●",①簡易状況入力!J97,"")</f>
        <v/>
      </c>
      <c r="R106" s="81" t="str">
        <f t="shared" si="22"/>
        <v/>
      </c>
      <c r="S106" s="69">
        <f ca="1">OFFSET(③各部被害関数計算結果!$H$2,3+($A106-1)*4,0)</f>
        <v>0</v>
      </c>
      <c r="T106" s="81" t="str">
        <f t="shared" si="23"/>
        <v/>
      </c>
      <c r="U106" s="69">
        <f ca="1">OFFSET(③各部被害関数計算結果!$J$2,3+($A106-1)*4,0)</f>
        <v>0</v>
      </c>
      <c r="V106" s="81" t="str">
        <f t="shared" si="24"/>
        <v/>
      </c>
      <c r="W106" s="81" t="str">
        <f t="shared" si="25"/>
        <v/>
      </c>
      <c r="X106" s="69">
        <f ca="1">OFFSET(③各部被害関数計算結果!$H$2,4+($A106-1)*4,0)</f>
        <v>0</v>
      </c>
      <c r="Y106" s="81" t="str">
        <f t="shared" si="26"/>
        <v/>
      </c>
      <c r="Z106" s="69">
        <f ca="1">OFFSET(③各部被害関数計算結果!$J$2,4+($A106-1)*4,0)</f>
        <v>0</v>
      </c>
    </row>
    <row r="107" spans="1:26" x14ac:dyDescent="0.15">
      <c r="A107">
        <v>94</v>
      </c>
      <c r="B107" s="49">
        <f>①簡易状況入力!B98</f>
        <v>0</v>
      </c>
      <c r="C107" s="33" t="s">
        <v>329</v>
      </c>
      <c r="D107" s="147" t="str">
        <f>IF($B107="●",①簡易状況入力!D98,"")</f>
        <v/>
      </c>
      <c r="E107" s="80" t="str">
        <f>IF($B107="●",①簡易状況入力!R98,"")</f>
        <v/>
      </c>
      <c r="F107" s="80" t="str">
        <f>IF($B107="●",①簡易状況入力!S98,"")</f>
        <v/>
      </c>
      <c r="G107" s="81" t="str">
        <f>IF($B107="●",①簡易状況入力!H98,"")</f>
        <v/>
      </c>
      <c r="H107" s="81" t="str">
        <f t="shared" si="18"/>
        <v/>
      </c>
      <c r="I107" s="69">
        <f ca="1">OFFSET(③各部被害関数計算結果!$H$2,1+($A107-1)*4,0)</f>
        <v>0</v>
      </c>
      <c r="J107" s="81" t="str">
        <f t="shared" si="19"/>
        <v/>
      </c>
      <c r="K107" s="69">
        <f ca="1">OFFSET(③各部被害関数計算結果!$J$2,1+($A107-1)*4,0)</f>
        <v>0</v>
      </c>
      <c r="L107" s="81" t="str">
        <f>IF($B107="●",①簡易状況入力!I98,"")</f>
        <v/>
      </c>
      <c r="M107" s="81" t="str">
        <f t="shared" si="20"/>
        <v/>
      </c>
      <c r="N107" s="69">
        <f ca="1">OFFSET(③各部被害関数計算結果!$H$2,2+($A107-1)*4,0)</f>
        <v>0</v>
      </c>
      <c r="O107" s="81" t="str">
        <f t="shared" si="21"/>
        <v/>
      </c>
      <c r="P107" s="69">
        <f ca="1">OFFSET(③各部被害関数計算結果!$J$2,2+($A107-1)*4,0)</f>
        <v>0</v>
      </c>
      <c r="Q107" s="81" t="str">
        <f>IF($B107="●",①簡易状況入力!J98,"")</f>
        <v/>
      </c>
      <c r="R107" s="81" t="str">
        <f t="shared" si="22"/>
        <v/>
      </c>
      <c r="S107" s="69">
        <f ca="1">OFFSET(③各部被害関数計算結果!$H$2,3+($A107-1)*4,0)</f>
        <v>0</v>
      </c>
      <c r="T107" s="81" t="str">
        <f t="shared" si="23"/>
        <v/>
      </c>
      <c r="U107" s="69">
        <f ca="1">OFFSET(③各部被害関数計算結果!$J$2,3+($A107-1)*4,0)</f>
        <v>0</v>
      </c>
      <c r="V107" s="81" t="str">
        <f t="shared" si="24"/>
        <v/>
      </c>
      <c r="W107" s="81" t="str">
        <f t="shared" si="25"/>
        <v/>
      </c>
      <c r="X107" s="69">
        <f ca="1">OFFSET(③各部被害関数計算結果!$H$2,4+($A107-1)*4,0)</f>
        <v>0</v>
      </c>
      <c r="Y107" s="81" t="str">
        <f t="shared" si="26"/>
        <v/>
      </c>
      <c r="Z107" s="69">
        <f ca="1">OFFSET(③各部被害関数計算結果!$J$2,4+($A107-1)*4,0)</f>
        <v>0</v>
      </c>
    </row>
    <row r="108" spans="1:26" x14ac:dyDescent="0.15">
      <c r="A108">
        <v>95</v>
      </c>
      <c r="B108" s="49">
        <f>①簡易状況入力!B99</f>
        <v>0</v>
      </c>
      <c r="C108" s="33" t="s">
        <v>330</v>
      </c>
      <c r="D108" s="147" t="str">
        <f>IF($B108="●",①簡易状況入力!D99,"")</f>
        <v/>
      </c>
      <c r="E108" s="80" t="str">
        <f>IF($B108="●",①簡易状況入力!R99,"")</f>
        <v/>
      </c>
      <c r="F108" s="80" t="str">
        <f>IF($B108="●",①簡易状況入力!S99,"")</f>
        <v/>
      </c>
      <c r="G108" s="81" t="str">
        <f>IF($B108="●",①簡易状況入力!H99,"")</f>
        <v/>
      </c>
      <c r="H108" s="81" t="str">
        <f t="shared" si="18"/>
        <v/>
      </c>
      <c r="I108" s="69">
        <f ca="1">OFFSET(③各部被害関数計算結果!$H$2,1+($A108-1)*4,0)</f>
        <v>0</v>
      </c>
      <c r="J108" s="81" t="str">
        <f t="shared" si="19"/>
        <v/>
      </c>
      <c r="K108" s="69">
        <f ca="1">OFFSET(③各部被害関数計算結果!$J$2,1+($A108-1)*4,0)</f>
        <v>0</v>
      </c>
      <c r="L108" s="81" t="str">
        <f>IF($B108="●",①簡易状況入力!I99,"")</f>
        <v/>
      </c>
      <c r="M108" s="81" t="str">
        <f t="shared" si="20"/>
        <v/>
      </c>
      <c r="N108" s="69">
        <f ca="1">OFFSET(③各部被害関数計算結果!$H$2,2+($A108-1)*4,0)</f>
        <v>0</v>
      </c>
      <c r="O108" s="81" t="str">
        <f t="shared" si="21"/>
        <v/>
      </c>
      <c r="P108" s="69">
        <f ca="1">OFFSET(③各部被害関数計算結果!$J$2,2+($A108-1)*4,0)</f>
        <v>0</v>
      </c>
      <c r="Q108" s="81" t="str">
        <f>IF($B108="●",①簡易状況入力!J99,"")</f>
        <v/>
      </c>
      <c r="R108" s="81" t="str">
        <f t="shared" si="22"/>
        <v/>
      </c>
      <c r="S108" s="69">
        <f ca="1">OFFSET(③各部被害関数計算結果!$H$2,3+($A108-1)*4,0)</f>
        <v>0</v>
      </c>
      <c r="T108" s="81" t="str">
        <f t="shared" si="23"/>
        <v/>
      </c>
      <c r="U108" s="69">
        <f ca="1">OFFSET(③各部被害関数計算結果!$J$2,3+($A108-1)*4,0)</f>
        <v>0</v>
      </c>
      <c r="V108" s="81" t="str">
        <f t="shared" si="24"/>
        <v/>
      </c>
      <c r="W108" s="81" t="str">
        <f t="shared" si="25"/>
        <v/>
      </c>
      <c r="X108" s="69">
        <f ca="1">OFFSET(③各部被害関数計算結果!$H$2,4+($A108-1)*4,0)</f>
        <v>0</v>
      </c>
      <c r="Y108" s="81" t="str">
        <f t="shared" si="26"/>
        <v/>
      </c>
      <c r="Z108" s="69">
        <f ca="1">OFFSET(③各部被害関数計算結果!$J$2,4+($A108-1)*4,0)</f>
        <v>0</v>
      </c>
    </row>
    <row r="109" spans="1:26" x14ac:dyDescent="0.15">
      <c r="A109">
        <v>96</v>
      </c>
      <c r="B109" s="49">
        <f>①簡易状況入力!B100</f>
        <v>0</v>
      </c>
      <c r="C109" s="33" t="s">
        <v>331</v>
      </c>
      <c r="D109" s="147" t="str">
        <f>IF($B109="●",①簡易状況入力!D100,"")</f>
        <v/>
      </c>
      <c r="E109" s="80" t="str">
        <f>IF($B109="●",①簡易状況入力!R100,"")</f>
        <v/>
      </c>
      <c r="F109" s="80" t="str">
        <f>IF($B109="●",①簡易状況入力!S100,"")</f>
        <v/>
      </c>
      <c r="G109" s="81" t="str">
        <f>IF($B109="●",①簡易状況入力!H100,"")</f>
        <v/>
      </c>
      <c r="H109" s="81" t="str">
        <f t="shared" si="18"/>
        <v/>
      </c>
      <c r="I109" s="69">
        <f ca="1">OFFSET(③各部被害関数計算結果!$H$2,1+($A109-1)*4,0)</f>
        <v>0</v>
      </c>
      <c r="J109" s="81" t="str">
        <f t="shared" si="19"/>
        <v/>
      </c>
      <c r="K109" s="69">
        <f ca="1">OFFSET(③各部被害関数計算結果!$J$2,1+($A109-1)*4,0)</f>
        <v>0</v>
      </c>
      <c r="L109" s="81" t="str">
        <f>IF($B109="●",①簡易状況入力!I100,"")</f>
        <v/>
      </c>
      <c r="M109" s="81" t="str">
        <f t="shared" si="20"/>
        <v/>
      </c>
      <c r="N109" s="69">
        <f ca="1">OFFSET(③各部被害関数計算結果!$H$2,2+($A109-1)*4,0)</f>
        <v>0</v>
      </c>
      <c r="O109" s="81" t="str">
        <f t="shared" si="21"/>
        <v/>
      </c>
      <c r="P109" s="69">
        <f ca="1">OFFSET(③各部被害関数計算結果!$J$2,2+($A109-1)*4,0)</f>
        <v>0</v>
      </c>
      <c r="Q109" s="81" t="str">
        <f>IF($B109="●",①簡易状況入力!J100,"")</f>
        <v/>
      </c>
      <c r="R109" s="81" t="str">
        <f t="shared" si="22"/>
        <v/>
      </c>
      <c r="S109" s="69">
        <f ca="1">OFFSET(③各部被害関数計算結果!$H$2,3+($A109-1)*4,0)</f>
        <v>0</v>
      </c>
      <c r="T109" s="81" t="str">
        <f t="shared" si="23"/>
        <v/>
      </c>
      <c r="U109" s="69">
        <f ca="1">OFFSET(③各部被害関数計算結果!$J$2,3+($A109-1)*4,0)</f>
        <v>0</v>
      </c>
      <c r="V109" s="81" t="str">
        <f t="shared" si="24"/>
        <v/>
      </c>
      <c r="W109" s="81" t="str">
        <f t="shared" si="25"/>
        <v/>
      </c>
      <c r="X109" s="69">
        <f ca="1">OFFSET(③各部被害関数計算結果!$H$2,4+($A109-1)*4,0)</f>
        <v>0</v>
      </c>
      <c r="Y109" s="81" t="str">
        <f t="shared" si="26"/>
        <v/>
      </c>
      <c r="Z109" s="69">
        <f ca="1">OFFSET(③各部被害関数計算結果!$J$2,4+($A109-1)*4,0)</f>
        <v>0</v>
      </c>
    </row>
    <row r="110" spans="1:26" x14ac:dyDescent="0.15">
      <c r="A110">
        <v>97</v>
      </c>
      <c r="B110" s="49">
        <f>①簡易状況入力!B101</f>
        <v>0</v>
      </c>
      <c r="C110" s="33" t="s">
        <v>332</v>
      </c>
      <c r="D110" s="147" t="str">
        <f>IF($B110="●",①簡易状況入力!D101,"")</f>
        <v/>
      </c>
      <c r="E110" s="80" t="str">
        <f>IF($B110="●",①簡易状況入力!R101,"")</f>
        <v/>
      </c>
      <c r="F110" s="80" t="str">
        <f>IF($B110="●",①簡易状況入力!S101,"")</f>
        <v/>
      </c>
      <c r="G110" s="81" t="str">
        <f>IF($B110="●",①簡易状況入力!H101,"")</f>
        <v/>
      </c>
      <c r="H110" s="81" t="str">
        <f t="shared" si="18"/>
        <v/>
      </c>
      <c r="I110" s="69">
        <f ca="1">OFFSET(③各部被害関数計算結果!$H$2,1+($A110-1)*4,0)</f>
        <v>0</v>
      </c>
      <c r="J110" s="81" t="str">
        <f t="shared" si="19"/>
        <v/>
      </c>
      <c r="K110" s="69">
        <f ca="1">OFFSET(③各部被害関数計算結果!$J$2,1+($A110-1)*4,0)</f>
        <v>0</v>
      </c>
      <c r="L110" s="81" t="str">
        <f>IF($B110="●",①簡易状況入力!I101,"")</f>
        <v/>
      </c>
      <c r="M110" s="81" t="str">
        <f t="shared" si="20"/>
        <v/>
      </c>
      <c r="N110" s="69">
        <f ca="1">OFFSET(③各部被害関数計算結果!$H$2,2+($A110-1)*4,0)</f>
        <v>0</v>
      </c>
      <c r="O110" s="81" t="str">
        <f t="shared" si="21"/>
        <v/>
      </c>
      <c r="P110" s="69">
        <f ca="1">OFFSET(③各部被害関数計算結果!$J$2,2+($A110-1)*4,0)</f>
        <v>0</v>
      </c>
      <c r="Q110" s="81" t="str">
        <f>IF($B110="●",①簡易状況入力!J101,"")</f>
        <v/>
      </c>
      <c r="R110" s="81" t="str">
        <f t="shared" si="22"/>
        <v/>
      </c>
      <c r="S110" s="69">
        <f ca="1">OFFSET(③各部被害関数計算結果!$H$2,3+($A110-1)*4,0)</f>
        <v>0</v>
      </c>
      <c r="T110" s="81" t="str">
        <f t="shared" si="23"/>
        <v/>
      </c>
      <c r="U110" s="69">
        <f ca="1">OFFSET(③各部被害関数計算結果!$J$2,3+($A110-1)*4,0)</f>
        <v>0</v>
      </c>
      <c r="V110" s="81" t="str">
        <f t="shared" si="24"/>
        <v/>
      </c>
      <c r="W110" s="81" t="str">
        <f t="shared" si="25"/>
        <v/>
      </c>
      <c r="X110" s="69">
        <f ca="1">OFFSET(③各部被害関数計算結果!$H$2,4+($A110-1)*4,0)</f>
        <v>0</v>
      </c>
      <c r="Y110" s="81" t="str">
        <f t="shared" si="26"/>
        <v/>
      </c>
      <c r="Z110" s="69">
        <f ca="1">OFFSET(③各部被害関数計算結果!$J$2,4+($A110-1)*4,0)</f>
        <v>0</v>
      </c>
    </row>
    <row r="111" spans="1:26" x14ac:dyDescent="0.15">
      <c r="A111">
        <v>98</v>
      </c>
      <c r="B111" s="49">
        <f>①簡易状況入力!B102</f>
        <v>0</v>
      </c>
      <c r="C111" s="33" t="s">
        <v>333</v>
      </c>
      <c r="D111" s="147" t="str">
        <f>IF($B111="●",①簡易状況入力!D102,"")</f>
        <v/>
      </c>
      <c r="E111" s="80" t="str">
        <f>IF($B111="●",①簡易状況入力!R102,"")</f>
        <v/>
      </c>
      <c r="F111" s="80" t="str">
        <f>IF($B111="●",①簡易状況入力!S102,"")</f>
        <v/>
      </c>
      <c r="G111" s="81" t="str">
        <f>IF($B111="●",①簡易状況入力!H102,"")</f>
        <v/>
      </c>
      <c r="H111" s="81" t="str">
        <f t="shared" si="18"/>
        <v/>
      </c>
      <c r="I111" s="69">
        <f ca="1">OFFSET(③各部被害関数計算結果!$H$2,1+($A111-1)*4,0)</f>
        <v>0</v>
      </c>
      <c r="J111" s="81" t="str">
        <f t="shared" si="19"/>
        <v/>
      </c>
      <c r="K111" s="69">
        <f ca="1">OFFSET(③各部被害関数計算結果!$J$2,1+($A111-1)*4,0)</f>
        <v>0</v>
      </c>
      <c r="L111" s="81" t="str">
        <f>IF($B111="●",①簡易状況入力!I102,"")</f>
        <v/>
      </c>
      <c r="M111" s="81" t="str">
        <f t="shared" si="20"/>
        <v/>
      </c>
      <c r="N111" s="69">
        <f ca="1">OFFSET(③各部被害関数計算結果!$H$2,2+($A111-1)*4,0)</f>
        <v>0</v>
      </c>
      <c r="O111" s="81" t="str">
        <f t="shared" si="21"/>
        <v/>
      </c>
      <c r="P111" s="69">
        <f ca="1">OFFSET(③各部被害関数計算結果!$J$2,2+($A111-1)*4,0)</f>
        <v>0</v>
      </c>
      <c r="Q111" s="81" t="str">
        <f>IF($B111="●",①簡易状況入力!J102,"")</f>
        <v/>
      </c>
      <c r="R111" s="81" t="str">
        <f t="shared" si="22"/>
        <v/>
      </c>
      <c r="S111" s="69">
        <f ca="1">OFFSET(③各部被害関数計算結果!$H$2,3+($A111-1)*4,0)</f>
        <v>0</v>
      </c>
      <c r="T111" s="81" t="str">
        <f t="shared" si="23"/>
        <v/>
      </c>
      <c r="U111" s="69">
        <f ca="1">OFFSET(③各部被害関数計算結果!$J$2,3+($A111-1)*4,0)</f>
        <v>0</v>
      </c>
      <c r="V111" s="81" t="str">
        <f t="shared" si="24"/>
        <v/>
      </c>
      <c r="W111" s="81" t="str">
        <f t="shared" si="25"/>
        <v/>
      </c>
      <c r="X111" s="69">
        <f ca="1">OFFSET(③各部被害関数計算結果!$H$2,4+($A111-1)*4,0)</f>
        <v>0</v>
      </c>
      <c r="Y111" s="81" t="str">
        <f t="shared" si="26"/>
        <v/>
      </c>
      <c r="Z111" s="69">
        <f ca="1">OFFSET(③各部被害関数計算結果!$J$2,4+($A111-1)*4,0)</f>
        <v>0</v>
      </c>
    </row>
    <row r="112" spans="1:26" x14ac:dyDescent="0.15">
      <c r="A112">
        <v>99</v>
      </c>
      <c r="B112" s="49">
        <f>①簡易状況入力!B103</f>
        <v>0</v>
      </c>
      <c r="C112" s="33" t="s">
        <v>334</v>
      </c>
      <c r="D112" s="147" t="str">
        <f>IF($B112="●",①簡易状況入力!D103,"")</f>
        <v/>
      </c>
      <c r="E112" s="80" t="str">
        <f>IF($B112="●",①簡易状況入力!R103,"")</f>
        <v/>
      </c>
      <c r="F112" s="80" t="str">
        <f>IF($B112="●",①簡易状況入力!S103,"")</f>
        <v/>
      </c>
      <c r="G112" s="81" t="str">
        <f>IF($B112="●",①簡易状況入力!H103,"")</f>
        <v/>
      </c>
      <c r="H112" s="81" t="str">
        <f t="shared" si="18"/>
        <v/>
      </c>
      <c r="I112" s="69">
        <f ca="1">OFFSET(③各部被害関数計算結果!$H$2,1+($A112-1)*4,0)</f>
        <v>0</v>
      </c>
      <c r="J112" s="81" t="str">
        <f t="shared" si="19"/>
        <v/>
      </c>
      <c r="K112" s="69">
        <f ca="1">OFFSET(③各部被害関数計算結果!$J$2,1+($A112-1)*4,0)</f>
        <v>0</v>
      </c>
      <c r="L112" s="81" t="str">
        <f>IF($B112="●",①簡易状況入力!I103,"")</f>
        <v/>
      </c>
      <c r="M112" s="81" t="str">
        <f t="shared" si="20"/>
        <v/>
      </c>
      <c r="N112" s="69">
        <f ca="1">OFFSET(③各部被害関数計算結果!$H$2,2+($A112-1)*4,0)</f>
        <v>0</v>
      </c>
      <c r="O112" s="81" t="str">
        <f t="shared" si="21"/>
        <v/>
      </c>
      <c r="P112" s="69">
        <f ca="1">OFFSET(③各部被害関数計算結果!$J$2,2+($A112-1)*4,0)</f>
        <v>0</v>
      </c>
      <c r="Q112" s="81" t="str">
        <f>IF($B112="●",①簡易状況入力!J103,"")</f>
        <v/>
      </c>
      <c r="R112" s="81" t="str">
        <f t="shared" si="22"/>
        <v/>
      </c>
      <c r="S112" s="69">
        <f ca="1">OFFSET(③各部被害関数計算結果!$H$2,3+($A112-1)*4,0)</f>
        <v>0</v>
      </c>
      <c r="T112" s="81" t="str">
        <f t="shared" si="23"/>
        <v/>
      </c>
      <c r="U112" s="69">
        <f ca="1">OFFSET(③各部被害関数計算結果!$J$2,3+($A112-1)*4,0)</f>
        <v>0</v>
      </c>
      <c r="V112" s="81" t="str">
        <f t="shared" si="24"/>
        <v/>
      </c>
      <c r="W112" s="81" t="str">
        <f t="shared" si="25"/>
        <v/>
      </c>
      <c r="X112" s="69">
        <f ca="1">OFFSET(③各部被害関数計算結果!$H$2,4+($A112-1)*4,0)</f>
        <v>0</v>
      </c>
      <c r="Y112" s="81" t="str">
        <f t="shared" si="26"/>
        <v/>
      </c>
      <c r="Z112" s="69">
        <f ca="1">OFFSET(③各部被害関数計算結果!$J$2,4+($A112-1)*4,0)</f>
        <v>0</v>
      </c>
    </row>
    <row r="113" spans="1:26" x14ac:dyDescent="0.15">
      <c r="A113">
        <v>100</v>
      </c>
      <c r="B113" s="49">
        <f>①簡易状況入力!B104</f>
        <v>0</v>
      </c>
      <c r="C113" s="33" t="s">
        <v>335</v>
      </c>
      <c r="D113" s="147" t="str">
        <f>IF($B113="●",①簡易状況入力!D104,"")</f>
        <v/>
      </c>
      <c r="E113" s="80" t="str">
        <f>IF($B113="●",①簡易状況入力!R104,"")</f>
        <v/>
      </c>
      <c r="F113" s="80" t="str">
        <f>IF($B113="●",①簡易状況入力!S104,"")</f>
        <v/>
      </c>
      <c r="G113" s="81" t="str">
        <f>IF($B113="●",①簡易状況入力!H104,"")</f>
        <v/>
      </c>
      <c r="H113" s="81" t="str">
        <f t="shared" si="18"/>
        <v/>
      </c>
      <c r="I113" s="69">
        <f ca="1">OFFSET(③各部被害関数計算結果!$H$2,1+($A113-1)*4,0)</f>
        <v>0</v>
      </c>
      <c r="J113" s="81" t="str">
        <f t="shared" si="19"/>
        <v/>
      </c>
      <c r="K113" s="69">
        <f ca="1">OFFSET(③各部被害関数計算結果!$J$2,1+($A113-1)*4,0)</f>
        <v>0</v>
      </c>
      <c r="L113" s="81" t="str">
        <f>IF($B113="●",①簡易状況入力!I104,"")</f>
        <v/>
      </c>
      <c r="M113" s="81" t="str">
        <f t="shared" si="20"/>
        <v/>
      </c>
      <c r="N113" s="69">
        <f ca="1">OFFSET(③各部被害関数計算結果!$H$2,2+($A113-1)*4,0)</f>
        <v>0</v>
      </c>
      <c r="O113" s="81" t="str">
        <f t="shared" si="21"/>
        <v/>
      </c>
      <c r="P113" s="69">
        <f ca="1">OFFSET(③各部被害関数計算結果!$J$2,2+($A113-1)*4,0)</f>
        <v>0</v>
      </c>
      <c r="Q113" s="81" t="str">
        <f>IF($B113="●",①簡易状況入力!J104,"")</f>
        <v/>
      </c>
      <c r="R113" s="81" t="str">
        <f t="shared" si="22"/>
        <v/>
      </c>
      <c r="S113" s="69">
        <f ca="1">OFFSET(③各部被害関数計算結果!$H$2,3+($A113-1)*4,0)</f>
        <v>0</v>
      </c>
      <c r="T113" s="81" t="str">
        <f t="shared" si="23"/>
        <v/>
      </c>
      <c r="U113" s="69">
        <f ca="1">OFFSET(③各部被害関数計算結果!$J$2,3+($A113-1)*4,0)</f>
        <v>0</v>
      </c>
      <c r="V113" s="81" t="str">
        <f t="shared" si="24"/>
        <v/>
      </c>
      <c r="W113" s="81" t="str">
        <f t="shared" si="25"/>
        <v/>
      </c>
      <c r="X113" s="69">
        <f ca="1">OFFSET(③各部被害関数計算結果!$H$2,4+($A113-1)*4,0)</f>
        <v>0</v>
      </c>
      <c r="Y113" s="81" t="str">
        <f t="shared" si="26"/>
        <v/>
      </c>
      <c r="Z113" s="69">
        <f ca="1">OFFSET(③各部被害関数計算結果!$J$2,4+($A113-1)*4,0)</f>
        <v>0</v>
      </c>
    </row>
    <row r="114" spans="1:26" x14ac:dyDescent="0.15">
      <c r="B114" s="192" t="s">
        <v>219</v>
      </c>
      <c r="C114" s="193"/>
      <c r="D114" s="194"/>
      <c r="E114" s="42"/>
      <c r="F114" s="42"/>
      <c r="G114" s="134">
        <f>SUMIF($B$14:$B$113,"●",G14:G113)</f>
        <v>0</v>
      </c>
      <c r="H114" s="134">
        <f>SUMIF($B$14:$B$113,"●",H14:H113)</f>
        <v>0</v>
      </c>
      <c r="I114" s="135" t="e">
        <f>H114/G114</f>
        <v>#DIV/0!</v>
      </c>
      <c r="J114" s="134">
        <f>SUMIF($B$14:$B$113,"●",J14:J113)</f>
        <v>0</v>
      </c>
      <c r="K114" s="135" t="e">
        <f>J114/G114</f>
        <v>#DIV/0!</v>
      </c>
      <c r="L114" s="134">
        <f>SUMIF($B$14:$B$113,"●",L14:L113)</f>
        <v>0</v>
      </c>
      <c r="M114" s="134">
        <f>SUMIF($B$14:$B$113,"●",M14:M113)</f>
        <v>0</v>
      </c>
      <c r="N114" s="135" t="e">
        <f>M114/L114</f>
        <v>#DIV/0!</v>
      </c>
      <c r="O114" s="134">
        <f>SUMIF($B$14:$B$113,"●",O14:O113)</f>
        <v>0</v>
      </c>
      <c r="P114" s="135" t="e">
        <f>O114/L114</f>
        <v>#DIV/0!</v>
      </c>
      <c r="Q114" s="134">
        <f>SUMIF($B$14:$B$113,"●",Q14:Q113)</f>
        <v>0</v>
      </c>
      <c r="R114" s="134">
        <f>SUMIF($B$14:$B$113,"●",R14:R113)</f>
        <v>0</v>
      </c>
      <c r="S114" s="135" t="e">
        <f>R114/Q114</f>
        <v>#DIV/0!</v>
      </c>
      <c r="T114" s="134">
        <f>SUMIF($B$14:$B$113,"●",T14:T113)</f>
        <v>0</v>
      </c>
      <c r="U114" s="135" t="e">
        <f>T114/Q114</f>
        <v>#DIV/0!</v>
      </c>
      <c r="V114" s="134">
        <f>SUMIF($B$14:$B$113,"●",V14:V113)</f>
        <v>0</v>
      </c>
      <c r="W114" s="134">
        <f>SUMIF($B$14:$B$113,"●",W14:W113)</f>
        <v>0</v>
      </c>
      <c r="X114" s="135" t="e">
        <f>W114/V114</f>
        <v>#DIV/0!</v>
      </c>
      <c r="Y114" s="134">
        <f>SUMIF($B$14:$B$113,"●",Y14:Y113)</f>
        <v>0</v>
      </c>
      <c r="Z114" s="135" t="e">
        <f>Y114/V114</f>
        <v>#DIV/0!</v>
      </c>
    </row>
    <row r="116" spans="1:26" x14ac:dyDescent="0.15">
      <c r="B116" s="183" t="s">
        <v>216</v>
      </c>
      <c r="C116" s="184" t="s">
        <v>38</v>
      </c>
      <c r="D116" s="184" t="s">
        <v>112</v>
      </c>
      <c r="E116" s="189" t="s">
        <v>217</v>
      </c>
      <c r="F116" s="189" t="s">
        <v>218</v>
      </c>
      <c r="G116" s="184" t="s">
        <v>17</v>
      </c>
      <c r="H116" s="184"/>
      <c r="I116" s="184"/>
      <c r="J116" s="184"/>
      <c r="K116" s="184"/>
    </row>
    <row r="117" spans="1:26" x14ac:dyDescent="0.15">
      <c r="B117" s="184"/>
      <c r="C117" s="184"/>
      <c r="D117" s="184"/>
      <c r="E117" s="190"/>
      <c r="F117" s="190"/>
      <c r="G117" s="184" t="s">
        <v>48</v>
      </c>
      <c r="H117" s="184" t="s">
        <v>217</v>
      </c>
      <c r="I117" s="184"/>
      <c r="J117" s="184" t="s">
        <v>218</v>
      </c>
      <c r="K117" s="184"/>
    </row>
    <row r="118" spans="1:26" x14ac:dyDescent="0.15">
      <c r="B118" s="184"/>
      <c r="C118" s="184"/>
      <c r="D118" s="184"/>
      <c r="E118" s="191"/>
      <c r="F118" s="191"/>
      <c r="G118" s="184"/>
      <c r="H118" s="133" t="s">
        <v>240</v>
      </c>
      <c r="I118" s="133" t="s">
        <v>241</v>
      </c>
      <c r="J118" s="133" t="s">
        <v>240</v>
      </c>
      <c r="K118" s="133" t="s">
        <v>241</v>
      </c>
    </row>
    <row r="119" spans="1:26" x14ac:dyDescent="0.15">
      <c r="A119">
        <v>1</v>
      </c>
      <c r="B119" s="49">
        <f>①簡易状況入力!B109</f>
        <v>0</v>
      </c>
      <c r="C119" s="33" t="s">
        <v>156</v>
      </c>
      <c r="D119" s="4" t="str">
        <f>IF($B119="●",①簡易状況入力!D109,"")</f>
        <v/>
      </c>
      <c r="E119" s="80" t="str">
        <f>IF($B119="●",①簡易状況入力!J109,"")</f>
        <v/>
      </c>
      <c r="F119" s="80" t="str">
        <f>IF($B119="●",①簡易状況入力!K109,"")</f>
        <v/>
      </c>
      <c r="G119" s="82" t="str">
        <f>IF($B119="●",①簡易状況入力!F109,"")</f>
        <v/>
      </c>
      <c r="H119" s="81" t="str">
        <f>IF($B119="●",I119*$G119,"")</f>
        <v/>
      </c>
      <c r="I119" s="69">
        <f>③各部被害関数計算結果!H403</f>
        <v>0</v>
      </c>
      <c r="J119" s="81" t="str">
        <f>IF($B119="●",K119*$G119,"")</f>
        <v/>
      </c>
      <c r="K119" s="69">
        <f>③各部被害関数計算結果!J403</f>
        <v>0</v>
      </c>
    </row>
    <row r="120" spans="1:26" x14ac:dyDescent="0.15">
      <c r="A120">
        <v>2</v>
      </c>
      <c r="B120" s="49">
        <f>①簡易状況入力!B110</f>
        <v>0</v>
      </c>
      <c r="C120" s="33" t="s">
        <v>158</v>
      </c>
      <c r="D120" s="4" t="str">
        <f>IF($B120="●",①簡易状況入力!D110,"")</f>
        <v/>
      </c>
      <c r="E120" s="80" t="str">
        <f>IF($B120="●",①簡易状況入力!J110,"")</f>
        <v/>
      </c>
      <c r="F120" s="80" t="str">
        <f>IF($B120="●",①簡易状況入力!K110,"")</f>
        <v/>
      </c>
      <c r="G120" s="82" t="str">
        <f>IF($B120="●",①簡易状況入力!F110,"")</f>
        <v/>
      </c>
      <c r="H120" s="81" t="str">
        <f t="shared" ref="H120:J128" si="27">IF($B120="●",I120*$G120,"")</f>
        <v/>
      </c>
      <c r="I120" s="69">
        <f>③各部被害関数計算結果!H404</f>
        <v>0</v>
      </c>
      <c r="J120" s="81" t="str">
        <f t="shared" si="27"/>
        <v/>
      </c>
      <c r="K120" s="69">
        <f>③各部被害関数計算結果!J404</f>
        <v>0</v>
      </c>
    </row>
    <row r="121" spans="1:26" x14ac:dyDescent="0.15">
      <c r="A121">
        <v>3</v>
      </c>
      <c r="B121" s="49">
        <f>①簡易状況入力!B111</f>
        <v>0</v>
      </c>
      <c r="C121" s="33" t="s">
        <v>160</v>
      </c>
      <c r="D121" s="4" t="str">
        <f>IF($B121="●",①簡易状況入力!D111,"")</f>
        <v/>
      </c>
      <c r="E121" s="80" t="str">
        <f>IF($B121="●",①簡易状況入力!J111,"")</f>
        <v/>
      </c>
      <c r="F121" s="80" t="str">
        <f>IF($B121="●",①簡易状況入力!K111,"")</f>
        <v/>
      </c>
      <c r="G121" s="82" t="str">
        <f>IF($B121="●",①簡易状況入力!F111,"")</f>
        <v/>
      </c>
      <c r="H121" s="81" t="str">
        <f t="shared" si="27"/>
        <v/>
      </c>
      <c r="I121" s="69">
        <f>③各部被害関数計算結果!H405</f>
        <v>0</v>
      </c>
      <c r="J121" s="81" t="str">
        <f t="shared" si="27"/>
        <v/>
      </c>
      <c r="K121" s="69">
        <f>③各部被害関数計算結果!J405</f>
        <v>0</v>
      </c>
    </row>
    <row r="122" spans="1:26" x14ac:dyDescent="0.15">
      <c r="A122">
        <v>4</v>
      </c>
      <c r="B122" s="49">
        <f>①簡易状況入力!B112</f>
        <v>0</v>
      </c>
      <c r="C122" s="33" t="s">
        <v>162</v>
      </c>
      <c r="D122" s="4" t="str">
        <f>IF($B122="●",①簡易状況入力!D112,"")</f>
        <v/>
      </c>
      <c r="E122" s="80" t="str">
        <f>IF($B122="●",①簡易状況入力!J112,"")</f>
        <v/>
      </c>
      <c r="F122" s="80" t="str">
        <f>IF($B122="●",①簡易状況入力!K112,"")</f>
        <v/>
      </c>
      <c r="G122" s="82" t="str">
        <f>IF($B122="●",①簡易状況入力!F112,"")</f>
        <v/>
      </c>
      <c r="H122" s="81" t="str">
        <f t="shared" si="27"/>
        <v/>
      </c>
      <c r="I122" s="69">
        <f>③各部被害関数計算結果!H406</f>
        <v>0</v>
      </c>
      <c r="J122" s="81" t="str">
        <f t="shared" si="27"/>
        <v/>
      </c>
      <c r="K122" s="69">
        <f>③各部被害関数計算結果!J406</f>
        <v>0</v>
      </c>
    </row>
    <row r="123" spans="1:26" x14ac:dyDescent="0.15">
      <c r="A123">
        <v>5</v>
      </c>
      <c r="B123" s="49">
        <f>①簡易状況入力!B113</f>
        <v>0</v>
      </c>
      <c r="C123" s="33" t="s">
        <v>164</v>
      </c>
      <c r="D123" s="4" t="str">
        <f>IF($B123="●",①簡易状況入力!D113,"")</f>
        <v/>
      </c>
      <c r="E123" s="80" t="str">
        <f>IF($B123="●",①簡易状況入力!J113,"")</f>
        <v/>
      </c>
      <c r="F123" s="80" t="str">
        <f>IF($B123="●",①簡易状況入力!K113,"")</f>
        <v/>
      </c>
      <c r="G123" s="82" t="str">
        <f>IF($B123="●",①簡易状況入力!F113,"")</f>
        <v/>
      </c>
      <c r="H123" s="81" t="str">
        <f t="shared" si="27"/>
        <v/>
      </c>
      <c r="I123" s="69">
        <f>③各部被害関数計算結果!H407</f>
        <v>0</v>
      </c>
      <c r="J123" s="81" t="str">
        <f t="shared" si="27"/>
        <v/>
      </c>
      <c r="K123" s="69">
        <f>③各部被害関数計算結果!J407</f>
        <v>0</v>
      </c>
    </row>
    <row r="124" spans="1:26" x14ac:dyDescent="0.15">
      <c r="A124">
        <v>6</v>
      </c>
      <c r="B124" s="49">
        <f>①簡易状況入力!B114</f>
        <v>0</v>
      </c>
      <c r="C124" s="33" t="s">
        <v>166</v>
      </c>
      <c r="D124" s="4" t="str">
        <f>IF($B124="●",①簡易状況入力!D114,"")</f>
        <v/>
      </c>
      <c r="E124" s="80" t="str">
        <f>IF($B124="●",①簡易状況入力!J114,"")</f>
        <v/>
      </c>
      <c r="F124" s="80" t="str">
        <f>IF($B124="●",①簡易状況入力!K114,"")</f>
        <v/>
      </c>
      <c r="G124" s="82" t="str">
        <f>IF($B124="●",①簡易状況入力!F114,"")</f>
        <v/>
      </c>
      <c r="H124" s="81" t="str">
        <f t="shared" si="27"/>
        <v/>
      </c>
      <c r="I124" s="69">
        <f>③各部被害関数計算結果!H408</f>
        <v>0</v>
      </c>
      <c r="J124" s="81" t="str">
        <f t="shared" si="27"/>
        <v/>
      </c>
      <c r="K124" s="69">
        <f>③各部被害関数計算結果!J408</f>
        <v>0</v>
      </c>
    </row>
    <row r="125" spans="1:26" x14ac:dyDescent="0.15">
      <c r="A125">
        <v>7</v>
      </c>
      <c r="B125" s="49">
        <f>①簡易状況入力!B115</f>
        <v>0</v>
      </c>
      <c r="C125" s="33" t="s">
        <v>168</v>
      </c>
      <c r="D125" s="4" t="str">
        <f>IF($B125="●",①簡易状況入力!D115,"")</f>
        <v/>
      </c>
      <c r="E125" s="80" t="str">
        <f>IF($B125="●",①簡易状況入力!J115,"")</f>
        <v/>
      </c>
      <c r="F125" s="80" t="str">
        <f>IF($B125="●",①簡易状況入力!K115,"")</f>
        <v/>
      </c>
      <c r="G125" s="82" t="str">
        <f>IF($B125="●",①簡易状況入力!F115,"")</f>
        <v/>
      </c>
      <c r="H125" s="81" t="str">
        <f t="shared" si="27"/>
        <v/>
      </c>
      <c r="I125" s="69">
        <f>③各部被害関数計算結果!H409</f>
        <v>0</v>
      </c>
      <c r="J125" s="81" t="str">
        <f t="shared" si="27"/>
        <v/>
      </c>
      <c r="K125" s="69">
        <f>③各部被害関数計算結果!J409</f>
        <v>0</v>
      </c>
    </row>
    <row r="126" spans="1:26" x14ac:dyDescent="0.15">
      <c r="A126">
        <v>8</v>
      </c>
      <c r="B126" s="49">
        <f>①簡易状況入力!B116</f>
        <v>0</v>
      </c>
      <c r="C126" s="33" t="s">
        <v>170</v>
      </c>
      <c r="D126" s="4" t="str">
        <f>IF($B126="●",①簡易状況入力!D116,"")</f>
        <v/>
      </c>
      <c r="E126" s="80" t="str">
        <f>IF($B126="●",①簡易状況入力!J116,"")</f>
        <v/>
      </c>
      <c r="F126" s="80" t="str">
        <f>IF($B126="●",①簡易状況入力!K116,"")</f>
        <v/>
      </c>
      <c r="G126" s="82" t="str">
        <f>IF($B126="●",①簡易状況入力!F116,"")</f>
        <v/>
      </c>
      <c r="H126" s="81" t="str">
        <f t="shared" si="27"/>
        <v/>
      </c>
      <c r="I126" s="69">
        <f>③各部被害関数計算結果!H410</f>
        <v>0</v>
      </c>
      <c r="J126" s="81" t="str">
        <f t="shared" si="27"/>
        <v/>
      </c>
      <c r="K126" s="69">
        <f>③各部被害関数計算結果!J410</f>
        <v>0</v>
      </c>
    </row>
    <row r="127" spans="1:26" x14ac:dyDescent="0.15">
      <c r="A127">
        <v>9</v>
      </c>
      <c r="B127" s="49">
        <f>①簡易状況入力!B117</f>
        <v>0</v>
      </c>
      <c r="C127" s="33" t="s">
        <v>172</v>
      </c>
      <c r="D127" s="4" t="str">
        <f>IF($B127="●",①簡易状況入力!D117,"")</f>
        <v/>
      </c>
      <c r="E127" s="80" t="str">
        <f>IF($B127="●",①簡易状況入力!J117,"")</f>
        <v/>
      </c>
      <c r="F127" s="80" t="str">
        <f>IF($B127="●",①簡易状況入力!K117,"")</f>
        <v/>
      </c>
      <c r="G127" s="82" t="str">
        <f>IF($B127="●",①簡易状況入力!F117,"")</f>
        <v/>
      </c>
      <c r="H127" s="81" t="str">
        <f t="shared" si="27"/>
        <v/>
      </c>
      <c r="I127" s="69">
        <f>③各部被害関数計算結果!H411</f>
        <v>0</v>
      </c>
      <c r="J127" s="81" t="str">
        <f t="shared" si="27"/>
        <v/>
      </c>
      <c r="K127" s="69">
        <f>③各部被害関数計算結果!J411</f>
        <v>0</v>
      </c>
    </row>
    <row r="128" spans="1:26" x14ac:dyDescent="0.15">
      <c r="A128">
        <v>10</v>
      </c>
      <c r="B128" s="49">
        <f>①簡易状況入力!B118</f>
        <v>0</v>
      </c>
      <c r="C128" s="33" t="s">
        <v>174</v>
      </c>
      <c r="D128" s="4" t="str">
        <f>IF($B128="●",①簡易状況入力!D118,"")</f>
        <v/>
      </c>
      <c r="E128" s="80" t="str">
        <f>IF($B128="●",①簡易状況入力!J118,"")</f>
        <v/>
      </c>
      <c r="F128" s="80" t="str">
        <f>IF($B128="●",①簡易状況入力!K118,"")</f>
        <v/>
      </c>
      <c r="G128" s="82" t="str">
        <f>IF($B128="●",①簡易状況入力!F118,"")</f>
        <v/>
      </c>
      <c r="H128" s="81" t="str">
        <f t="shared" si="27"/>
        <v/>
      </c>
      <c r="I128" s="69">
        <f>③各部被害関数計算結果!H412</f>
        <v>0</v>
      </c>
      <c r="J128" s="81" t="str">
        <f t="shared" si="27"/>
        <v/>
      </c>
      <c r="K128" s="69">
        <f>③各部被害関数計算結果!J412</f>
        <v>0</v>
      </c>
    </row>
    <row r="129" spans="2:11" x14ac:dyDescent="0.15">
      <c r="B129" s="192" t="s">
        <v>219</v>
      </c>
      <c r="C129" s="193"/>
      <c r="D129" s="194"/>
      <c r="E129" s="42"/>
      <c r="F129" s="42"/>
      <c r="G129" s="134">
        <f>SUMIF($B$119:$B$128,"●",G119:G128)</f>
        <v>0</v>
      </c>
      <c r="H129" s="134">
        <f>SUMIF($B$119:$B$128,"●",H119:H128)</f>
        <v>0</v>
      </c>
      <c r="I129" s="135" t="e">
        <f>H129/G129</f>
        <v>#DIV/0!</v>
      </c>
      <c r="J129" s="134">
        <f>SUMIF($B$119:$B$128,"●",J119:J128)</f>
        <v>0</v>
      </c>
      <c r="K129" s="135" t="e">
        <f>J129/G129</f>
        <v>#DIV/0!</v>
      </c>
    </row>
  </sheetData>
  <mergeCells count="42">
    <mergeCell ref="B129:D129"/>
    <mergeCell ref="E11:E13"/>
    <mergeCell ref="F116:F118"/>
    <mergeCell ref="G116:K116"/>
    <mergeCell ref="G117:G118"/>
    <mergeCell ref="H117:I117"/>
    <mergeCell ref="J117:K117"/>
    <mergeCell ref="B114:D114"/>
    <mergeCell ref="B116:B118"/>
    <mergeCell ref="C116:C118"/>
    <mergeCell ref="D116:D118"/>
    <mergeCell ref="E116:E118"/>
    <mergeCell ref="J12:K12"/>
    <mergeCell ref="G11:K11"/>
    <mergeCell ref="C11:C13"/>
    <mergeCell ref="D11:D13"/>
    <mergeCell ref="Q11:U11"/>
    <mergeCell ref="Q12:Q13"/>
    <mergeCell ref="R12:S12"/>
    <mergeCell ref="T12:U12"/>
    <mergeCell ref="V11:Z11"/>
    <mergeCell ref="V12:V13"/>
    <mergeCell ref="W12:X12"/>
    <mergeCell ref="Y12:Z12"/>
    <mergeCell ref="L11:P11"/>
    <mergeCell ref="L12:L13"/>
    <mergeCell ref="M12:N12"/>
    <mergeCell ref="O12:P12"/>
    <mergeCell ref="F11:F13"/>
    <mergeCell ref="B11:B13"/>
    <mergeCell ref="G2:H2"/>
    <mergeCell ref="B6:C6"/>
    <mergeCell ref="B7:C7"/>
    <mergeCell ref="B8:C8"/>
    <mergeCell ref="B9:C9"/>
    <mergeCell ref="B2:C3"/>
    <mergeCell ref="G12:G13"/>
    <mergeCell ref="H12:I12"/>
    <mergeCell ref="E2:F2"/>
    <mergeCell ref="D2:D3"/>
    <mergeCell ref="B4:C4"/>
    <mergeCell ref="B5:C5"/>
  </mergeCells>
  <phoneticPr fontId="2"/>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FF00"/>
  </sheetPr>
  <dimension ref="B2:AY85"/>
  <sheetViews>
    <sheetView zoomScale="70" zoomScaleNormal="70" workbookViewId="0"/>
  </sheetViews>
  <sheetFormatPr defaultRowHeight="13.5" x14ac:dyDescent="0.15"/>
  <cols>
    <col min="1" max="2" width="9" style="5"/>
    <col min="3" max="4" width="10" style="5" bestFit="1" customWidth="1"/>
    <col min="5" max="5" width="9.375" style="5" customWidth="1"/>
    <col min="6" max="6" width="9.875" style="5" customWidth="1"/>
    <col min="7" max="7" width="10.125" style="5" customWidth="1"/>
    <col min="8" max="13" width="9" style="5"/>
    <col min="14" max="15" width="11.375" customWidth="1"/>
    <col min="16" max="16" width="2.25" customWidth="1"/>
    <col min="17" max="50" width="9" style="5"/>
    <col min="51" max="51" width="9" style="5" customWidth="1"/>
    <col min="52" max="16384" width="9" style="5"/>
  </cols>
  <sheetData>
    <row r="2" spans="2:51" x14ac:dyDescent="0.15">
      <c r="N2" t="s">
        <v>129</v>
      </c>
      <c r="O2" t="s">
        <v>129</v>
      </c>
      <c r="Q2" s="5" t="s">
        <v>128</v>
      </c>
    </row>
    <row r="3" spans="2:51" x14ac:dyDescent="0.15">
      <c r="B3" s="195" t="s">
        <v>38</v>
      </c>
      <c r="C3" s="195"/>
      <c r="D3" s="108" t="s">
        <v>255</v>
      </c>
      <c r="E3"/>
      <c r="K3" s="111" t="s">
        <v>54</v>
      </c>
      <c r="L3" s="112"/>
      <c r="M3" s="113" t="s">
        <v>230</v>
      </c>
      <c r="N3" s="75">
        <f ca="1">OFFSET(②詳細状況入力!$A$5,MATCH($D$3,②詳細状況入力!$A$5:$A$503,0)-1+0,16)</f>
        <v>0</v>
      </c>
      <c r="O3" s="75">
        <f ca="1">OFFSET(②詳細状況入力!$A$5,MATCH($D$3,②詳細状況入力!$A$5:$A$503,0)-1+1,16)</f>
        <v>0</v>
      </c>
      <c r="Q3" s="39">
        <f>【参考】被害関数グラフ!D3</f>
        <v>0</v>
      </c>
      <c r="R3" s="39">
        <f>【参考】被害関数グラフ!E3</f>
        <v>10</v>
      </c>
      <c r="S3" s="39">
        <f>【参考】被害関数グラフ!F3</f>
        <v>20</v>
      </c>
      <c r="T3" s="39">
        <f>【参考】被害関数グラフ!G3</f>
        <v>30</v>
      </c>
      <c r="U3" s="39">
        <f>【参考】被害関数グラフ!H3</f>
        <v>40</v>
      </c>
      <c r="V3" s="39">
        <f>【参考】被害関数グラフ!I3</f>
        <v>50</v>
      </c>
      <c r="W3" s="39">
        <f>【参考】被害関数グラフ!J3</f>
        <v>60</v>
      </c>
      <c r="X3" s="39">
        <f>【参考】被害関数グラフ!K3</f>
        <v>70</v>
      </c>
      <c r="Y3" s="39">
        <f>【参考】被害関数グラフ!L3</f>
        <v>80</v>
      </c>
      <c r="Z3" s="39">
        <f>【参考】被害関数グラフ!M3</f>
        <v>90</v>
      </c>
      <c r="AA3" s="39">
        <f>【参考】被害関数グラフ!N3</f>
        <v>100</v>
      </c>
      <c r="AB3" s="39">
        <f>【参考】被害関数グラフ!O3</f>
        <v>120</v>
      </c>
      <c r="AC3" s="39">
        <f>【参考】被害関数グラフ!P3</f>
        <v>140</v>
      </c>
      <c r="AD3" s="39">
        <f>【参考】被害関数グラフ!Q3</f>
        <v>160</v>
      </c>
      <c r="AE3" s="39">
        <f>【参考】被害関数グラフ!R3</f>
        <v>180</v>
      </c>
      <c r="AF3" s="39">
        <f>【参考】被害関数グラフ!S3</f>
        <v>200</v>
      </c>
      <c r="AG3" s="39">
        <f>【参考】被害関数グラフ!T3</f>
        <v>220</v>
      </c>
      <c r="AH3" s="39">
        <f>【参考】被害関数グラフ!U3</f>
        <v>240</v>
      </c>
      <c r="AI3" s="39">
        <f>【参考】被害関数グラフ!V3</f>
        <v>260</v>
      </c>
      <c r="AJ3" s="39">
        <f>【参考】被害関数グラフ!W3</f>
        <v>280</v>
      </c>
      <c r="AK3" s="39">
        <f>【参考】被害関数グラフ!X3</f>
        <v>300</v>
      </c>
      <c r="AL3" s="39">
        <f>【参考】被害関数グラフ!Y3</f>
        <v>350</v>
      </c>
      <c r="AM3" s="39">
        <f>【参考】被害関数グラフ!Z3</f>
        <v>400</v>
      </c>
      <c r="AN3" s="39">
        <f>【参考】被害関数グラフ!AA3</f>
        <v>450</v>
      </c>
      <c r="AO3" s="39">
        <f>【参考】被害関数グラフ!AB3</f>
        <v>500</v>
      </c>
      <c r="AP3" s="39">
        <f>【参考】被害関数グラフ!AC3</f>
        <v>600</v>
      </c>
      <c r="AQ3" s="39">
        <f>【参考】被害関数グラフ!AD3</f>
        <v>700</v>
      </c>
      <c r="AR3" s="39">
        <f>【参考】被害関数グラフ!AE3</f>
        <v>800</v>
      </c>
      <c r="AS3" s="39">
        <f>【参考】被害関数グラフ!AF3</f>
        <v>900</v>
      </c>
      <c r="AT3" s="39">
        <f>【参考】被害関数グラフ!AG3</f>
        <v>1000</v>
      </c>
      <c r="AU3" s="39">
        <f>【参考】被害関数グラフ!AH3</f>
        <v>1200</v>
      </c>
      <c r="AV3" s="39">
        <f>【参考】被害関数グラフ!AI3</f>
        <v>1400</v>
      </c>
      <c r="AW3" s="39">
        <f>【参考】被害関数グラフ!AJ3</f>
        <v>1600</v>
      </c>
      <c r="AX3" s="39">
        <f>【参考】被害関数グラフ!AK3</f>
        <v>1800</v>
      </c>
      <c r="AY3" s="39">
        <f>【参考】被害関数グラフ!AL3</f>
        <v>2000</v>
      </c>
    </row>
    <row r="4" spans="2:51" x14ac:dyDescent="0.15">
      <c r="B4"/>
      <c r="C4"/>
      <c r="D4"/>
      <c r="E4"/>
      <c r="K4" s="195" t="s">
        <v>241</v>
      </c>
      <c r="L4" s="110" t="s">
        <v>30</v>
      </c>
      <c r="M4" s="114">
        <f ca="1">D18</f>
        <v>0</v>
      </c>
      <c r="N4" s="76">
        <f ca="1">N49</f>
        <v>0</v>
      </c>
      <c r="O4" s="76">
        <f ca="1">O49</f>
        <v>0</v>
      </c>
      <c r="Q4" s="9">
        <f ca="1">Q49</f>
        <v>0</v>
      </c>
      <c r="R4" s="9">
        <f ca="1">R49</f>
        <v>0</v>
      </c>
      <c r="S4" s="9">
        <f ca="1">S49</f>
        <v>0</v>
      </c>
      <c r="T4" s="9">
        <f t="shared" ref="T4:AY4" ca="1" si="0">T49</f>
        <v>0</v>
      </c>
      <c r="U4" s="9">
        <f t="shared" ca="1" si="0"/>
        <v>0</v>
      </c>
      <c r="V4" s="9">
        <f t="shared" ca="1" si="0"/>
        <v>0</v>
      </c>
      <c r="W4" s="9">
        <f t="shared" ca="1" si="0"/>
        <v>0</v>
      </c>
      <c r="X4" s="9">
        <f t="shared" ca="1" si="0"/>
        <v>0</v>
      </c>
      <c r="Y4" s="9">
        <f t="shared" ca="1" si="0"/>
        <v>0</v>
      </c>
      <c r="Z4" s="9">
        <f t="shared" ca="1" si="0"/>
        <v>0</v>
      </c>
      <c r="AA4" s="9">
        <f t="shared" ca="1" si="0"/>
        <v>0</v>
      </c>
      <c r="AB4" s="9">
        <f t="shared" ca="1" si="0"/>
        <v>0</v>
      </c>
      <c r="AC4" s="9">
        <f t="shared" ca="1" si="0"/>
        <v>0</v>
      </c>
      <c r="AD4" s="9">
        <f t="shared" ca="1" si="0"/>
        <v>0</v>
      </c>
      <c r="AE4" s="9">
        <f t="shared" ca="1" si="0"/>
        <v>0</v>
      </c>
      <c r="AF4" s="9">
        <f t="shared" ca="1" si="0"/>
        <v>0</v>
      </c>
      <c r="AG4" s="9">
        <f t="shared" ca="1" si="0"/>
        <v>0</v>
      </c>
      <c r="AH4" s="9">
        <f t="shared" ca="1" si="0"/>
        <v>0</v>
      </c>
      <c r="AI4" s="9">
        <f t="shared" ca="1" si="0"/>
        <v>0</v>
      </c>
      <c r="AJ4" s="9">
        <f t="shared" ca="1" si="0"/>
        <v>0</v>
      </c>
      <c r="AK4" s="9">
        <f t="shared" ca="1" si="0"/>
        <v>0</v>
      </c>
      <c r="AL4" s="9">
        <f t="shared" ca="1" si="0"/>
        <v>0</v>
      </c>
      <c r="AM4" s="9">
        <f t="shared" ca="1" si="0"/>
        <v>0</v>
      </c>
      <c r="AN4" s="9">
        <f t="shared" ca="1" si="0"/>
        <v>0</v>
      </c>
      <c r="AO4" s="9">
        <f t="shared" ca="1" si="0"/>
        <v>0</v>
      </c>
      <c r="AP4" s="9">
        <f t="shared" ca="1" si="0"/>
        <v>0</v>
      </c>
      <c r="AQ4" s="9">
        <f t="shared" ca="1" si="0"/>
        <v>0</v>
      </c>
      <c r="AR4" s="9">
        <f t="shared" ca="1" si="0"/>
        <v>0</v>
      </c>
      <c r="AS4" s="9">
        <f t="shared" ca="1" si="0"/>
        <v>0</v>
      </c>
      <c r="AT4" s="9">
        <f t="shared" ca="1" si="0"/>
        <v>0</v>
      </c>
      <c r="AU4" s="9">
        <f t="shared" ca="1" si="0"/>
        <v>0</v>
      </c>
      <c r="AV4" s="9">
        <f t="shared" ca="1" si="0"/>
        <v>0</v>
      </c>
      <c r="AW4" s="9">
        <f t="shared" ca="1" si="0"/>
        <v>0</v>
      </c>
      <c r="AX4" s="9">
        <f t="shared" ca="1" si="0"/>
        <v>0</v>
      </c>
      <c r="AY4" s="9">
        <f t="shared" ca="1" si="0"/>
        <v>0</v>
      </c>
    </row>
    <row r="5" spans="2:51" x14ac:dyDescent="0.15">
      <c r="B5" s="195" t="s">
        <v>39</v>
      </c>
      <c r="C5" s="4" t="s">
        <v>37</v>
      </c>
      <c r="D5" s="117">
        <f ca="1">OFFSET(②詳細状況入力!$A$5,MATCH($D$3,②詳細状況入力!$A$5:$A$503,0)-1,1)</f>
        <v>0</v>
      </c>
      <c r="E5" s="116"/>
      <c r="K5" s="195"/>
      <c r="L5" s="110" t="s">
        <v>33</v>
      </c>
      <c r="M5" s="114">
        <f ca="1">D19</f>
        <v>0</v>
      </c>
      <c r="N5" s="76">
        <f ca="1">N61</f>
        <v>0</v>
      </c>
      <c r="O5" s="76">
        <f ca="1">O61</f>
        <v>0</v>
      </c>
      <c r="Q5" s="9">
        <f ca="1">Q61</f>
        <v>0</v>
      </c>
      <c r="R5" s="9">
        <f ca="1">R61</f>
        <v>0</v>
      </c>
      <c r="S5" s="9">
        <f ca="1">S61</f>
        <v>0</v>
      </c>
      <c r="T5" s="9">
        <f t="shared" ref="T5:AY5" ca="1" si="1">T61</f>
        <v>0</v>
      </c>
      <c r="U5" s="9">
        <f t="shared" ca="1" si="1"/>
        <v>0</v>
      </c>
      <c r="V5" s="9">
        <f t="shared" ca="1" si="1"/>
        <v>0</v>
      </c>
      <c r="W5" s="9">
        <f t="shared" ca="1" si="1"/>
        <v>0</v>
      </c>
      <c r="X5" s="9">
        <f t="shared" ca="1" si="1"/>
        <v>0</v>
      </c>
      <c r="Y5" s="9">
        <f t="shared" ca="1" si="1"/>
        <v>0</v>
      </c>
      <c r="Z5" s="9">
        <f t="shared" ca="1" si="1"/>
        <v>0</v>
      </c>
      <c r="AA5" s="9">
        <f t="shared" ca="1" si="1"/>
        <v>0</v>
      </c>
      <c r="AB5" s="9">
        <f t="shared" ca="1" si="1"/>
        <v>0</v>
      </c>
      <c r="AC5" s="9">
        <f t="shared" ca="1" si="1"/>
        <v>0</v>
      </c>
      <c r="AD5" s="9">
        <f t="shared" ca="1" si="1"/>
        <v>0</v>
      </c>
      <c r="AE5" s="9">
        <f t="shared" ca="1" si="1"/>
        <v>0</v>
      </c>
      <c r="AF5" s="9">
        <f t="shared" ca="1" si="1"/>
        <v>0</v>
      </c>
      <c r="AG5" s="9">
        <f t="shared" ca="1" si="1"/>
        <v>0</v>
      </c>
      <c r="AH5" s="9">
        <f t="shared" ca="1" si="1"/>
        <v>0</v>
      </c>
      <c r="AI5" s="9">
        <f t="shared" ca="1" si="1"/>
        <v>0</v>
      </c>
      <c r="AJ5" s="9">
        <f t="shared" ca="1" si="1"/>
        <v>0</v>
      </c>
      <c r="AK5" s="9">
        <f t="shared" ca="1" si="1"/>
        <v>0</v>
      </c>
      <c r="AL5" s="9">
        <f t="shared" ca="1" si="1"/>
        <v>0</v>
      </c>
      <c r="AM5" s="9">
        <f t="shared" ca="1" si="1"/>
        <v>0</v>
      </c>
      <c r="AN5" s="9">
        <f t="shared" ca="1" si="1"/>
        <v>0</v>
      </c>
      <c r="AO5" s="9">
        <f t="shared" ca="1" si="1"/>
        <v>0</v>
      </c>
      <c r="AP5" s="9">
        <f t="shared" ca="1" si="1"/>
        <v>0</v>
      </c>
      <c r="AQ5" s="9">
        <f t="shared" ca="1" si="1"/>
        <v>0</v>
      </c>
      <c r="AR5" s="9">
        <f t="shared" ca="1" si="1"/>
        <v>0</v>
      </c>
      <c r="AS5" s="9">
        <f t="shared" ca="1" si="1"/>
        <v>0</v>
      </c>
      <c r="AT5" s="9">
        <f t="shared" ca="1" si="1"/>
        <v>0</v>
      </c>
      <c r="AU5" s="9">
        <f t="shared" ca="1" si="1"/>
        <v>0</v>
      </c>
      <c r="AV5" s="9">
        <f t="shared" ca="1" si="1"/>
        <v>0</v>
      </c>
      <c r="AW5" s="9">
        <f t="shared" ca="1" si="1"/>
        <v>0</v>
      </c>
      <c r="AX5" s="9">
        <f t="shared" ca="1" si="1"/>
        <v>0</v>
      </c>
      <c r="AY5" s="9">
        <f t="shared" ca="1" si="1"/>
        <v>0</v>
      </c>
    </row>
    <row r="6" spans="2:51" x14ac:dyDescent="0.15">
      <c r="B6" s="195"/>
      <c r="C6" s="195" t="s">
        <v>28</v>
      </c>
      <c r="D6" s="6" t="s">
        <v>35</v>
      </c>
      <c r="E6" s="71">
        <f ca="1">OFFSET(②詳細状況入力!$A$5,MATCH($D$3,②詳細状況入力!$A$5:$A$503,0)-1+2,20)</f>
        <v>0</v>
      </c>
      <c r="K6" s="195"/>
      <c r="L6" s="110" t="s">
        <v>49</v>
      </c>
      <c r="M6" s="114">
        <f ca="1">D20</f>
        <v>0</v>
      </c>
      <c r="N6" s="76">
        <f ca="1">N73</f>
        <v>0</v>
      </c>
      <c r="O6" s="76">
        <f ca="1">O73</f>
        <v>0</v>
      </c>
      <c r="Q6" s="9">
        <f ca="1">Q73</f>
        <v>0</v>
      </c>
      <c r="R6" s="9">
        <f ca="1">R73</f>
        <v>0</v>
      </c>
      <c r="S6" s="9">
        <f ca="1">S73</f>
        <v>0</v>
      </c>
      <c r="T6" s="9">
        <f t="shared" ref="T6:AY6" ca="1" si="2">T73</f>
        <v>0</v>
      </c>
      <c r="U6" s="9">
        <f t="shared" ca="1" si="2"/>
        <v>0</v>
      </c>
      <c r="V6" s="9">
        <f t="shared" ca="1" si="2"/>
        <v>0</v>
      </c>
      <c r="W6" s="9">
        <f t="shared" ca="1" si="2"/>
        <v>0</v>
      </c>
      <c r="X6" s="9">
        <f t="shared" ca="1" si="2"/>
        <v>0</v>
      </c>
      <c r="Y6" s="9">
        <f t="shared" ca="1" si="2"/>
        <v>0</v>
      </c>
      <c r="Z6" s="9">
        <f t="shared" ca="1" si="2"/>
        <v>0</v>
      </c>
      <c r="AA6" s="9">
        <f t="shared" ca="1" si="2"/>
        <v>0</v>
      </c>
      <c r="AB6" s="9">
        <f t="shared" ca="1" si="2"/>
        <v>0</v>
      </c>
      <c r="AC6" s="9">
        <f t="shared" ca="1" si="2"/>
        <v>0</v>
      </c>
      <c r="AD6" s="9">
        <f t="shared" ca="1" si="2"/>
        <v>0</v>
      </c>
      <c r="AE6" s="9">
        <f t="shared" ca="1" si="2"/>
        <v>0</v>
      </c>
      <c r="AF6" s="9">
        <f t="shared" ca="1" si="2"/>
        <v>0</v>
      </c>
      <c r="AG6" s="9">
        <f t="shared" ca="1" si="2"/>
        <v>0</v>
      </c>
      <c r="AH6" s="9">
        <f t="shared" ca="1" si="2"/>
        <v>0</v>
      </c>
      <c r="AI6" s="9">
        <f t="shared" ca="1" si="2"/>
        <v>0</v>
      </c>
      <c r="AJ6" s="9">
        <f t="shared" ca="1" si="2"/>
        <v>0</v>
      </c>
      <c r="AK6" s="9">
        <f t="shared" ca="1" si="2"/>
        <v>0</v>
      </c>
      <c r="AL6" s="9">
        <f t="shared" ca="1" si="2"/>
        <v>0</v>
      </c>
      <c r="AM6" s="9">
        <f t="shared" ca="1" si="2"/>
        <v>0</v>
      </c>
      <c r="AN6" s="9">
        <f t="shared" ca="1" si="2"/>
        <v>0</v>
      </c>
      <c r="AO6" s="9">
        <f t="shared" ca="1" si="2"/>
        <v>0</v>
      </c>
      <c r="AP6" s="9">
        <f t="shared" ca="1" si="2"/>
        <v>0</v>
      </c>
      <c r="AQ6" s="9">
        <f t="shared" ca="1" si="2"/>
        <v>0</v>
      </c>
      <c r="AR6" s="9">
        <f t="shared" ca="1" si="2"/>
        <v>0</v>
      </c>
      <c r="AS6" s="9">
        <f t="shared" ca="1" si="2"/>
        <v>0</v>
      </c>
      <c r="AT6" s="9">
        <f t="shared" ca="1" si="2"/>
        <v>0</v>
      </c>
      <c r="AU6" s="9">
        <f t="shared" ca="1" si="2"/>
        <v>0</v>
      </c>
      <c r="AV6" s="9">
        <f t="shared" ca="1" si="2"/>
        <v>0</v>
      </c>
      <c r="AW6" s="9">
        <f t="shared" ca="1" si="2"/>
        <v>0</v>
      </c>
      <c r="AX6" s="9">
        <f t="shared" ca="1" si="2"/>
        <v>0</v>
      </c>
      <c r="AY6" s="9">
        <f t="shared" ca="1" si="2"/>
        <v>0</v>
      </c>
    </row>
    <row r="7" spans="2:51" x14ac:dyDescent="0.15">
      <c r="B7" s="195"/>
      <c r="C7" s="195"/>
      <c r="D7" s="6" t="s">
        <v>34</v>
      </c>
      <c r="E7" s="71">
        <f ca="1">OFFSET(②詳細状況入力!$A$5,MATCH($D$3,②詳細状況入力!$A$5:$A$503,0)-1+3,20)</f>
        <v>0</v>
      </c>
      <c r="K7" s="195"/>
      <c r="L7" s="110" t="s">
        <v>53</v>
      </c>
      <c r="M7" s="114">
        <f ca="1">F18</f>
        <v>0</v>
      </c>
      <c r="N7" s="77">
        <f ca="1">IF($F$18&gt;0,N12/$F$18,0)</f>
        <v>0</v>
      </c>
      <c r="O7" s="77">
        <f ca="1">IF($F$18&gt;0,O12/$F$18,0)</f>
        <v>0</v>
      </c>
      <c r="Q7" s="29">
        <f t="shared" ref="Q7:AY7" ca="1" si="3">IF($F$18&gt;0,Q12/$F$18,0)</f>
        <v>0</v>
      </c>
      <c r="R7" s="29">
        <f t="shared" ca="1" si="3"/>
        <v>0</v>
      </c>
      <c r="S7" s="29">
        <f t="shared" ca="1" si="3"/>
        <v>0</v>
      </c>
      <c r="T7" s="29">
        <f t="shared" ca="1" si="3"/>
        <v>0</v>
      </c>
      <c r="U7" s="29">
        <f t="shared" ca="1" si="3"/>
        <v>0</v>
      </c>
      <c r="V7" s="29">
        <f t="shared" ca="1" si="3"/>
        <v>0</v>
      </c>
      <c r="W7" s="29">
        <f t="shared" ca="1" si="3"/>
        <v>0</v>
      </c>
      <c r="X7" s="29">
        <f t="shared" ca="1" si="3"/>
        <v>0</v>
      </c>
      <c r="Y7" s="29">
        <f t="shared" ca="1" si="3"/>
        <v>0</v>
      </c>
      <c r="Z7" s="29">
        <f t="shared" ca="1" si="3"/>
        <v>0</v>
      </c>
      <c r="AA7" s="29">
        <f t="shared" ca="1" si="3"/>
        <v>0</v>
      </c>
      <c r="AB7" s="29">
        <f t="shared" ca="1" si="3"/>
        <v>0</v>
      </c>
      <c r="AC7" s="29">
        <f t="shared" ca="1" si="3"/>
        <v>0</v>
      </c>
      <c r="AD7" s="29">
        <f t="shared" ca="1" si="3"/>
        <v>0</v>
      </c>
      <c r="AE7" s="29">
        <f t="shared" ca="1" si="3"/>
        <v>0</v>
      </c>
      <c r="AF7" s="29">
        <f t="shared" ca="1" si="3"/>
        <v>0</v>
      </c>
      <c r="AG7" s="29">
        <f t="shared" ca="1" si="3"/>
        <v>0</v>
      </c>
      <c r="AH7" s="29">
        <f t="shared" ca="1" si="3"/>
        <v>0</v>
      </c>
      <c r="AI7" s="29">
        <f t="shared" ca="1" si="3"/>
        <v>0</v>
      </c>
      <c r="AJ7" s="29">
        <f t="shared" ca="1" si="3"/>
        <v>0</v>
      </c>
      <c r="AK7" s="29">
        <f t="shared" ca="1" si="3"/>
        <v>0</v>
      </c>
      <c r="AL7" s="29">
        <f t="shared" ca="1" si="3"/>
        <v>0</v>
      </c>
      <c r="AM7" s="29">
        <f t="shared" ca="1" si="3"/>
        <v>0</v>
      </c>
      <c r="AN7" s="29">
        <f t="shared" ca="1" si="3"/>
        <v>0</v>
      </c>
      <c r="AO7" s="29">
        <f t="shared" ca="1" si="3"/>
        <v>0</v>
      </c>
      <c r="AP7" s="29">
        <f t="shared" ca="1" si="3"/>
        <v>0</v>
      </c>
      <c r="AQ7" s="29">
        <f t="shared" ca="1" si="3"/>
        <v>0</v>
      </c>
      <c r="AR7" s="29">
        <f t="shared" ca="1" si="3"/>
        <v>0</v>
      </c>
      <c r="AS7" s="29">
        <f t="shared" ca="1" si="3"/>
        <v>0</v>
      </c>
      <c r="AT7" s="29">
        <f t="shared" ca="1" si="3"/>
        <v>0</v>
      </c>
      <c r="AU7" s="29">
        <f t="shared" ca="1" si="3"/>
        <v>0</v>
      </c>
      <c r="AV7" s="29">
        <f t="shared" ca="1" si="3"/>
        <v>0</v>
      </c>
      <c r="AW7" s="29">
        <f t="shared" ca="1" si="3"/>
        <v>0</v>
      </c>
      <c r="AX7" s="29">
        <f t="shared" ca="1" si="3"/>
        <v>0</v>
      </c>
      <c r="AY7" s="29">
        <f t="shared" ca="1" si="3"/>
        <v>0</v>
      </c>
    </row>
    <row r="8" spans="2:51" x14ac:dyDescent="0.15">
      <c r="B8" s="195" t="s">
        <v>29</v>
      </c>
      <c r="C8" s="195" t="s">
        <v>40</v>
      </c>
      <c r="D8" s="6" t="s">
        <v>41</v>
      </c>
      <c r="E8" s="38">
        <f ca="1">OFFSET(②詳細状況入力!$A$5,MATCH($D$3,②詳細状況入力!$A$5:$A$503,0)-1+0,39)</f>
        <v>0</v>
      </c>
      <c r="N8" s="5"/>
      <c r="O8" s="5"/>
    </row>
    <row r="9" spans="2:51" x14ac:dyDescent="0.15">
      <c r="B9" s="195"/>
      <c r="C9" s="195"/>
      <c r="D9" s="6" t="s">
        <v>42</v>
      </c>
      <c r="E9" s="38">
        <f ca="1">E8-D23</f>
        <v>0</v>
      </c>
      <c r="K9" s="195" t="s">
        <v>240</v>
      </c>
      <c r="L9" s="110" t="s">
        <v>30</v>
      </c>
      <c r="M9" s="89"/>
      <c r="N9" s="78">
        <f ca="1">N4*$D$18</f>
        <v>0</v>
      </c>
      <c r="O9" s="78">
        <f ca="1">O4*$D$18</f>
        <v>0</v>
      </c>
      <c r="Q9" s="30">
        <f t="shared" ref="Q9:AY9" ca="1" si="4">Q4*$D$18</f>
        <v>0</v>
      </c>
      <c r="R9" s="30">
        <f t="shared" ca="1" si="4"/>
        <v>0</v>
      </c>
      <c r="S9" s="30">
        <f t="shared" ca="1" si="4"/>
        <v>0</v>
      </c>
      <c r="T9" s="30">
        <f t="shared" ca="1" si="4"/>
        <v>0</v>
      </c>
      <c r="U9" s="30">
        <f t="shared" ca="1" si="4"/>
        <v>0</v>
      </c>
      <c r="V9" s="30">
        <f t="shared" ca="1" si="4"/>
        <v>0</v>
      </c>
      <c r="W9" s="30">
        <f t="shared" ca="1" si="4"/>
        <v>0</v>
      </c>
      <c r="X9" s="30">
        <f t="shared" ca="1" si="4"/>
        <v>0</v>
      </c>
      <c r="Y9" s="30">
        <f t="shared" ca="1" si="4"/>
        <v>0</v>
      </c>
      <c r="Z9" s="30">
        <f t="shared" ca="1" si="4"/>
        <v>0</v>
      </c>
      <c r="AA9" s="30">
        <f t="shared" ca="1" si="4"/>
        <v>0</v>
      </c>
      <c r="AB9" s="30">
        <f t="shared" ca="1" si="4"/>
        <v>0</v>
      </c>
      <c r="AC9" s="30">
        <f t="shared" ca="1" si="4"/>
        <v>0</v>
      </c>
      <c r="AD9" s="30">
        <f t="shared" ca="1" si="4"/>
        <v>0</v>
      </c>
      <c r="AE9" s="30">
        <f t="shared" ca="1" si="4"/>
        <v>0</v>
      </c>
      <c r="AF9" s="30">
        <f t="shared" ca="1" si="4"/>
        <v>0</v>
      </c>
      <c r="AG9" s="30">
        <f t="shared" ca="1" si="4"/>
        <v>0</v>
      </c>
      <c r="AH9" s="30">
        <f t="shared" ca="1" si="4"/>
        <v>0</v>
      </c>
      <c r="AI9" s="30">
        <f t="shared" ca="1" si="4"/>
        <v>0</v>
      </c>
      <c r="AJ9" s="30">
        <f t="shared" ca="1" si="4"/>
        <v>0</v>
      </c>
      <c r="AK9" s="30">
        <f t="shared" ca="1" si="4"/>
        <v>0</v>
      </c>
      <c r="AL9" s="30">
        <f t="shared" ca="1" si="4"/>
        <v>0</v>
      </c>
      <c r="AM9" s="30">
        <f t="shared" ca="1" si="4"/>
        <v>0</v>
      </c>
      <c r="AN9" s="30">
        <f t="shared" ca="1" si="4"/>
        <v>0</v>
      </c>
      <c r="AO9" s="30">
        <f t="shared" ca="1" si="4"/>
        <v>0</v>
      </c>
      <c r="AP9" s="30">
        <f t="shared" ca="1" si="4"/>
        <v>0</v>
      </c>
      <c r="AQ9" s="30">
        <f t="shared" ca="1" si="4"/>
        <v>0</v>
      </c>
      <c r="AR9" s="30">
        <f t="shared" ca="1" si="4"/>
        <v>0</v>
      </c>
      <c r="AS9" s="30">
        <f t="shared" ca="1" si="4"/>
        <v>0</v>
      </c>
      <c r="AT9" s="30">
        <f t="shared" ca="1" si="4"/>
        <v>0</v>
      </c>
      <c r="AU9" s="30">
        <f t="shared" ca="1" si="4"/>
        <v>0</v>
      </c>
      <c r="AV9" s="30">
        <f t="shared" ca="1" si="4"/>
        <v>0</v>
      </c>
      <c r="AW9" s="30">
        <f t="shared" ca="1" si="4"/>
        <v>0</v>
      </c>
      <c r="AX9" s="30">
        <f t="shared" ca="1" si="4"/>
        <v>0</v>
      </c>
      <c r="AY9" s="30">
        <f t="shared" ca="1" si="4"/>
        <v>0</v>
      </c>
    </row>
    <row r="10" spans="2:51" x14ac:dyDescent="0.15">
      <c r="B10" s="195"/>
      <c r="C10" s="7" t="s">
        <v>44</v>
      </c>
      <c r="D10" s="6" t="s">
        <v>43</v>
      </c>
      <c r="E10" s="38">
        <f ca="1">OFFSET(②詳細状況入力!$A$5,MATCH($D$3,②詳細状況入力!$A$5:$A$503,0)-1+1,20)</f>
        <v>0</v>
      </c>
      <c r="K10" s="195"/>
      <c r="L10" s="110" t="s">
        <v>33</v>
      </c>
      <c r="M10" s="89"/>
      <c r="N10" s="78">
        <f ca="1">N5*$D$19</f>
        <v>0</v>
      </c>
      <c r="O10" s="78">
        <f ca="1">O5*$D$19</f>
        <v>0</v>
      </c>
      <c r="Q10" s="30">
        <f t="shared" ref="Q10:AY10" ca="1" si="5">Q5*$D$19</f>
        <v>0</v>
      </c>
      <c r="R10" s="30">
        <f t="shared" ca="1" si="5"/>
        <v>0</v>
      </c>
      <c r="S10" s="30">
        <f t="shared" ca="1" si="5"/>
        <v>0</v>
      </c>
      <c r="T10" s="30">
        <f t="shared" ca="1" si="5"/>
        <v>0</v>
      </c>
      <c r="U10" s="30">
        <f t="shared" ca="1" si="5"/>
        <v>0</v>
      </c>
      <c r="V10" s="30">
        <f t="shared" ca="1" si="5"/>
        <v>0</v>
      </c>
      <c r="W10" s="30">
        <f t="shared" ca="1" si="5"/>
        <v>0</v>
      </c>
      <c r="X10" s="30">
        <f t="shared" ca="1" si="5"/>
        <v>0</v>
      </c>
      <c r="Y10" s="30">
        <f t="shared" ca="1" si="5"/>
        <v>0</v>
      </c>
      <c r="Z10" s="30">
        <f t="shared" ca="1" si="5"/>
        <v>0</v>
      </c>
      <c r="AA10" s="30">
        <f t="shared" ca="1" si="5"/>
        <v>0</v>
      </c>
      <c r="AB10" s="30">
        <f t="shared" ca="1" si="5"/>
        <v>0</v>
      </c>
      <c r="AC10" s="30">
        <f t="shared" ca="1" si="5"/>
        <v>0</v>
      </c>
      <c r="AD10" s="30">
        <f t="shared" ca="1" si="5"/>
        <v>0</v>
      </c>
      <c r="AE10" s="30">
        <f t="shared" ca="1" si="5"/>
        <v>0</v>
      </c>
      <c r="AF10" s="30">
        <f t="shared" ca="1" si="5"/>
        <v>0</v>
      </c>
      <c r="AG10" s="30">
        <f t="shared" ca="1" si="5"/>
        <v>0</v>
      </c>
      <c r="AH10" s="30">
        <f t="shared" ca="1" si="5"/>
        <v>0</v>
      </c>
      <c r="AI10" s="30">
        <f t="shared" ca="1" si="5"/>
        <v>0</v>
      </c>
      <c r="AJ10" s="30">
        <f t="shared" ca="1" si="5"/>
        <v>0</v>
      </c>
      <c r="AK10" s="30">
        <f t="shared" ca="1" si="5"/>
        <v>0</v>
      </c>
      <c r="AL10" s="30">
        <f t="shared" ca="1" si="5"/>
        <v>0</v>
      </c>
      <c r="AM10" s="30">
        <f t="shared" ca="1" si="5"/>
        <v>0</v>
      </c>
      <c r="AN10" s="30">
        <f t="shared" ca="1" si="5"/>
        <v>0</v>
      </c>
      <c r="AO10" s="30">
        <f t="shared" ca="1" si="5"/>
        <v>0</v>
      </c>
      <c r="AP10" s="30">
        <f t="shared" ca="1" si="5"/>
        <v>0</v>
      </c>
      <c r="AQ10" s="30">
        <f t="shared" ca="1" si="5"/>
        <v>0</v>
      </c>
      <c r="AR10" s="30">
        <f t="shared" ca="1" si="5"/>
        <v>0</v>
      </c>
      <c r="AS10" s="30">
        <f t="shared" ca="1" si="5"/>
        <v>0</v>
      </c>
      <c r="AT10" s="30">
        <f t="shared" ca="1" si="5"/>
        <v>0</v>
      </c>
      <c r="AU10" s="30">
        <f t="shared" ca="1" si="5"/>
        <v>0</v>
      </c>
      <c r="AV10" s="30">
        <f t="shared" ca="1" si="5"/>
        <v>0</v>
      </c>
      <c r="AW10" s="30">
        <f t="shared" ca="1" si="5"/>
        <v>0</v>
      </c>
      <c r="AX10" s="30">
        <f t="shared" ca="1" si="5"/>
        <v>0</v>
      </c>
      <c r="AY10" s="30">
        <f t="shared" ca="1" si="5"/>
        <v>0</v>
      </c>
    </row>
    <row r="11" spans="2:51" x14ac:dyDescent="0.15">
      <c r="K11" s="195"/>
      <c r="L11" s="110" t="s">
        <v>49</v>
      </c>
      <c r="M11" s="89"/>
      <c r="N11" s="78">
        <f ca="1">N6*$D$20</f>
        <v>0</v>
      </c>
      <c r="O11" s="78">
        <f ca="1">O6*$D$20</f>
        <v>0</v>
      </c>
      <c r="Q11" s="30">
        <f t="shared" ref="Q11:AY11" ca="1" si="6">Q6*$D$20</f>
        <v>0</v>
      </c>
      <c r="R11" s="30">
        <f t="shared" ca="1" si="6"/>
        <v>0</v>
      </c>
      <c r="S11" s="30">
        <f t="shared" ca="1" si="6"/>
        <v>0</v>
      </c>
      <c r="T11" s="30">
        <f t="shared" ca="1" si="6"/>
        <v>0</v>
      </c>
      <c r="U11" s="30">
        <f t="shared" ca="1" si="6"/>
        <v>0</v>
      </c>
      <c r="V11" s="30">
        <f t="shared" ca="1" si="6"/>
        <v>0</v>
      </c>
      <c r="W11" s="30">
        <f t="shared" ca="1" si="6"/>
        <v>0</v>
      </c>
      <c r="X11" s="30">
        <f t="shared" ca="1" si="6"/>
        <v>0</v>
      </c>
      <c r="Y11" s="30">
        <f t="shared" ca="1" si="6"/>
        <v>0</v>
      </c>
      <c r="Z11" s="30">
        <f t="shared" ca="1" si="6"/>
        <v>0</v>
      </c>
      <c r="AA11" s="30">
        <f t="shared" ca="1" si="6"/>
        <v>0</v>
      </c>
      <c r="AB11" s="30">
        <f t="shared" ca="1" si="6"/>
        <v>0</v>
      </c>
      <c r="AC11" s="30">
        <f t="shared" ca="1" si="6"/>
        <v>0</v>
      </c>
      <c r="AD11" s="30">
        <f t="shared" ca="1" si="6"/>
        <v>0</v>
      </c>
      <c r="AE11" s="30">
        <f t="shared" ca="1" si="6"/>
        <v>0</v>
      </c>
      <c r="AF11" s="30">
        <f t="shared" ca="1" si="6"/>
        <v>0</v>
      </c>
      <c r="AG11" s="30">
        <f t="shared" ca="1" si="6"/>
        <v>0</v>
      </c>
      <c r="AH11" s="30">
        <f t="shared" ca="1" si="6"/>
        <v>0</v>
      </c>
      <c r="AI11" s="30">
        <f t="shared" ca="1" si="6"/>
        <v>0</v>
      </c>
      <c r="AJ11" s="30">
        <f t="shared" ca="1" si="6"/>
        <v>0</v>
      </c>
      <c r="AK11" s="30">
        <f t="shared" ca="1" si="6"/>
        <v>0</v>
      </c>
      <c r="AL11" s="30">
        <f t="shared" ca="1" si="6"/>
        <v>0</v>
      </c>
      <c r="AM11" s="30">
        <f t="shared" ca="1" si="6"/>
        <v>0</v>
      </c>
      <c r="AN11" s="30">
        <f t="shared" ca="1" si="6"/>
        <v>0</v>
      </c>
      <c r="AO11" s="30">
        <f t="shared" ca="1" si="6"/>
        <v>0</v>
      </c>
      <c r="AP11" s="30">
        <f t="shared" ca="1" si="6"/>
        <v>0</v>
      </c>
      <c r="AQ11" s="30">
        <f t="shared" ca="1" si="6"/>
        <v>0</v>
      </c>
      <c r="AR11" s="30">
        <f t="shared" ca="1" si="6"/>
        <v>0</v>
      </c>
      <c r="AS11" s="30">
        <f t="shared" ca="1" si="6"/>
        <v>0</v>
      </c>
      <c r="AT11" s="30">
        <f t="shared" ca="1" si="6"/>
        <v>0</v>
      </c>
      <c r="AU11" s="30">
        <f t="shared" ca="1" si="6"/>
        <v>0</v>
      </c>
      <c r="AV11" s="30">
        <f t="shared" ca="1" si="6"/>
        <v>0</v>
      </c>
      <c r="AW11" s="30">
        <f t="shared" ca="1" si="6"/>
        <v>0</v>
      </c>
      <c r="AX11" s="30">
        <f t="shared" ca="1" si="6"/>
        <v>0</v>
      </c>
      <c r="AY11" s="30">
        <f t="shared" ca="1" si="6"/>
        <v>0</v>
      </c>
    </row>
    <row r="12" spans="2:51" x14ac:dyDescent="0.15">
      <c r="B12" s="203" t="s">
        <v>106</v>
      </c>
      <c r="C12" s="13" t="s">
        <v>97</v>
      </c>
      <c r="D12" s="15" t="s">
        <v>93</v>
      </c>
      <c r="E12" s="13" t="s">
        <v>2</v>
      </c>
      <c r="F12" s="13" t="s">
        <v>3</v>
      </c>
      <c r="K12" s="195"/>
      <c r="L12" s="110" t="s">
        <v>53</v>
      </c>
      <c r="M12" s="89"/>
      <c r="N12" s="79">
        <f ca="1">SUM(N9:N11)</f>
        <v>0</v>
      </c>
      <c r="O12" s="79">
        <f ca="1">SUM(O9:O11)</f>
        <v>0</v>
      </c>
      <c r="Q12" s="31">
        <f ca="1">SUM(Q9:Q11)</f>
        <v>0</v>
      </c>
      <c r="R12" s="31">
        <f ca="1">SUM(R9:R11)</f>
        <v>0</v>
      </c>
      <c r="S12" s="31">
        <f ca="1">SUM(S9:S11)</f>
        <v>0</v>
      </c>
      <c r="T12" s="31">
        <f t="shared" ref="T12:AY12" ca="1" si="7">SUM(T9:T11)</f>
        <v>0</v>
      </c>
      <c r="U12" s="31">
        <f t="shared" ca="1" si="7"/>
        <v>0</v>
      </c>
      <c r="V12" s="31">
        <f t="shared" ca="1" si="7"/>
        <v>0</v>
      </c>
      <c r="W12" s="31">
        <f t="shared" ca="1" si="7"/>
        <v>0</v>
      </c>
      <c r="X12" s="31">
        <f t="shared" ca="1" si="7"/>
        <v>0</v>
      </c>
      <c r="Y12" s="31">
        <f t="shared" ca="1" si="7"/>
        <v>0</v>
      </c>
      <c r="Z12" s="31">
        <f t="shared" ca="1" si="7"/>
        <v>0</v>
      </c>
      <c r="AA12" s="31">
        <f t="shared" ca="1" si="7"/>
        <v>0</v>
      </c>
      <c r="AB12" s="31">
        <f t="shared" ca="1" si="7"/>
        <v>0</v>
      </c>
      <c r="AC12" s="31">
        <f t="shared" ca="1" si="7"/>
        <v>0</v>
      </c>
      <c r="AD12" s="31">
        <f t="shared" ca="1" si="7"/>
        <v>0</v>
      </c>
      <c r="AE12" s="31">
        <f t="shared" ca="1" si="7"/>
        <v>0</v>
      </c>
      <c r="AF12" s="31">
        <f t="shared" ca="1" si="7"/>
        <v>0</v>
      </c>
      <c r="AG12" s="31">
        <f t="shared" ca="1" si="7"/>
        <v>0</v>
      </c>
      <c r="AH12" s="31">
        <f t="shared" ca="1" si="7"/>
        <v>0</v>
      </c>
      <c r="AI12" s="31">
        <f t="shared" ca="1" si="7"/>
        <v>0</v>
      </c>
      <c r="AJ12" s="31">
        <f t="shared" ca="1" si="7"/>
        <v>0</v>
      </c>
      <c r="AK12" s="31">
        <f t="shared" ca="1" si="7"/>
        <v>0</v>
      </c>
      <c r="AL12" s="31">
        <f t="shared" ca="1" si="7"/>
        <v>0</v>
      </c>
      <c r="AM12" s="31">
        <f t="shared" ca="1" si="7"/>
        <v>0</v>
      </c>
      <c r="AN12" s="31">
        <f t="shared" ca="1" si="7"/>
        <v>0</v>
      </c>
      <c r="AO12" s="31">
        <f t="shared" ca="1" si="7"/>
        <v>0</v>
      </c>
      <c r="AP12" s="31">
        <f t="shared" ca="1" si="7"/>
        <v>0</v>
      </c>
      <c r="AQ12" s="31">
        <f t="shared" ca="1" si="7"/>
        <v>0</v>
      </c>
      <c r="AR12" s="31">
        <f t="shared" ca="1" si="7"/>
        <v>0</v>
      </c>
      <c r="AS12" s="31">
        <f t="shared" ca="1" si="7"/>
        <v>0</v>
      </c>
      <c r="AT12" s="31">
        <f t="shared" ca="1" si="7"/>
        <v>0</v>
      </c>
      <c r="AU12" s="31">
        <f t="shared" ca="1" si="7"/>
        <v>0</v>
      </c>
      <c r="AV12" s="31">
        <f t="shared" ca="1" si="7"/>
        <v>0</v>
      </c>
      <c r="AW12" s="31">
        <f t="shared" ca="1" si="7"/>
        <v>0</v>
      </c>
      <c r="AX12" s="31">
        <f t="shared" ca="1" si="7"/>
        <v>0</v>
      </c>
      <c r="AY12" s="31">
        <f t="shared" ca="1" si="7"/>
        <v>0</v>
      </c>
    </row>
    <row r="13" spans="2:51" x14ac:dyDescent="0.15">
      <c r="B13" s="204"/>
      <c r="C13" s="4" t="s">
        <v>30</v>
      </c>
      <c r="D13" s="70">
        <f ca="1">OFFSET(②詳細状況入力!$A$5,MATCH($D$3,②詳細状況入力!$A$5:$A$503,0)-1+1,24)</f>
        <v>0</v>
      </c>
      <c r="E13" s="20">
        <f ca="1">OFFSET(【DB】被害率係数!$A$4,MATCH($D$13,【DB】被害率係数!$A$4:$A$19,0)-1,2)</f>
        <v>0</v>
      </c>
      <c r="F13" s="20">
        <f ca="1">OFFSET(【DB】被害率係数!$A$4,MATCH($D$13,【DB】被害率係数!$A$4:$A$19,0)-1,3)</f>
        <v>0</v>
      </c>
      <c r="N13" s="5"/>
      <c r="O13" s="5"/>
    </row>
    <row r="14" spans="2:51" x14ac:dyDescent="0.15">
      <c r="B14" s="204"/>
      <c r="C14" s="4" t="s">
        <v>33</v>
      </c>
      <c r="D14" s="70">
        <f ca="1">OFFSET(②詳細状況入力!$A$5,MATCH($D$3,②詳細状況入力!$A$5:$A$503,0)-1+2,24)</f>
        <v>0</v>
      </c>
      <c r="E14" s="207">
        <f ca="1">OFFSET(【DB】被害率係数!$A$43,MATCH($D$14,【DB】被害率係数!$A$43:$A$58,0)-1,3)</f>
        <v>0</v>
      </c>
      <c r="F14" s="207"/>
      <c r="K14" s="209" t="s">
        <v>107</v>
      </c>
      <c r="L14" s="15" t="s">
        <v>28</v>
      </c>
      <c r="M14" s="15" t="s">
        <v>55</v>
      </c>
      <c r="N14" s="27" t="s">
        <v>54</v>
      </c>
      <c r="O14" s="27" t="s">
        <v>54</v>
      </c>
      <c r="Q14" s="15" t="s">
        <v>54</v>
      </c>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row>
    <row r="15" spans="2:51" x14ac:dyDescent="0.15">
      <c r="B15" s="205"/>
      <c r="C15" s="4" t="s">
        <v>49</v>
      </c>
      <c r="D15" s="70">
        <f ca="1">OFFSET(②詳細状況入力!$A$5,MATCH($D$3,②詳細状況入力!$A$5:$A$503,0)-1+3,24)</f>
        <v>0</v>
      </c>
      <c r="E15" s="207">
        <f ca="1">OFFSET(【DB】被害率係数!$A$43,MATCH($D$15,【DB】被害率係数!$A$43:$A$58,0)-1,3)</f>
        <v>0</v>
      </c>
      <c r="F15" s="207"/>
      <c r="K15" s="195"/>
      <c r="L15" s="7" t="s">
        <v>56</v>
      </c>
      <c r="M15" s="10">
        <f ca="1">E9</f>
        <v>0</v>
      </c>
      <c r="N15" s="10">
        <f ca="1">IF($M$27&lt;&gt;"-",IF($M$15&gt;N3,"浸水なし",N3-$M$15),"-")</f>
        <v>0</v>
      </c>
      <c r="O15" s="10">
        <f ca="1">IF($M$27&lt;&gt;"-",IF($M$15&gt;O3,"浸水なし",O3-$M$15),"-")</f>
        <v>0</v>
      </c>
      <c r="Q15" s="10">
        <f ca="1">IF($M$27&lt;&gt;"-",IF($M$15&gt;Q3,"浸水なし",Q3-$M$15),"-")</f>
        <v>0</v>
      </c>
      <c r="R15" s="10">
        <f ca="1">IF($M$27&lt;&gt;"-",IF($M$15&gt;R3,"浸水なし",R3-$M$15),"-")</f>
        <v>10</v>
      </c>
      <c r="S15" s="10">
        <f ca="1">IF($M$27&lt;&gt;"-",IF($M$15&gt;S3,"浸水なし",S3-$M$15),"-")</f>
        <v>20</v>
      </c>
      <c r="T15" s="10">
        <f t="shared" ref="T15:AY15" ca="1" si="8">IF($M$27&lt;&gt;"-",IF($M$15&gt;T3,"浸水なし",T3-$M$15),"-")</f>
        <v>30</v>
      </c>
      <c r="U15" s="10">
        <f t="shared" ca="1" si="8"/>
        <v>40</v>
      </c>
      <c r="V15" s="10">
        <f t="shared" ca="1" si="8"/>
        <v>50</v>
      </c>
      <c r="W15" s="10">
        <f t="shared" ca="1" si="8"/>
        <v>60</v>
      </c>
      <c r="X15" s="10">
        <f t="shared" ca="1" si="8"/>
        <v>70</v>
      </c>
      <c r="Y15" s="10">
        <f t="shared" ca="1" si="8"/>
        <v>80</v>
      </c>
      <c r="Z15" s="10">
        <f t="shared" ca="1" si="8"/>
        <v>90</v>
      </c>
      <c r="AA15" s="10">
        <f t="shared" ca="1" si="8"/>
        <v>100</v>
      </c>
      <c r="AB15" s="10">
        <f t="shared" ca="1" si="8"/>
        <v>120</v>
      </c>
      <c r="AC15" s="10">
        <f t="shared" ca="1" si="8"/>
        <v>140</v>
      </c>
      <c r="AD15" s="10">
        <f t="shared" ca="1" si="8"/>
        <v>160</v>
      </c>
      <c r="AE15" s="10">
        <f t="shared" ca="1" si="8"/>
        <v>180</v>
      </c>
      <c r="AF15" s="10">
        <f t="shared" ca="1" si="8"/>
        <v>200</v>
      </c>
      <c r="AG15" s="10">
        <f t="shared" ca="1" si="8"/>
        <v>220</v>
      </c>
      <c r="AH15" s="10">
        <f t="shared" ca="1" si="8"/>
        <v>240</v>
      </c>
      <c r="AI15" s="10">
        <f t="shared" ca="1" si="8"/>
        <v>260</v>
      </c>
      <c r="AJ15" s="10">
        <f t="shared" ca="1" si="8"/>
        <v>280</v>
      </c>
      <c r="AK15" s="10">
        <f t="shared" ca="1" si="8"/>
        <v>300</v>
      </c>
      <c r="AL15" s="10">
        <f t="shared" ca="1" si="8"/>
        <v>350</v>
      </c>
      <c r="AM15" s="10">
        <f t="shared" ca="1" si="8"/>
        <v>400</v>
      </c>
      <c r="AN15" s="10">
        <f t="shared" ca="1" si="8"/>
        <v>450</v>
      </c>
      <c r="AO15" s="10">
        <f t="shared" ca="1" si="8"/>
        <v>500</v>
      </c>
      <c r="AP15" s="10">
        <f t="shared" ca="1" si="8"/>
        <v>600</v>
      </c>
      <c r="AQ15" s="10">
        <f t="shared" ca="1" si="8"/>
        <v>700</v>
      </c>
      <c r="AR15" s="10">
        <f t="shared" ca="1" si="8"/>
        <v>800</v>
      </c>
      <c r="AS15" s="10">
        <f t="shared" ca="1" si="8"/>
        <v>900</v>
      </c>
      <c r="AT15" s="10">
        <f t="shared" ca="1" si="8"/>
        <v>1000</v>
      </c>
      <c r="AU15" s="10">
        <f t="shared" ca="1" si="8"/>
        <v>1200</v>
      </c>
      <c r="AV15" s="10">
        <f t="shared" ca="1" si="8"/>
        <v>1400</v>
      </c>
      <c r="AW15" s="10">
        <f t="shared" ca="1" si="8"/>
        <v>1600</v>
      </c>
      <c r="AX15" s="10">
        <f t="shared" ca="1" si="8"/>
        <v>1800</v>
      </c>
      <c r="AY15" s="10">
        <f t="shared" ca="1" si="8"/>
        <v>2000</v>
      </c>
    </row>
    <row r="16" spans="2:51" x14ac:dyDescent="0.15">
      <c r="K16" s="195"/>
      <c r="L16" s="7" t="s">
        <v>45</v>
      </c>
      <c r="M16" s="19" t="s">
        <v>58</v>
      </c>
      <c r="N16" s="19" t="s">
        <v>46</v>
      </c>
      <c r="O16" s="19" t="s">
        <v>46</v>
      </c>
      <c r="Q16" s="19" t="s">
        <v>58</v>
      </c>
      <c r="R16" s="19" t="s">
        <v>46</v>
      </c>
      <c r="S16" s="19" t="s">
        <v>46</v>
      </c>
      <c r="T16" s="19" t="s">
        <v>46</v>
      </c>
      <c r="U16" s="19" t="s">
        <v>46</v>
      </c>
      <c r="V16" s="19" t="s">
        <v>46</v>
      </c>
      <c r="W16" s="19" t="s">
        <v>46</v>
      </c>
      <c r="X16" s="19" t="s">
        <v>46</v>
      </c>
      <c r="Y16" s="19" t="s">
        <v>46</v>
      </c>
      <c r="Z16" s="19" t="s">
        <v>46</v>
      </c>
      <c r="AA16" s="19" t="s">
        <v>46</v>
      </c>
      <c r="AB16" s="19" t="s">
        <v>46</v>
      </c>
      <c r="AC16" s="19" t="s">
        <v>46</v>
      </c>
      <c r="AD16" s="19" t="s">
        <v>46</v>
      </c>
      <c r="AE16" s="19" t="s">
        <v>46</v>
      </c>
      <c r="AF16" s="19" t="s">
        <v>46</v>
      </c>
      <c r="AG16" s="19" t="s">
        <v>46</v>
      </c>
      <c r="AH16" s="19" t="s">
        <v>46</v>
      </c>
      <c r="AI16" s="19" t="s">
        <v>46</v>
      </c>
      <c r="AJ16" s="19" t="s">
        <v>46</v>
      </c>
      <c r="AK16" s="19" t="s">
        <v>46</v>
      </c>
      <c r="AL16" s="19" t="s">
        <v>46</v>
      </c>
      <c r="AM16" s="19" t="s">
        <v>46</v>
      </c>
      <c r="AN16" s="19" t="s">
        <v>46</v>
      </c>
      <c r="AO16" s="19" t="s">
        <v>46</v>
      </c>
      <c r="AP16" s="19" t="s">
        <v>46</v>
      </c>
      <c r="AQ16" s="19" t="s">
        <v>46</v>
      </c>
      <c r="AR16" s="19" t="s">
        <v>46</v>
      </c>
      <c r="AS16" s="19" t="s">
        <v>46</v>
      </c>
      <c r="AT16" s="19" t="s">
        <v>46</v>
      </c>
      <c r="AU16" s="19" t="s">
        <v>46</v>
      </c>
      <c r="AV16" s="19" t="s">
        <v>46</v>
      </c>
      <c r="AW16" s="19" t="s">
        <v>46</v>
      </c>
      <c r="AX16" s="19" t="s">
        <v>46</v>
      </c>
      <c r="AY16" s="19" t="s">
        <v>46</v>
      </c>
    </row>
    <row r="17" spans="2:51" ht="13.5" customHeight="1" x14ac:dyDescent="0.15">
      <c r="B17" s="203" t="s">
        <v>48</v>
      </c>
      <c r="C17" s="16" t="s">
        <v>97</v>
      </c>
      <c r="D17" s="197" t="s">
        <v>7</v>
      </c>
      <c r="E17" s="197"/>
      <c r="F17" s="197" t="s">
        <v>109</v>
      </c>
      <c r="G17" s="197"/>
      <c r="K17" s="195"/>
      <c r="L17" s="8">
        <v>6</v>
      </c>
      <c r="M17" s="10" t="str">
        <f ca="1">IF(L17&lt;=E6,M18+D26,"-")</f>
        <v>-</v>
      </c>
      <c r="N17" s="10" t="str">
        <f ca="1">IF($M$29&lt;&gt;"-",IF($M$17&gt;N3,"浸水なし",IF(N3&gt;=$M$17+$M$29,"水没",N3-$M$17)),"-")</f>
        <v>-</v>
      </c>
      <c r="O17" s="10" t="str">
        <f ca="1">IF($M$29&lt;&gt;"-",IF($M$17&gt;O3,"浸水なし",IF(O3&gt;=$M$17+$M$29,"水没",O3-$M$17)),"-")</f>
        <v>-</v>
      </c>
      <c r="Q17" s="10" t="str">
        <f ca="1">IF($M$29&lt;&gt;"-",IF($M$17&gt;Q3,"浸水なし",IF(Q3&gt;=$M$17+$M$29,"水没",Q3-$M$17)),"-")</f>
        <v>-</v>
      </c>
      <c r="R17" s="10" t="str">
        <f ca="1">IF($M$29&lt;&gt;"-",IF($M$17&gt;R3,"浸水なし",IF(R3&gt;=$M$17+$M$29,"水没",R3-$M$17)),"-")</f>
        <v>-</v>
      </c>
      <c r="S17" s="10" t="str">
        <f ca="1">IF($M$29&lt;&gt;"-",IF($M$17&gt;S3,"浸水なし",IF(S3&gt;=$M$17+$M$29,"水没",S3-$M$17)),"-")</f>
        <v>-</v>
      </c>
      <c r="T17" s="10" t="str">
        <f t="shared" ref="T17:AY17" ca="1" si="9">IF($M$29&lt;&gt;"-",IF($M$17&gt;T3,"浸水なし",IF(T3&gt;=$M$17+$M$29,"水没",T3-$M$17)),"-")</f>
        <v>-</v>
      </c>
      <c r="U17" s="10" t="str">
        <f t="shared" ca="1" si="9"/>
        <v>-</v>
      </c>
      <c r="V17" s="10" t="str">
        <f t="shared" ca="1" si="9"/>
        <v>-</v>
      </c>
      <c r="W17" s="10" t="str">
        <f t="shared" ca="1" si="9"/>
        <v>-</v>
      </c>
      <c r="X17" s="10" t="str">
        <f t="shared" ca="1" si="9"/>
        <v>-</v>
      </c>
      <c r="Y17" s="10" t="str">
        <f t="shared" ca="1" si="9"/>
        <v>-</v>
      </c>
      <c r="Z17" s="10" t="str">
        <f t="shared" ca="1" si="9"/>
        <v>-</v>
      </c>
      <c r="AA17" s="10" t="str">
        <f t="shared" ca="1" si="9"/>
        <v>-</v>
      </c>
      <c r="AB17" s="10" t="str">
        <f t="shared" ca="1" si="9"/>
        <v>-</v>
      </c>
      <c r="AC17" s="10" t="str">
        <f t="shared" ca="1" si="9"/>
        <v>-</v>
      </c>
      <c r="AD17" s="10" t="str">
        <f t="shared" ca="1" si="9"/>
        <v>-</v>
      </c>
      <c r="AE17" s="10" t="str">
        <f t="shared" ca="1" si="9"/>
        <v>-</v>
      </c>
      <c r="AF17" s="10" t="str">
        <f t="shared" ca="1" si="9"/>
        <v>-</v>
      </c>
      <c r="AG17" s="10" t="str">
        <f t="shared" ca="1" si="9"/>
        <v>-</v>
      </c>
      <c r="AH17" s="10" t="str">
        <f t="shared" ca="1" si="9"/>
        <v>-</v>
      </c>
      <c r="AI17" s="10" t="str">
        <f t="shared" ca="1" si="9"/>
        <v>-</v>
      </c>
      <c r="AJ17" s="10" t="str">
        <f t="shared" ca="1" si="9"/>
        <v>-</v>
      </c>
      <c r="AK17" s="10" t="str">
        <f t="shared" ca="1" si="9"/>
        <v>-</v>
      </c>
      <c r="AL17" s="10" t="str">
        <f t="shared" ca="1" si="9"/>
        <v>-</v>
      </c>
      <c r="AM17" s="10" t="str">
        <f t="shared" ca="1" si="9"/>
        <v>-</v>
      </c>
      <c r="AN17" s="10" t="str">
        <f t="shared" ca="1" si="9"/>
        <v>-</v>
      </c>
      <c r="AO17" s="10" t="str">
        <f t="shared" ca="1" si="9"/>
        <v>-</v>
      </c>
      <c r="AP17" s="10" t="str">
        <f t="shared" ca="1" si="9"/>
        <v>-</v>
      </c>
      <c r="AQ17" s="10" t="str">
        <f t="shared" ca="1" si="9"/>
        <v>-</v>
      </c>
      <c r="AR17" s="10" t="str">
        <f t="shared" ca="1" si="9"/>
        <v>-</v>
      </c>
      <c r="AS17" s="10" t="str">
        <f t="shared" ca="1" si="9"/>
        <v>-</v>
      </c>
      <c r="AT17" s="10" t="str">
        <f t="shared" ca="1" si="9"/>
        <v>-</v>
      </c>
      <c r="AU17" s="10" t="str">
        <f t="shared" ca="1" si="9"/>
        <v>-</v>
      </c>
      <c r="AV17" s="10" t="str">
        <f t="shared" ca="1" si="9"/>
        <v>-</v>
      </c>
      <c r="AW17" s="10" t="str">
        <f t="shared" ca="1" si="9"/>
        <v>-</v>
      </c>
      <c r="AX17" s="10" t="str">
        <f t="shared" ca="1" si="9"/>
        <v>-</v>
      </c>
      <c r="AY17" s="10" t="str">
        <f t="shared" ca="1" si="9"/>
        <v>-</v>
      </c>
    </row>
    <row r="18" spans="2:51" ht="13.5" customHeight="1" x14ac:dyDescent="0.15">
      <c r="B18" s="204"/>
      <c r="C18" s="4" t="s">
        <v>30</v>
      </c>
      <c r="D18" s="208">
        <f ca="1">OFFSET(②詳細状況入力!$A$5,MATCH($D$3,②詳細状況入力!$A$5:$A$503,0)-1+1,23)</f>
        <v>0</v>
      </c>
      <c r="E18" s="208"/>
      <c r="F18" s="206">
        <f ca="1">SUM(D18:E20)</f>
        <v>0</v>
      </c>
      <c r="G18" s="206"/>
      <c r="K18" s="195"/>
      <c r="L18" s="8">
        <v>5</v>
      </c>
      <c r="M18" s="10" t="str">
        <f ca="1">IF(L18&lt;=E6,M19+D27,"-")</f>
        <v>-</v>
      </c>
      <c r="N18" s="10" t="str">
        <f ca="1">IF($M$30&lt;&gt;"-",IF($M$18&gt;N3,"浸水なし",IF(N3&gt;=$M$18+$M$30,"水没",N3-$M$18)),"-")</f>
        <v>-</v>
      </c>
      <c r="O18" s="10" t="str">
        <f ca="1">IF($M$30&lt;&gt;"-",IF($M$18&gt;O3,"浸水なし",IF(O3&gt;=$M$18+$M$30,"水没",O3-$M$18)),"-")</f>
        <v>-</v>
      </c>
      <c r="Q18" s="10" t="str">
        <f ca="1">IF($M$30&lt;&gt;"-",IF($M$18&gt;Q3,"浸水なし",IF(Q3&gt;=$M$18+$M$30,"水没",Q3-$M$18)),"-")</f>
        <v>-</v>
      </c>
      <c r="R18" s="10" t="str">
        <f ca="1">IF($M$30&lt;&gt;"-",IF($M$18&gt;R3,"浸水なし",IF(R3&gt;=$M$18+$M$30,"水没",R3-$M$18)),"-")</f>
        <v>-</v>
      </c>
      <c r="S18" s="10" t="str">
        <f ca="1">IF($M$30&lt;&gt;"-",IF($M$18&gt;S3,"浸水なし",IF(S3&gt;=$M$18+$M$30,"水没",S3-$M$18)),"-")</f>
        <v>-</v>
      </c>
      <c r="T18" s="10" t="str">
        <f t="shared" ref="T18:AY18" ca="1" si="10">IF($M$30&lt;&gt;"-",IF($M$18&gt;T3,"浸水なし",IF(T3&gt;=$M$18+$M$30,"水没",T3-$M$18)),"-")</f>
        <v>-</v>
      </c>
      <c r="U18" s="10" t="str">
        <f t="shared" ca="1" si="10"/>
        <v>-</v>
      </c>
      <c r="V18" s="10" t="str">
        <f t="shared" ca="1" si="10"/>
        <v>-</v>
      </c>
      <c r="W18" s="10" t="str">
        <f t="shared" ca="1" si="10"/>
        <v>-</v>
      </c>
      <c r="X18" s="10" t="str">
        <f t="shared" ca="1" si="10"/>
        <v>-</v>
      </c>
      <c r="Y18" s="10" t="str">
        <f t="shared" ca="1" si="10"/>
        <v>-</v>
      </c>
      <c r="Z18" s="10" t="str">
        <f t="shared" ca="1" si="10"/>
        <v>-</v>
      </c>
      <c r="AA18" s="10" t="str">
        <f t="shared" ca="1" si="10"/>
        <v>-</v>
      </c>
      <c r="AB18" s="10" t="str">
        <f t="shared" ca="1" si="10"/>
        <v>-</v>
      </c>
      <c r="AC18" s="10" t="str">
        <f t="shared" ca="1" si="10"/>
        <v>-</v>
      </c>
      <c r="AD18" s="10" t="str">
        <f t="shared" ca="1" si="10"/>
        <v>-</v>
      </c>
      <c r="AE18" s="10" t="str">
        <f t="shared" ca="1" si="10"/>
        <v>-</v>
      </c>
      <c r="AF18" s="10" t="str">
        <f t="shared" ca="1" si="10"/>
        <v>-</v>
      </c>
      <c r="AG18" s="10" t="str">
        <f t="shared" ca="1" si="10"/>
        <v>-</v>
      </c>
      <c r="AH18" s="10" t="str">
        <f t="shared" ca="1" si="10"/>
        <v>-</v>
      </c>
      <c r="AI18" s="10" t="str">
        <f t="shared" ca="1" si="10"/>
        <v>-</v>
      </c>
      <c r="AJ18" s="10" t="str">
        <f t="shared" ca="1" si="10"/>
        <v>-</v>
      </c>
      <c r="AK18" s="10" t="str">
        <f t="shared" ca="1" si="10"/>
        <v>-</v>
      </c>
      <c r="AL18" s="10" t="str">
        <f t="shared" ca="1" si="10"/>
        <v>-</v>
      </c>
      <c r="AM18" s="10" t="str">
        <f t="shared" ca="1" si="10"/>
        <v>-</v>
      </c>
      <c r="AN18" s="10" t="str">
        <f t="shared" ca="1" si="10"/>
        <v>-</v>
      </c>
      <c r="AO18" s="10" t="str">
        <f t="shared" ca="1" si="10"/>
        <v>-</v>
      </c>
      <c r="AP18" s="10" t="str">
        <f t="shared" ca="1" si="10"/>
        <v>-</v>
      </c>
      <c r="AQ18" s="10" t="str">
        <f t="shared" ca="1" si="10"/>
        <v>-</v>
      </c>
      <c r="AR18" s="10" t="str">
        <f t="shared" ca="1" si="10"/>
        <v>-</v>
      </c>
      <c r="AS18" s="10" t="str">
        <f t="shared" ca="1" si="10"/>
        <v>-</v>
      </c>
      <c r="AT18" s="10" t="str">
        <f t="shared" ca="1" si="10"/>
        <v>-</v>
      </c>
      <c r="AU18" s="10" t="str">
        <f t="shared" ca="1" si="10"/>
        <v>-</v>
      </c>
      <c r="AV18" s="10" t="str">
        <f t="shared" ca="1" si="10"/>
        <v>-</v>
      </c>
      <c r="AW18" s="10" t="str">
        <f t="shared" ca="1" si="10"/>
        <v>-</v>
      </c>
      <c r="AX18" s="10" t="str">
        <f t="shared" ca="1" si="10"/>
        <v>-</v>
      </c>
      <c r="AY18" s="10" t="str">
        <f t="shared" ca="1" si="10"/>
        <v>-</v>
      </c>
    </row>
    <row r="19" spans="2:51" ht="13.5" customHeight="1" x14ac:dyDescent="0.15">
      <c r="B19" s="204"/>
      <c r="C19" s="4" t="s">
        <v>33</v>
      </c>
      <c r="D19" s="208">
        <f ca="1">OFFSET(②詳細状況入力!$A$5,MATCH($D$3,②詳細状況入力!$A$5:$A$503,0)-1+2,23)</f>
        <v>0</v>
      </c>
      <c r="E19" s="208"/>
      <c r="K19" s="195"/>
      <c r="L19" s="8">
        <v>4</v>
      </c>
      <c r="M19" s="10" t="str">
        <f ca="1">IF(L19&lt;=E6,M20+D28,"-")</f>
        <v>-</v>
      </c>
      <c r="N19" s="10" t="str">
        <f ca="1">IF($M$31&lt;&gt;"-",IF($M$19&gt;N3,"浸水なし",IF(N3&gt;=$M$19+$M$31,"水没",N3-$M$19)),"-")</f>
        <v>-</v>
      </c>
      <c r="O19" s="10" t="str">
        <f ca="1">IF($M$31&lt;&gt;"-",IF($M$19&gt;O3,"浸水なし",IF(O3&gt;=$M$19+$M$31,"水没",O3-$M$19)),"-")</f>
        <v>-</v>
      </c>
      <c r="Q19" s="10" t="str">
        <f ca="1">IF($M$31&lt;&gt;"-",IF($M$19&gt;Q3,"浸水なし",IF(Q3&gt;=$M$19+$M$31,"水没",Q3-$M$19)),"-")</f>
        <v>-</v>
      </c>
      <c r="R19" s="10" t="str">
        <f ca="1">IF($M$31&lt;&gt;"-",IF($M$19&gt;R3,"浸水なし",IF(R3&gt;=$M$19+$M$31,"水没",R3-$M$19)),"-")</f>
        <v>-</v>
      </c>
      <c r="S19" s="10" t="str">
        <f ca="1">IF($M$31&lt;&gt;"-",IF($M$19&gt;S3,"浸水なし",IF(S3&gt;=$M$19+$M$31,"水没",S3-$M$19)),"-")</f>
        <v>-</v>
      </c>
      <c r="T19" s="10" t="str">
        <f t="shared" ref="T19:AY19" ca="1" si="11">IF($M$31&lt;&gt;"-",IF($M$19&gt;T3,"浸水なし",IF(T3&gt;=$M$19+$M$31,"水没",T3-$M$19)),"-")</f>
        <v>-</v>
      </c>
      <c r="U19" s="10" t="str">
        <f t="shared" ca="1" si="11"/>
        <v>-</v>
      </c>
      <c r="V19" s="10" t="str">
        <f t="shared" ca="1" si="11"/>
        <v>-</v>
      </c>
      <c r="W19" s="10" t="str">
        <f t="shared" ca="1" si="11"/>
        <v>-</v>
      </c>
      <c r="X19" s="10" t="str">
        <f t="shared" ca="1" si="11"/>
        <v>-</v>
      </c>
      <c r="Y19" s="10" t="str">
        <f t="shared" ca="1" si="11"/>
        <v>-</v>
      </c>
      <c r="Z19" s="10" t="str">
        <f t="shared" ca="1" si="11"/>
        <v>-</v>
      </c>
      <c r="AA19" s="10" t="str">
        <f t="shared" ca="1" si="11"/>
        <v>-</v>
      </c>
      <c r="AB19" s="10" t="str">
        <f t="shared" ca="1" si="11"/>
        <v>-</v>
      </c>
      <c r="AC19" s="10" t="str">
        <f t="shared" ca="1" si="11"/>
        <v>-</v>
      </c>
      <c r="AD19" s="10" t="str">
        <f t="shared" ca="1" si="11"/>
        <v>-</v>
      </c>
      <c r="AE19" s="10" t="str">
        <f t="shared" ca="1" si="11"/>
        <v>-</v>
      </c>
      <c r="AF19" s="10" t="str">
        <f t="shared" ca="1" si="11"/>
        <v>-</v>
      </c>
      <c r="AG19" s="10" t="str">
        <f t="shared" ca="1" si="11"/>
        <v>-</v>
      </c>
      <c r="AH19" s="10" t="str">
        <f t="shared" ca="1" si="11"/>
        <v>-</v>
      </c>
      <c r="AI19" s="10" t="str">
        <f t="shared" ca="1" si="11"/>
        <v>-</v>
      </c>
      <c r="AJ19" s="10" t="str">
        <f t="shared" ca="1" si="11"/>
        <v>-</v>
      </c>
      <c r="AK19" s="10" t="str">
        <f t="shared" ca="1" si="11"/>
        <v>-</v>
      </c>
      <c r="AL19" s="10" t="str">
        <f t="shared" ca="1" si="11"/>
        <v>-</v>
      </c>
      <c r="AM19" s="10" t="str">
        <f t="shared" ca="1" si="11"/>
        <v>-</v>
      </c>
      <c r="AN19" s="10" t="str">
        <f t="shared" ca="1" si="11"/>
        <v>-</v>
      </c>
      <c r="AO19" s="10" t="str">
        <f t="shared" ca="1" si="11"/>
        <v>-</v>
      </c>
      <c r="AP19" s="10" t="str">
        <f t="shared" ca="1" si="11"/>
        <v>-</v>
      </c>
      <c r="AQ19" s="10" t="str">
        <f t="shared" ca="1" si="11"/>
        <v>-</v>
      </c>
      <c r="AR19" s="10" t="str">
        <f t="shared" ca="1" si="11"/>
        <v>-</v>
      </c>
      <c r="AS19" s="10" t="str">
        <f t="shared" ca="1" si="11"/>
        <v>-</v>
      </c>
      <c r="AT19" s="10" t="str">
        <f t="shared" ca="1" si="11"/>
        <v>-</v>
      </c>
      <c r="AU19" s="10" t="str">
        <f t="shared" ca="1" si="11"/>
        <v>-</v>
      </c>
      <c r="AV19" s="10" t="str">
        <f t="shared" ca="1" si="11"/>
        <v>-</v>
      </c>
      <c r="AW19" s="10" t="str">
        <f t="shared" ca="1" si="11"/>
        <v>-</v>
      </c>
      <c r="AX19" s="10" t="str">
        <f t="shared" ca="1" si="11"/>
        <v>-</v>
      </c>
      <c r="AY19" s="10" t="str">
        <f t="shared" ca="1" si="11"/>
        <v>-</v>
      </c>
    </row>
    <row r="20" spans="2:51" x14ac:dyDescent="0.15">
      <c r="B20" s="205"/>
      <c r="C20" s="4" t="s">
        <v>49</v>
      </c>
      <c r="D20" s="208">
        <f ca="1">OFFSET(②詳細状況入力!$A$5,MATCH($D$3,②詳細状況入力!$A$5:$A$503,0)-1+3,23)</f>
        <v>0</v>
      </c>
      <c r="E20" s="208"/>
      <c r="K20" s="195"/>
      <c r="L20" s="8">
        <v>3</v>
      </c>
      <c r="M20" s="10" t="str">
        <f ca="1">IF(L20&lt;=E6,M21+D29,"-")</f>
        <v>-</v>
      </c>
      <c r="N20" s="10" t="str">
        <f ca="1">IF($M$32&lt;&gt;"-",IF($M$20&gt;N3,"浸水なし",IF(N3&gt;=$M$20+$M$32,"水没",N3-$M$20)),"-")</f>
        <v>-</v>
      </c>
      <c r="O20" s="10" t="str">
        <f ca="1">IF($M$32&lt;&gt;"-",IF($M$20&gt;O3,"浸水なし",IF(O3&gt;=$M$20+$M$32,"水没",O3-$M$20)),"-")</f>
        <v>-</v>
      </c>
      <c r="Q20" s="10" t="str">
        <f ca="1">IF($M$32&lt;&gt;"-",IF($M$20&gt;Q3,"浸水なし",IF(Q3&gt;=$M$20+$M$32,"水没",Q3-$M$20)),"-")</f>
        <v>-</v>
      </c>
      <c r="R20" s="10" t="str">
        <f ca="1">IF($M$32&lt;&gt;"-",IF($M$20&gt;R3,"浸水なし",IF(R3&gt;=$M$20+$M$32,"水没",R3-$M$20)),"-")</f>
        <v>-</v>
      </c>
      <c r="S20" s="10" t="str">
        <f ca="1">IF($M$32&lt;&gt;"-",IF($M$20&gt;S3,"浸水なし",IF(S3&gt;=$M$20+$M$32,"水没",S3-$M$20)),"-")</f>
        <v>-</v>
      </c>
      <c r="T20" s="10" t="str">
        <f t="shared" ref="T20:AY20" ca="1" si="12">IF($M$32&lt;&gt;"-",IF($M$20&gt;T3,"浸水なし",IF(T3&gt;=$M$20+$M$32,"水没",T3-$M$20)),"-")</f>
        <v>-</v>
      </c>
      <c r="U20" s="10" t="str">
        <f t="shared" ca="1" si="12"/>
        <v>-</v>
      </c>
      <c r="V20" s="10" t="str">
        <f t="shared" ca="1" si="12"/>
        <v>-</v>
      </c>
      <c r="W20" s="10" t="str">
        <f t="shared" ca="1" si="12"/>
        <v>-</v>
      </c>
      <c r="X20" s="10" t="str">
        <f t="shared" ca="1" si="12"/>
        <v>-</v>
      </c>
      <c r="Y20" s="10" t="str">
        <f t="shared" ca="1" si="12"/>
        <v>-</v>
      </c>
      <c r="Z20" s="10" t="str">
        <f t="shared" ca="1" si="12"/>
        <v>-</v>
      </c>
      <c r="AA20" s="10" t="str">
        <f t="shared" ca="1" si="12"/>
        <v>-</v>
      </c>
      <c r="AB20" s="10" t="str">
        <f t="shared" ca="1" si="12"/>
        <v>-</v>
      </c>
      <c r="AC20" s="10" t="str">
        <f t="shared" ca="1" si="12"/>
        <v>-</v>
      </c>
      <c r="AD20" s="10" t="str">
        <f t="shared" ca="1" si="12"/>
        <v>-</v>
      </c>
      <c r="AE20" s="10" t="str">
        <f t="shared" ca="1" si="12"/>
        <v>-</v>
      </c>
      <c r="AF20" s="10" t="str">
        <f t="shared" ca="1" si="12"/>
        <v>-</v>
      </c>
      <c r="AG20" s="10" t="str">
        <f t="shared" ca="1" si="12"/>
        <v>-</v>
      </c>
      <c r="AH20" s="10" t="str">
        <f t="shared" ca="1" si="12"/>
        <v>-</v>
      </c>
      <c r="AI20" s="10" t="str">
        <f t="shared" ca="1" si="12"/>
        <v>-</v>
      </c>
      <c r="AJ20" s="10" t="str">
        <f t="shared" ca="1" si="12"/>
        <v>-</v>
      </c>
      <c r="AK20" s="10" t="str">
        <f t="shared" ca="1" si="12"/>
        <v>-</v>
      </c>
      <c r="AL20" s="10" t="str">
        <f t="shared" ca="1" si="12"/>
        <v>-</v>
      </c>
      <c r="AM20" s="10" t="str">
        <f t="shared" ca="1" si="12"/>
        <v>-</v>
      </c>
      <c r="AN20" s="10" t="str">
        <f t="shared" ca="1" si="12"/>
        <v>-</v>
      </c>
      <c r="AO20" s="10" t="str">
        <f t="shared" ca="1" si="12"/>
        <v>-</v>
      </c>
      <c r="AP20" s="10" t="str">
        <f t="shared" ca="1" si="12"/>
        <v>-</v>
      </c>
      <c r="AQ20" s="10" t="str">
        <f t="shared" ca="1" si="12"/>
        <v>-</v>
      </c>
      <c r="AR20" s="10" t="str">
        <f t="shared" ca="1" si="12"/>
        <v>-</v>
      </c>
      <c r="AS20" s="10" t="str">
        <f t="shared" ca="1" si="12"/>
        <v>-</v>
      </c>
      <c r="AT20" s="10" t="str">
        <f t="shared" ca="1" si="12"/>
        <v>-</v>
      </c>
      <c r="AU20" s="10" t="str">
        <f t="shared" ca="1" si="12"/>
        <v>-</v>
      </c>
      <c r="AV20" s="10" t="str">
        <f t="shared" ca="1" si="12"/>
        <v>-</v>
      </c>
      <c r="AW20" s="10" t="str">
        <f t="shared" ca="1" si="12"/>
        <v>-</v>
      </c>
      <c r="AX20" s="10" t="str">
        <f t="shared" ca="1" si="12"/>
        <v>-</v>
      </c>
      <c r="AY20" s="10" t="str">
        <f t="shared" ca="1" si="12"/>
        <v>-</v>
      </c>
    </row>
    <row r="21" spans="2:51" x14ac:dyDescent="0.15">
      <c r="K21" s="195"/>
      <c r="L21" s="8">
        <v>2</v>
      </c>
      <c r="M21" s="10" t="str">
        <f ca="1">IF(L21&lt;=E6,M22+D30,"-")</f>
        <v>-</v>
      </c>
      <c r="N21" s="10" t="str">
        <f ca="1">IF($M$33&lt;&gt;"-",IF($M$21&gt;N3,"浸水なし",IF(N3&gt;=$M$21+$M$33,"水没",N3-$M$21)),"-")</f>
        <v>-</v>
      </c>
      <c r="O21" s="10" t="str">
        <f ca="1">IF($M$33&lt;&gt;"-",IF($M$21&gt;O3,"浸水なし",IF(O3&gt;=$M$21+$M$33,"水没",O3-$M$21)),"-")</f>
        <v>-</v>
      </c>
      <c r="Q21" s="10" t="str">
        <f ca="1">IF($M$33&lt;&gt;"-",IF($M$21&gt;Q3,"浸水なし",IF(Q3&gt;=$M$21+$M$33,"水没",Q3-$M$21)),"-")</f>
        <v>-</v>
      </c>
      <c r="R21" s="10" t="str">
        <f ca="1">IF($M$33&lt;&gt;"-",IF($M$21&gt;R3,"浸水なし",IF(R3&gt;=$M$21+$M$33,"水没",R3-$M$21)),"-")</f>
        <v>-</v>
      </c>
      <c r="S21" s="10" t="str">
        <f ca="1">IF($M$33&lt;&gt;"-",IF($M$21&gt;S3,"浸水なし",IF(S3&gt;=$M$21+$M$33,"水没",S3-$M$21)),"-")</f>
        <v>-</v>
      </c>
      <c r="T21" s="10" t="str">
        <f t="shared" ref="T21:AY21" ca="1" si="13">IF($M$33&lt;&gt;"-",IF($M$21&gt;T3,"浸水なし",IF(T3&gt;=$M$21+$M$33,"水没",T3-$M$21)),"-")</f>
        <v>-</v>
      </c>
      <c r="U21" s="10" t="str">
        <f t="shared" ca="1" si="13"/>
        <v>-</v>
      </c>
      <c r="V21" s="10" t="str">
        <f t="shared" ca="1" si="13"/>
        <v>-</v>
      </c>
      <c r="W21" s="10" t="str">
        <f t="shared" ca="1" si="13"/>
        <v>-</v>
      </c>
      <c r="X21" s="10" t="str">
        <f t="shared" ca="1" si="13"/>
        <v>-</v>
      </c>
      <c r="Y21" s="10" t="str">
        <f t="shared" ca="1" si="13"/>
        <v>-</v>
      </c>
      <c r="Z21" s="10" t="str">
        <f t="shared" ca="1" si="13"/>
        <v>-</v>
      </c>
      <c r="AA21" s="10" t="str">
        <f t="shared" ca="1" si="13"/>
        <v>-</v>
      </c>
      <c r="AB21" s="10" t="str">
        <f t="shared" ca="1" si="13"/>
        <v>-</v>
      </c>
      <c r="AC21" s="10" t="str">
        <f t="shared" ca="1" si="13"/>
        <v>-</v>
      </c>
      <c r="AD21" s="10" t="str">
        <f t="shared" ca="1" si="13"/>
        <v>-</v>
      </c>
      <c r="AE21" s="10" t="str">
        <f t="shared" ca="1" si="13"/>
        <v>-</v>
      </c>
      <c r="AF21" s="10" t="str">
        <f t="shared" ca="1" si="13"/>
        <v>-</v>
      </c>
      <c r="AG21" s="10" t="str">
        <f t="shared" ca="1" si="13"/>
        <v>-</v>
      </c>
      <c r="AH21" s="10" t="str">
        <f t="shared" ca="1" si="13"/>
        <v>-</v>
      </c>
      <c r="AI21" s="10" t="str">
        <f t="shared" ca="1" si="13"/>
        <v>-</v>
      </c>
      <c r="AJ21" s="10" t="str">
        <f t="shared" ca="1" si="13"/>
        <v>-</v>
      </c>
      <c r="AK21" s="10" t="str">
        <f t="shared" ca="1" si="13"/>
        <v>-</v>
      </c>
      <c r="AL21" s="10" t="str">
        <f t="shared" ca="1" si="13"/>
        <v>-</v>
      </c>
      <c r="AM21" s="10" t="str">
        <f t="shared" ca="1" si="13"/>
        <v>-</v>
      </c>
      <c r="AN21" s="10" t="str">
        <f t="shared" ca="1" si="13"/>
        <v>-</v>
      </c>
      <c r="AO21" s="10" t="str">
        <f t="shared" ca="1" si="13"/>
        <v>-</v>
      </c>
      <c r="AP21" s="10" t="str">
        <f t="shared" ca="1" si="13"/>
        <v>-</v>
      </c>
      <c r="AQ21" s="10" t="str">
        <f t="shared" ca="1" si="13"/>
        <v>-</v>
      </c>
      <c r="AR21" s="10" t="str">
        <f t="shared" ca="1" si="13"/>
        <v>-</v>
      </c>
      <c r="AS21" s="10" t="str">
        <f t="shared" ca="1" si="13"/>
        <v>-</v>
      </c>
      <c r="AT21" s="10" t="str">
        <f t="shared" ca="1" si="13"/>
        <v>-</v>
      </c>
      <c r="AU21" s="10" t="str">
        <f t="shared" ca="1" si="13"/>
        <v>-</v>
      </c>
      <c r="AV21" s="10" t="str">
        <f t="shared" ca="1" si="13"/>
        <v>-</v>
      </c>
      <c r="AW21" s="10" t="str">
        <f t="shared" ca="1" si="13"/>
        <v>-</v>
      </c>
      <c r="AX21" s="10" t="str">
        <f t="shared" ca="1" si="13"/>
        <v>-</v>
      </c>
      <c r="AY21" s="10" t="str">
        <f t="shared" ca="1" si="13"/>
        <v>-</v>
      </c>
    </row>
    <row r="22" spans="2:51" x14ac:dyDescent="0.15">
      <c r="B22" s="199" t="s">
        <v>59</v>
      </c>
      <c r="C22" s="15" t="s">
        <v>28</v>
      </c>
      <c r="D22" s="15" t="s">
        <v>47</v>
      </c>
      <c r="E22" s="15" t="s">
        <v>52</v>
      </c>
      <c r="F22" s="15" t="s">
        <v>50</v>
      </c>
      <c r="G22" s="15" t="s">
        <v>51</v>
      </c>
      <c r="K22" s="195"/>
      <c r="L22" s="8">
        <v>1</v>
      </c>
      <c r="M22" s="10">
        <f ca="1">E10</f>
        <v>0</v>
      </c>
      <c r="N22" s="10" t="str">
        <f ca="1">IF($M$34&lt;&gt;"-",IF(N3&gt;0,IF(N3&lt;$M$22,IF($E$7&gt;=1,"浸水なし","床下浸水"),IF(N3&gt;=$M$22+$M$34,"水没",N3-$M$22)),"浸水なし"),"-")</f>
        <v>-</v>
      </c>
      <c r="O22" s="10" t="str">
        <f ca="1">IF($M$34&lt;&gt;"-",IF(O3&gt;0,IF(O3&lt;$M$22,IF($E$7&gt;=1,"浸水なし","床下浸水"),IF(O3&gt;=$M$22+$M$34,"水没",O3-$M$22)),"浸水なし"),"-")</f>
        <v>-</v>
      </c>
      <c r="Q22" s="10" t="str">
        <f t="shared" ref="Q22:AY22" ca="1" si="14">IF($M$34&lt;&gt;"-",IF(Q3&gt;0,IF(Q3&lt;$M$22,IF($E$7&gt;=1,"浸水なし","床下浸水"),IF(Q3&gt;=$M$22+$M$34,"水没",Q3-$M$22)),"浸水なし"),"-")</f>
        <v>-</v>
      </c>
      <c r="R22" s="10" t="str">
        <f t="shared" ca="1" si="14"/>
        <v>-</v>
      </c>
      <c r="S22" s="10" t="str">
        <f t="shared" ca="1" si="14"/>
        <v>-</v>
      </c>
      <c r="T22" s="10" t="str">
        <f t="shared" ca="1" si="14"/>
        <v>-</v>
      </c>
      <c r="U22" s="10" t="str">
        <f t="shared" ca="1" si="14"/>
        <v>-</v>
      </c>
      <c r="V22" s="10" t="str">
        <f t="shared" ca="1" si="14"/>
        <v>-</v>
      </c>
      <c r="W22" s="10" t="str">
        <f t="shared" ca="1" si="14"/>
        <v>-</v>
      </c>
      <c r="X22" s="10" t="str">
        <f t="shared" ca="1" si="14"/>
        <v>-</v>
      </c>
      <c r="Y22" s="10" t="str">
        <f t="shared" ca="1" si="14"/>
        <v>-</v>
      </c>
      <c r="Z22" s="10" t="str">
        <f t="shared" ca="1" si="14"/>
        <v>-</v>
      </c>
      <c r="AA22" s="10" t="str">
        <f t="shared" ca="1" si="14"/>
        <v>-</v>
      </c>
      <c r="AB22" s="10" t="str">
        <f t="shared" ca="1" si="14"/>
        <v>-</v>
      </c>
      <c r="AC22" s="10" t="str">
        <f t="shared" ca="1" si="14"/>
        <v>-</v>
      </c>
      <c r="AD22" s="10" t="str">
        <f t="shared" ca="1" si="14"/>
        <v>-</v>
      </c>
      <c r="AE22" s="10" t="str">
        <f t="shared" ca="1" si="14"/>
        <v>-</v>
      </c>
      <c r="AF22" s="10" t="str">
        <f t="shared" ca="1" si="14"/>
        <v>-</v>
      </c>
      <c r="AG22" s="10" t="str">
        <f t="shared" ca="1" si="14"/>
        <v>-</v>
      </c>
      <c r="AH22" s="10" t="str">
        <f t="shared" ca="1" si="14"/>
        <v>-</v>
      </c>
      <c r="AI22" s="10" t="str">
        <f t="shared" ca="1" si="14"/>
        <v>-</v>
      </c>
      <c r="AJ22" s="10" t="str">
        <f t="shared" ca="1" si="14"/>
        <v>-</v>
      </c>
      <c r="AK22" s="10" t="str">
        <f t="shared" ca="1" si="14"/>
        <v>-</v>
      </c>
      <c r="AL22" s="10" t="str">
        <f t="shared" ca="1" si="14"/>
        <v>-</v>
      </c>
      <c r="AM22" s="10" t="str">
        <f t="shared" ca="1" si="14"/>
        <v>-</v>
      </c>
      <c r="AN22" s="10" t="str">
        <f t="shared" ca="1" si="14"/>
        <v>-</v>
      </c>
      <c r="AO22" s="10" t="str">
        <f t="shared" ca="1" si="14"/>
        <v>-</v>
      </c>
      <c r="AP22" s="10" t="str">
        <f t="shared" ca="1" si="14"/>
        <v>-</v>
      </c>
      <c r="AQ22" s="10" t="str">
        <f t="shared" ca="1" si="14"/>
        <v>-</v>
      </c>
      <c r="AR22" s="10" t="str">
        <f t="shared" ca="1" si="14"/>
        <v>-</v>
      </c>
      <c r="AS22" s="10" t="str">
        <f t="shared" ca="1" si="14"/>
        <v>-</v>
      </c>
      <c r="AT22" s="10" t="str">
        <f t="shared" ca="1" si="14"/>
        <v>-</v>
      </c>
      <c r="AU22" s="10" t="str">
        <f t="shared" ca="1" si="14"/>
        <v>-</v>
      </c>
      <c r="AV22" s="10" t="str">
        <f t="shared" ca="1" si="14"/>
        <v>-</v>
      </c>
      <c r="AW22" s="10" t="str">
        <f t="shared" ca="1" si="14"/>
        <v>-</v>
      </c>
      <c r="AX22" s="10" t="str">
        <f t="shared" ca="1" si="14"/>
        <v>-</v>
      </c>
      <c r="AY22" s="10" t="str">
        <f t="shared" ca="1" si="14"/>
        <v>-</v>
      </c>
    </row>
    <row r="23" spans="2:51" x14ac:dyDescent="0.15">
      <c r="B23" s="200"/>
      <c r="C23" s="20" t="s">
        <v>56</v>
      </c>
      <c r="D23" s="72">
        <f ca="1">OFFSET(②詳細状況入力!$A$5,MATCH($D$3,②詳細状況入力!$A$5:$A$503,0)-1+0,38)</f>
        <v>0</v>
      </c>
      <c r="E23" s="73" t="str">
        <f ca="1">OFFSET(②詳細状況入力!$A$5,MATCH($D$3,②詳細状況入力!$A$5:$A$503,0)-1+1,38)</f>
        <v>-</v>
      </c>
      <c r="F23" s="73">
        <f ca="1">OFFSET(②詳細状況入力!$A$5,MATCH($D$3,②詳細状況入力!$A$5:$A$503,0)-1+2,38)</f>
        <v>0</v>
      </c>
      <c r="G23" s="73">
        <f ca="1">OFFSET(②詳細状況入力!$A$5,MATCH($D$3,②詳細状況入力!$A$5:$A$503,0)-1+3,38)</f>
        <v>0</v>
      </c>
      <c r="K23" s="195"/>
      <c r="L23" s="7" t="s">
        <v>36</v>
      </c>
      <c r="M23" s="7" t="str">
        <f ca="1">IF(E7&gt;=1,"あり","-")</f>
        <v>-</v>
      </c>
      <c r="N23" s="7" t="str">
        <f ca="1">IF(AND($M$23="あり",N3&gt;0),"水没","-")</f>
        <v>-</v>
      </c>
      <c r="O23" s="7" t="str">
        <f ca="1">IF(AND($M$23="あり",O3&gt;0),"水没","-")</f>
        <v>-</v>
      </c>
      <c r="Q23" s="7" t="str">
        <f ca="1">IF(AND($M$23="あり",Q3&gt;0),"水没","-")</f>
        <v>-</v>
      </c>
      <c r="R23" s="7" t="str">
        <f ca="1">IF(AND($M$23="あり",R3&gt;0),"水没","-")</f>
        <v>-</v>
      </c>
      <c r="S23" s="7" t="str">
        <f ca="1">IF(AND($M$23="あり",S3&gt;0),"水没","-")</f>
        <v>-</v>
      </c>
      <c r="T23" s="7" t="str">
        <f t="shared" ref="T23:AY23" ca="1" si="15">IF(AND($M$23="あり",T3&gt;0),"水没","-")</f>
        <v>-</v>
      </c>
      <c r="U23" s="7" t="str">
        <f t="shared" ca="1" si="15"/>
        <v>-</v>
      </c>
      <c r="V23" s="7" t="str">
        <f t="shared" ca="1" si="15"/>
        <v>-</v>
      </c>
      <c r="W23" s="7" t="str">
        <f t="shared" ca="1" si="15"/>
        <v>-</v>
      </c>
      <c r="X23" s="7" t="str">
        <f t="shared" ca="1" si="15"/>
        <v>-</v>
      </c>
      <c r="Y23" s="7" t="str">
        <f t="shared" ca="1" si="15"/>
        <v>-</v>
      </c>
      <c r="Z23" s="7" t="str">
        <f t="shared" ca="1" si="15"/>
        <v>-</v>
      </c>
      <c r="AA23" s="7" t="str">
        <f t="shared" ca="1" si="15"/>
        <v>-</v>
      </c>
      <c r="AB23" s="7" t="str">
        <f t="shared" ca="1" si="15"/>
        <v>-</v>
      </c>
      <c r="AC23" s="7" t="str">
        <f t="shared" ca="1" si="15"/>
        <v>-</v>
      </c>
      <c r="AD23" s="7" t="str">
        <f t="shared" ca="1" si="15"/>
        <v>-</v>
      </c>
      <c r="AE23" s="7" t="str">
        <f t="shared" ca="1" si="15"/>
        <v>-</v>
      </c>
      <c r="AF23" s="7" t="str">
        <f t="shared" ca="1" si="15"/>
        <v>-</v>
      </c>
      <c r="AG23" s="7" t="str">
        <f t="shared" ca="1" si="15"/>
        <v>-</v>
      </c>
      <c r="AH23" s="7" t="str">
        <f t="shared" ca="1" si="15"/>
        <v>-</v>
      </c>
      <c r="AI23" s="7" t="str">
        <f t="shared" ca="1" si="15"/>
        <v>-</v>
      </c>
      <c r="AJ23" s="7" t="str">
        <f t="shared" ca="1" si="15"/>
        <v>-</v>
      </c>
      <c r="AK23" s="7" t="str">
        <f t="shared" ca="1" si="15"/>
        <v>-</v>
      </c>
      <c r="AL23" s="7" t="str">
        <f t="shared" ca="1" si="15"/>
        <v>-</v>
      </c>
      <c r="AM23" s="7" t="str">
        <f t="shared" ca="1" si="15"/>
        <v>-</v>
      </c>
      <c r="AN23" s="7" t="str">
        <f t="shared" ca="1" si="15"/>
        <v>-</v>
      </c>
      <c r="AO23" s="7" t="str">
        <f t="shared" ca="1" si="15"/>
        <v>-</v>
      </c>
      <c r="AP23" s="7" t="str">
        <f t="shared" ca="1" si="15"/>
        <v>-</v>
      </c>
      <c r="AQ23" s="7" t="str">
        <f t="shared" ca="1" si="15"/>
        <v>-</v>
      </c>
      <c r="AR23" s="7" t="str">
        <f t="shared" ca="1" si="15"/>
        <v>-</v>
      </c>
      <c r="AS23" s="7" t="str">
        <f t="shared" ca="1" si="15"/>
        <v>-</v>
      </c>
      <c r="AT23" s="7" t="str">
        <f t="shared" ca="1" si="15"/>
        <v>-</v>
      </c>
      <c r="AU23" s="7" t="str">
        <f t="shared" ca="1" si="15"/>
        <v>-</v>
      </c>
      <c r="AV23" s="7" t="str">
        <f t="shared" ca="1" si="15"/>
        <v>-</v>
      </c>
      <c r="AW23" s="7" t="str">
        <f t="shared" ca="1" si="15"/>
        <v>-</v>
      </c>
      <c r="AX23" s="7" t="str">
        <f t="shared" ca="1" si="15"/>
        <v>-</v>
      </c>
      <c r="AY23" s="7" t="str">
        <f t="shared" ca="1" si="15"/>
        <v>-</v>
      </c>
    </row>
    <row r="24" spans="2:51" x14ac:dyDescent="0.15">
      <c r="B24" s="201"/>
      <c r="C24" s="7" t="s">
        <v>45</v>
      </c>
      <c r="D24" s="72" t="str">
        <f ca="1">OFFSET(②詳細状況入力!$A$5,MATCH($D$3,②詳細状況入力!$A$5:$A$503,0)-1+0,37)</f>
        <v>-</v>
      </c>
      <c r="E24" s="73">
        <f ca="1">OFFSET(②詳細状況入力!$A$5,MATCH($D$3,②詳細状況入力!$A$5:$A$503,0)-1+1,37)</f>
        <v>0</v>
      </c>
      <c r="F24" s="73">
        <f ca="1">OFFSET(②詳細状況入力!$A$5,MATCH($D$3,②詳細状況入力!$A$5:$A$503,0)-1+2,37)</f>
        <v>0</v>
      </c>
      <c r="G24" s="73">
        <f ca="1">OFFSET(②詳細状況入力!$A$5,MATCH($D$3,②詳細状況入力!$A$5:$A$503,0)-1+3,37)</f>
        <v>0</v>
      </c>
      <c r="K24" s="195"/>
      <c r="L24" s="7" t="s">
        <v>4</v>
      </c>
      <c r="M24" s="10">
        <f ca="1">IF(E7&gt;=1,"地下",0)</f>
        <v>0</v>
      </c>
      <c r="N24" s="10" t="str">
        <f ca="1">IF($M$36&lt;&gt;"地下",IF($M$24&gt;=N3,"浸水なし",IF(N3&gt;=$M$24+$M$36,"水没",N3-$M$24)),IF(N3&gt;0,"水没","-"))</f>
        <v>浸水なし</v>
      </c>
      <c r="O24" s="10" t="str">
        <f ca="1">IF($M$36&lt;&gt;"地下",IF($M$24&gt;=O3,"浸水なし",IF(O3&gt;=$M$24+$M$36,"水没",O3-$M$24)),IF(O3&gt;0,"水没","-"))</f>
        <v>浸水なし</v>
      </c>
      <c r="Q24" s="10" t="str">
        <f ca="1">IF($M$36&lt;&gt;"地下",IF($M$24&gt;=Q3,"浸水なし",IF(Q3&gt;=$M$24+$M$36,"水没",Q3-$M$24)),IF(Q3&gt;0,"水没","-"))</f>
        <v>浸水なし</v>
      </c>
      <c r="R24" s="10" t="str">
        <f ca="1">IF($M$36&lt;&gt;"地下",IF($M$24&gt;=R3,"浸水なし",IF(R3&gt;=$M$24+$M$36,"水没",R3-$M$24)),IF(R3&gt;0,"水没","-"))</f>
        <v>水没</v>
      </c>
      <c r="S24" s="10" t="str">
        <f ca="1">IF($M$36&lt;&gt;"地下",IF($M$24&gt;=S3,"浸水なし",IF(S3&gt;=$M$24+$M$36,"水没",S3-$M$24)),IF(S3&gt;0,"水没","-"))</f>
        <v>水没</v>
      </c>
      <c r="T24" s="10" t="str">
        <f t="shared" ref="T24:AY24" ca="1" si="16">IF($M$36&lt;&gt;"地下",IF($M$24&gt;=T3,"浸水なし",IF(T3&gt;=$M$24+$M$36,"水没",T3-$M$24)),IF(T3&gt;0,"水没","-"))</f>
        <v>水没</v>
      </c>
      <c r="U24" s="10" t="str">
        <f t="shared" ca="1" si="16"/>
        <v>水没</v>
      </c>
      <c r="V24" s="10" t="str">
        <f t="shared" ca="1" si="16"/>
        <v>水没</v>
      </c>
      <c r="W24" s="10" t="str">
        <f t="shared" ca="1" si="16"/>
        <v>水没</v>
      </c>
      <c r="X24" s="10" t="str">
        <f t="shared" ca="1" si="16"/>
        <v>水没</v>
      </c>
      <c r="Y24" s="10" t="str">
        <f t="shared" ca="1" si="16"/>
        <v>水没</v>
      </c>
      <c r="Z24" s="10" t="str">
        <f t="shared" ca="1" si="16"/>
        <v>水没</v>
      </c>
      <c r="AA24" s="10" t="str">
        <f t="shared" ca="1" si="16"/>
        <v>水没</v>
      </c>
      <c r="AB24" s="10" t="str">
        <f t="shared" ca="1" si="16"/>
        <v>水没</v>
      </c>
      <c r="AC24" s="10" t="str">
        <f t="shared" ca="1" si="16"/>
        <v>水没</v>
      </c>
      <c r="AD24" s="10" t="str">
        <f t="shared" ca="1" si="16"/>
        <v>水没</v>
      </c>
      <c r="AE24" s="10" t="str">
        <f t="shared" ca="1" si="16"/>
        <v>水没</v>
      </c>
      <c r="AF24" s="10" t="str">
        <f t="shared" ca="1" si="16"/>
        <v>水没</v>
      </c>
      <c r="AG24" s="10" t="str">
        <f t="shared" ca="1" si="16"/>
        <v>水没</v>
      </c>
      <c r="AH24" s="10" t="str">
        <f t="shared" ca="1" si="16"/>
        <v>水没</v>
      </c>
      <c r="AI24" s="10" t="str">
        <f t="shared" ca="1" si="16"/>
        <v>水没</v>
      </c>
      <c r="AJ24" s="10" t="str">
        <f t="shared" ca="1" si="16"/>
        <v>水没</v>
      </c>
      <c r="AK24" s="10" t="str">
        <f t="shared" ca="1" si="16"/>
        <v>水没</v>
      </c>
      <c r="AL24" s="10" t="str">
        <f t="shared" ca="1" si="16"/>
        <v>水没</v>
      </c>
      <c r="AM24" s="10" t="str">
        <f t="shared" ca="1" si="16"/>
        <v>水没</v>
      </c>
      <c r="AN24" s="10" t="str">
        <f t="shared" ca="1" si="16"/>
        <v>水没</v>
      </c>
      <c r="AO24" s="10" t="str">
        <f t="shared" ca="1" si="16"/>
        <v>水没</v>
      </c>
      <c r="AP24" s="10" t="str">
        <f t="shared" ca="1" si="16"/>
        <v>水没</v>
      </c>
      <c r="AQ24" s="10" t="str">
        <f t="shared" ca="1" si="16"/>
        <v>水没</v>
      </c>
      <c r="AR24" s="10" t="str">
        <f t="shared" ca="1" si="16"/>
        <v>水没</v>
      </c>
      <c r="AS24" s="10" t="str">
        <f t="shared" ca="1" si="16"/>
        <v>水没</v>
      </c>
      <c r="AT24" s="10" t="str">
        <f t="shared" ca="1" si="16"/>
        <v>水没</v>
      </c>
      <c r="AU24" s="10" t="str">
        <f t="shared" ca="1" si="16"/>
        <v>水没</v>
      </c>
      <c r="AV24" s="10" t="str">
        <f t="shared" ca="1" si="16"/>
        <v>水没</v>
      </c>
      <c r="AW24" s="10" t="str">
        <f t="shared" ca="1" si="16"/>
        <v>水没</v>
      </c>
      <c r="AX24" s="10" t="str">
        <f t="shared" ca="1" si="16"/>
        <v>水没</v>
      </c>
      <c r="AY24" s="10" t="str">
        <f t="shared" ca="1" si="16"/>
        <v>水没</v>
      </c>
    </row>
    <row r="25" spans="2:51" x14ac:dyDescent="0.15">
      <c r="B25" s="201"/>
      <c r="C25" s="8">
        <v>6</v>
      </c>
      <c r="D25" s="72" t="str">
        <f ca="1">OFFSET(②詳細状況入力!$A$5,MATCH($D$3,②詳細状況入力!$A$5:$A$503,0)-1+0,36)</f>
        <v>-</v>
      </c>
      <c r="E25" s="73">
        <f ca="1">OFFSET(②詳細状況入力!$A$5,MATCH($D$3,②詳細状況入力!$A$5:$A$503,0)-1+1,36)</f>
        <v>0</v>
      </c>
      <c r="F25" s="73">
        <f ca="1">OFFSET(②詳細状況入力!$A$5,MATCH($D$3,②詳細状況入力!$A$5:$A$503,0)-1+2,36)</f>
        <v>0</v>
      </c>
      <c r="G25" s="73">
        <f ca="1">OFFSET(②詳細状況入力!$A$5,MATCH($D$3,②詳細状況入力!$A$5:$A$503,0)-1+3,36)</f>
        <v>0</v>
      </c>
      <c r="K25"/>
      <c r="L25"/>
      <c r="M25"/>
      <c r="Q25"/>
      <c r="R25"/>
      <c r="S25"/>
      <c r="T25"/>
      <c r="U25"/>
      <c r="V25"/>
      <c r="W25"/>
      <c r="X25"/>
      <c r="Y25"/>
      <c r="Z25"/>
      <c r="AA25"/>
      <c r="AB25"/>
      <c r="AC25"/>
      <c r="AD25"/>
      <c r="AE25"/>
      <c r="AF25"/>
      <c r="AG25"/>
      <c r="AH25"/>
      <c r="AI25"/>
      <c r="AJ25"/>
      <c r="AK25"/>
      <c r="AL25"/>
      <c r="AM25"/>
      <c r="AN25"/>
      <c r="AO25"/>
      <c r="AP25"/>
      <c r="AQ25"/>
      <c r="AR25"/>
      <c r="AS25"/>
      <c r="AT25"/>
      <c r="AU25"/>
      <c r="AV25"/>
      <c r="AW25"/>
      <c r="AX25"/>
      <c r="AY25"/>
    </row>
    <row r="26" spans="2:51" x14ac:dyDescent="0.15">
      <c r="B26" s="201"/>
      <c r="C26" s="8">
        <v>5</v>
      </c>
      <c r="D26" s="72" t="str">
        <f ca="1">OFFSET(②詳細状況入力!$A$5,MATCH($D$3,②詳細状況入力!$A$5:$A$503,0)-1+0,35)</f>
        <v>-</v>
      </c>
      <c r="E26" s="73">
        <f ca="1">OFFSET(②詳細状況入力!$A$5,MATCH($D$3,②詳細状況入力!$A$5:$A$503,0)-1+1,35)</f>
        <v>0</v>
      </c>
      <c r="F26" s="73">
        <f ca="1">OFFSET(②詳細状況入力!$A$5,MATCH($D$3,②詳細状況入力!$A$5:$A$503,0)-1+2,35)</f>
        <v>0</v>
      </c>
      <c r="G26" s="73">
        <f ca="1">OFFSET(②詳細状況入力!$A$5,MATCH($D$3,②詳細状況入力!$A$5:$A$503,0)-1+3,35)</f>
        <v>0</v>
      </c>
      <c r="K26" s="209" t="s">
        <v>108</v>
      </c>
      <c r="L26" s="17" t="s">
        <v>28</v>
      </c>
      <c r="M26" s="15" t="s">
        <v>57</v>
      </c>
      <c r="N26" s="27" t="s">
        <v>103</v>
      </c>
      <c r="O26" s="27" t="s">
        <v>103</v>
      </c>
      <c r="Q26" s="15" t="s">
        <v>103</v>
      </c>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row>
    <row r="27" spans="2:51" x14ac:dyDescent="0.15">
      <c r="B27" s="201"/>
      <c r="C27" s="8">
        <v>4</v>
      </c>
      <c r="D27" s="72" t="str">
        <f ca="1">OFFSET(②詳細状況入力!$A$5,MATCH($D$3,②詳細状況入力!$A$5:$A$503,0)-1+0,34)</f>
        <v>-</v>
      </c>
      <c r="E27" s="73">
        <f ca="1">OFFSET(②詳細状況入力!$A$5,MATCH($D$3,②詳細状況入力!$A$5:$A$503,0)-1+1,34)</f>
        <v>0</v>
      </c>
      <c r="F27" s="73">
        <f ca="1">OFFSET(②詳細状況入力!$A$5,MATCH($D$3,②詳細状況入力!$A$5:$A$503,0)-1+2,34)</f>
        <v>0</v>
      </c>
      <c r="G27" s="73">
        <f ca="1">OFFSET(②詳細状況入力!$A$5,MATCH($D$3,②詳細状況入力!$A$5:$A$503,0)-1+3,34)</f>
        <v>0</v>
      </c>
      <c r="K27" s="195"/>
      <c r="L27" s="7" t="s">
        <v>56</v>
      </c>
      <c r="M27" s="10">
        <f ca="1">E8-E9</f>
        <v>0</v>
      </c>
      <c r="N27" s="11">
        <f ca="1">IF(OR(N15="浸水なし",N15="-"),"-",IF(N15&gt;=$M$27,1,N15/$M$27))</f>
        <v>1</v>
      </c>
      <c r="O27" s="11">
        <f ca="1">IF(OR(O15="浸水なし",O15="-"),"-",IF(O15&gt;=$M$27,1,O15/$M$27))</f>
        <v>1</v>
      </c>
      <c r="Q27" s="11">
        <f ca="1">IF(OR(Q15="浸水なし",Q15="-"),"-",IF(Q15&gt;=$M$27,1,Q15/$M$27))</f>
        <v>1</v>
      </c>
      <c r="R27" s="11">
        <f ca="1">IF(OR(R15="浸水なし",R15="-"),"-",IF(R15&gt;=$M$27,1,R15/$M$27))</f>
        <v>1</v>
      </c>
      <c r="S27" s="11">
        <f ca="1">IF(OR(S15="浸水なし",S15="-"),"-",IF(S15&gt;=$M$27,1,S15/$M$27))</f>
        <v>1</v>
      </c>
      <c r="T27" s="11">
        <f t="shared" ref="T27:AY27" ca="1" si="17">IF(OR(T15="浸水なし",T15="-"),"-",IF(T15&gt;=$M$27,1,T15/$M$27))</f>
        <v>1</v>
      </c>
      <c r="U27" s="11">
        <f t="shared" ca="1" si="17"/>
        <v>1</v>
      </c>
      <c r="V27" s="11">
        <f t="shared" ca="1" si="17"/>
        <v>1</v>
      </c>
      <c r="W27" s="11">
        <f t="shared" ca="1" si="17"/>
        <v>1</v>
      </c>
      <c r="X27" s="11">
        <f t="shared" ca="1" si="17"/>
        <v>1</v>
      </c>
      <c r="Y27" s="11">
        <f t="shared" ca="1" si="17"/>
        <v>1</v>
      </c>
      <c r="Z27" s="11">
        <f t="shared" ca="1" si="17"/>
        <v>1</v>
      </c>
      <c r="AA27" s="11">
        <f t="shared" ca="1" si="17"/>
        <v>1</v>
      </c>
      <c r="AB27" s="11">
        <f t="shared" ca="1" si="17"/>
        <v>1</v>
      </c>
      <c r="AC27" s="11">
        <f t="shared" ca="1" si="17"/>
        <v>1</v>
      </c>
      <c r="AD27" s="11">
        <f t="shared" ca="1" si="17"/>
        <v>1</v>
      </c>
      <c r="AE27" s="11">
        <f t="shared" ca="1" si="17"/>
        <v>1</v>
      </c>
      <c r="AF27" s="11">
        <f t="shared" ca="1" si="17"/>
        <v>1</v>
      </c>
      <c r="AG27" s="11">
        <f t="shared" ca="1" si="17"/>
        <v>1</v>
      </c>
      <c r="AH27" s="11">
        <f t="shared" ca="1" si="17"/>
        <v>1</v>
      </c>
      <c r="AI27" s="11">
        <f t="shared" ca="1" si="17"/>
        <v>1</v>
      </c>
      <c r="AJ27" s="11">
        <f t="shared" ca="1" si="17"/>
        <v>1</v>
      </c>
      <c r="AK27" s="11">
        <f t="shared" ca="1" si="17"/>
        <v>1</v>
      </c>
      <c r="AL27" s="11">
        <f t="shared" ca="1" si="17"/>
        <v>1</v>
      </c>
      <c r="AM27" s="11">
        <f t="shared" ca="1" si="17"/>
        <v>1</v>
      </c>
      <c r="AN27" s="11">
        <f t="shared" ca="1" si="17"/>
        <v>1</v>
      </c>
      <c r="AO27" s="11">
        <f t="shared" ca="1" si="17"/>
        <v>1</v>
      </c>
      <c r="AP27" s="11">
        <f t="shared" ca="1" si="17"/>
        <v>1</v>
      </c>
      <c r="AQ27" s="11">
        <f t="shared" ca="1" si="17"/>
        <v>1</v>
      </c>
      <c r="AR27" s="11">
        <f t="shared" ca="1" si="17"/>
        <v>1</v>
      </c>
      <c r="AS27" s="11">
        <f t="shared" ca="1" si="17"/>
        <v>1</v>
      </c>
      <c r="AT27" s="11">
        <f t="shared" ca="1" si="17"/>
        <v>1</v>
      </c>
      <c r="AU27" s="11">
        <f t="shared" ca="1" si="17"/>
        <v>1</v>
      </c>
      <c r="AV27" s="11">
        <f t="shared" ca="1" si="17"/>
        <v>1</v>
      </c>
      <c r="AW27" s="11">
        <f t="shared" ca="1" si="17"/>
        <v>1</v>
      </c>
      <c r="AX27" s="11">
        <f t="shared" ca="1" si="17"/>
        <v>1</v>
      </c>
      <c r="AY27" s="11">
        <f t="shared" ca="1" si="17"/>
        <v>1</v>
      </c>
    </row>
    <row r="28" spans="2:51" x14ac:dyDescent="0.15">
      <c r="B28" s="201"/>
      <c r="C28" s="8">
        <v>3</v>
      </c>
      <c r="D28" s="72" t="str">
        <f ca="1">OFFSET(②詳細状況入力!$A$5,MATCH($D$3,②詳細状況入力!$A$5:$A$503,0)-1+0,33)</f>
        <v>-</v>
      </c>
      <c r="E28" s="73">
        <f ca="1">OFFSET(②詳細状況入力!$A$5,MATCH($D$3,②詳細状況入力!$A$5:$A$503,0)-1+1,33)</f>
        <v>0</v>
      </c>
      <c r="F28" s="73">
        <f ca="1">OFFSET(②詳細状況入力!$A$5,MATCH($D$3,②詳細状況入力!$A$5:$A$503,0)-1+2,33)</f>
        <v>0</v>
      </c>
      <c r="G28" s="73">
        <f ca="1">OFFSET(②詳細状況入力!$A$5,MATCH($D$3,②詳細状況入力!$A$5:$A$503,0)-1+3,33)</f>
        <v>0</v>
      </c>
      <c r="K28" s="195"/>
      <c r="L28" s="7" t="s">
        <v>45</v>
      </c>
      <c r="M28" s="19" t="s">
        <v>58</v>
      </c>
      <c r="N28" s="19" t="s">
        <v>46</v>
      </c>
      <c r="O28" s="19" t="s">
        <v>46</v>
      </c>
      <c r="Q28" s="19" t="s">
        <v>58</v>
      </c>
      <c r="R28" s="19" t="s">
        <v>46</v>
      </c>
      <c r="S28" s="19" t="s">
        <v>46</v>
      </c>
      <c r="T28" s="19" t="s">
        <v>46</v>
      </c>
      <c r="U28" s="19" t="s">
        <v>46</v>
      </c>
      <c r="V28" s="19" t="s">
        <v>46</v>
      </c>
      <c r="W28" s="19" t="s">
        <v>46</v>
      </c>
      <c r="X28" s="19" t="s">
        <v>46</v>
      </c>
      <c r="Y28" s="19" t="s">
        <v>46</v>
      </c>
      <c r="Z28" s="19" t="s">
        <v>46</v>
      </c>
      <c r="AA28" s="19" t="s">
        <v>46</v>
      </c>
      <c r="AB28" s="19" t="s">
        <v>46</v>
      </c>
      <c r="AC28" s="19" t="s">
        <v>46</v>
      </c>
      <c r="AD28" s="19" t="s">
        <v>46</v>
      </c>
      <c r="AE28" s="19" t="s">
        <v>46</v>
      </c>
      <c r="AF28" s="19" t="s">
        <v>46</v>
      </c>
      <c r="AG28" s="19" t="s">
        <v>46</v>
      </c>
      <c r="AH28" s="19" t="s">
        <v>46</v>
      </c>
      <c r="AI28" s="19" t="s">
        <v>46</v>
      </c>
      <c r="AJ28" s="19" t="s">
        <v>46</v>
      </c>
      <c r="AK28" s="19" t="s">
        <v>46</v>
      </c>
      <c r="AL28" s="19" t="s">
        <v>46</v>
      </c>
      <c r="AM28" s="19" t="s">
        <v>46</v>
      </c>
      <c r="AN28" s="19" t="s">
        <v>46</v>
      </c>
      <c r="AO28" s="19" t="s">
        <v>46</v>
      </c>
      <c r="AP28" s="19" t="s">
        <v>46</v>
      </c>
      <c r="AQ28" s="19" t="s">
        <v>46</v>
      </c>
      <c r="AR28" s="19" t="s">
        <v>46</v>
      </c>
      <c r="AS28" s="19" t="s">
        <v>46</v>
      </c>
      <c r="AT28" s="19" t="s">
        <v>46</v>
      </c>
      <c r="AU28" s="19" t="s">
        <v>46</v>
      </c>
      <c r="AV28" s="19" t="s">
        <v>46</v>
      </c>
      <c r="AW28" s="19" t="s">
        <v>46</v>
      </c>
      <c r="AX28" s="19" t="s">
        <v>46</v>
      </c>
      <c r="AY28" s="19" t="s">
        <v>46</v>
      </c>
    </row>
    <row r="29" spans="2:51" x14ac:dyDescent="0.15">
      <c r="B29" s="201"/>
      <c r="C29" s="8">
        <v>2</v>
      </c>
      <c r="D29" s="72" t="str">
        <f ca="1">OFFSET(②詳細状況入力!$A$5,MATCH($D$3,②詳細状況入力!$A$5:$A$503,0)-1+0,32)</f>
        <v>-</v>
      </c>
      <c r="E29" s="73">
        <f ca="1">OFFSET(②詳細状況入力!$A$5,MATCH($D$3,②詳細状況入力!$A$5:$A$503,0)-1+1,32)</f>
        <v>0</v>
      </c>
      <c r="F29" s="73">
        <f ca="1">OFFSET(②詳細状況入力!$A$5,MATCH($D$3,②詳細状況入力!$A$5:$A$503,0)-1+2,32)</f>
        <v>0</v>
      </c>
      <c r="G29" s="73">
        <f ca="1">OFFSET(②詳細状況入力!$A$5,MATCH($D$3,②詳細状況入力!$A$5:$A$503,0)-1+3,32)</f>
        <v>0</v>
      </c>
      <c r="K29" s="195"/>
      <c r="L29" s="8">
        <v>6</v>
      </c>
      <c r="M29" s="10" t="str">
        <f t="shared" ref="M29:M34" ca="1" si="18">IF(M17&lt;&gt;"-",D25,"-")</f>
        <v>-</v>
      </c>
      <c r="N29" s="11" t="str">
        <f ca="1">IF(OR(N17="浸水なし",N17="-"),"-",IF(N17="水没",1,N17/$M$29))</f>
        <v>-</v>
      </c>
      <c r="O29" s="11" t="str">
        <f ca="1">IF(OR(O17="浸水なし",O17="-"),"-",IF(O17="水没",1,O17/$M$29))</f>
        <v>-</v>
      </c>
      <c r="Q29" s="11" t="str">
        <f ca="1">IF(OR(Q17="浸水なし",Q17="-"),"-",IF(Q17="水没",1,Q17/$M$29))</f>
        <v>-</v>
      </c>
      <c r="R29" s="11" t="str">
        <f ca="1">IF(OR(R17="浸水なし",R17="-"),"-",IF(R17="水没",1,R17/$M$29))</f>
        <v>-</v>
      </c>
      <c r="S29" s="11" t="str">
        <f ca="1">IF(OR(S17="浸水なし",S17="-"),"-",IF(S17="水没",1,S17/$M$29))</f>
        <v>-</v>
      </c>
      <c r="T29" s="11" t="str">
        <f t="shared" ref="T29:AY29" ca="1" si="19">IF(OR(T17="浸水なし",T17="-"),"-",IF(T17="水没",1,T17/$M$29))</f>
        <v>-</v>
      </c>
      <c r="U29" s="11" t="str">
        <f t="shared" ca="1" si="19"/>
        <v>-</v>
      </c>
      <c r="V29" s="11" t="str">
        <f t="shared" ca="1" si="19"/>
        <v>-</v>
      </c>
      <c r="W29" s="11" t="str">
        <f t="shared" ca="1" si="19"/>
        <v>-</v>
      </c>
      <c r="X29" s="11" t="str">
        <f t="shared" ca="1" si="19"/>
        <v>-</v>
      </c>
      <c r="Y29" s="11" t="str">
        <f t="shared" ca="1" si="19"/>
        <v>-</v>
      </c>
      <c r="Z29" s="11" t="str">
        <f t="shared" ca="1" si="19"/>
        <v>-</v>
      </c>
      <c r="AA29" s="11" t="str">
        <f t="shared" ca="1" si="19"/>
        <v>-</v>
      </c>
      <c r="AB29" s="11" t="str">
        <f t="shared" ca="1" si="19"/>
        <v>-</v>
      </c>
      <c r="AC29" s="11" t="str">
        <f t="shared" ca="1" si="19"/>
        <v>-</v>
      </c>
      <c r="AD29" s="11" t="str">
        <f t="shared" ca="1" si="19"/>
        <v>-</v>
      </c>
      <c r="AE29" s="11" t="str">
        <f t="shared" ca="1" si="19"/>
        <v>-</v>
      </c>
      <c r="AF29" s="11" t="str">
        <f t="shared" ca="1" si="19"/>
        <v>-</v>
      </c>
      <c r="AG29" s="11" t="str">
        <f t="shared" ca="1" si="19"/>
        <v>-</v>
      </c>
      <c r="AH29" s="11" t="str">
        <f t="shared" ca="1" si="19"/>
        <v>-</v>
      </c>
      <c r="AI29" s="11" t="str">
        <f t="shared" ca="1" si="19"/>
        <v>-</v>
      </c>
      <c r="AJ29" s="11" t="str">
        <f t="shared" ca="1" si="19"/>
        <v>-</v>
      </c>
      <c r="AK29" s="11" t="str">
        <f t="shared" ca="1" si="19"/>
        <v>-</v>
      </c>
      <c r="AL29" s="11" t="str">
        <f t="shared" ca="1" si="19"/>
        <v>-</v>
      </c>
      <c r="AM29" s="11" t="str">
        <f t="shared" ca="1" si="19"/>
        <v>-</v>
      </c>
      <c r="AN29" s="11" t="str">
        <f t="shared" ca="1" si="19"/>
        <v>-</v>
      </c>
      <c r="AO29" s="11" t="str">
        <f t="shared" ca="1" si="19"/>
        <v>-</v>
      </c>
      <c r="AP29" s="11" t="str">
        <f t="shared" ca="1" si="19"/>
        <v>-</v>
      </c>
      <c r="AQ29" s="11" t="str">
        <f t="shared" ca="1" si="19"/>
        <v>-</v>
      </c>
      <c r="AR29" s="11" t="str">
        <f t="shared" ca="1" si="19"/>
        <v>-</v>
      </c>
      <c r="AS29" s="11" t="str">
        <f t="shared" ca="1" si="19"/>
        <v>-</v>
      </c>
      <c r="AT29" s="11" t="str">
        <f t="shared" ca="1" si="19"/>
        <v>-</v>
      </c>
      <c r="AU29" s="11" t="str">
        <f t="shared" ca="1" si="19"/>
        <v>-</v>
      </c>
      <c r="AV29" s="11" t="str">
        <f t="shared" ca="1" si="19"/>
        <v>-</v>
      </c>
      <c r="AW29" s="11" t="str">
        <f t="shared" ca="1" si="19"/>
        <v>-</v>
      </c>
      <c r="AX29" s="11" t="str">
        <f t="shared" ca="1" si="19"/>
        <v>-</v>
      </c>
      <c r="AY29" s="11" t="str">
        <f t="shared" ca="1" si="19"/>
        <v>-</v>
      </c>
    </row>
    <row r="30" spans="2:51" x14ac:dyDescent="0.15">
      <c r="B30" s="201"/>
      <c r="C30" s="8">
        <v>1</v>
      </c>
      <c r="D30" s="72" t="str">
        <f ca="1">OFFSET(②詳細状況入力!$A$5,MATCH($D$3,②詳細状況入力!$A$5:$A$503,0)-1+0,31)</f>
        <v>-</v>
      </c>
      <c r="E30" s="73">
        <f ca="1">OFFSET(②詳細状況入力!$A$5,MATCH($D$3,②詳細状況入力!$A$5:$A$503,0)-1+1,31)</f>
        <v>0</v>
      </c>
      <c r="F30" s="73">
        <f ca="1">OFFSET(②詳細状況入力!$A$5,MATCH($D$3,②詳細状況入力!$A$5:$A$503,0)-1+2,31)</f>
        <v>0</v>
      </c>
      <c r="G30" s="73">
        <f ca="1">OFFSET(②詳細状況入力!$A$5,MATCH($D$3,②詳細状況入力!$A$5:$A$503,0)-1+3,31)</f>
        <v>0</v>
      </c>
      <c r="K30" s="195"/>
      <c r="L30" s="8">
        <v>5</v>
      </c>
      <c r="M30" s="10" t="str">
        <f t="shared" ca="1" si="18"/>
        <v>-</v>
      </c>
      <c r="N30" s="11" t="str">
        <f ca="1">IF(OR(N18="浸水なし",N18="-"),"-",IF(N18="水没",1,N18/$M$30))</f>
        <v>-</v>
      </c>
      <c r="O30" s="11" t="str">
        <f ca="1">IF(OR(O18="浸水なし",O18="-"),"-",IF(O18="水没",1,O18/$M$30))</f>
        <v>-</v>
      </c>
      <c r="Q30" s="11" t="str">
        <f ca="1">IF(OR(Q18="浸水なし",Q18="-"),"-",IF(Q18="水没",1,Q18/$M$30))</f>
        <v>-</v>
      </c>
      <c r="R30" s="11" t="str">
        <f ca="1">IF(OR(R18="浸水なし",R18="-"),"-",IF(R18="水没",1,R18/$M$30))</f>
        <v>-</v>
      </c>
      <c r="S30" s="11" t="str">
        <f ca="1">IF(OR(S18="浸水なし",S18="-"),"-",IF(S18="水没",1,S18/$M$30))</f>
        <v>-</v>
      </c>
      <c r="T30" s="11" t="str">
        <f t="shared" ref="T30:AY30" ca="1" si="20">IF(OR(T18="浸水なし",T18="-"),"-",IF(T18="水没",1,T18/$M$30))</f>
        <v>-</v>
      </c>
      <c r="U30" s="11" t="str">
        <f t="shared" ca="1" si="20"/>
        <v>-</v>
      </c>
      <c r="V30" s="11" t="str">
        <f t="shared" ca="1" si="20"/>
        <v>-</v>
      </c>
      <c r="W30" s="11" t="str">
        <f t="shared" ca="1" si="20"/>
        <v>-</v>
      </c>
      <c r="X30" s="11" t="str">
        <f t="shared" ca="1" si="20"/>
        <v>-</v>
      </c>
      <c r="Y30" s="11" t="str">
        <f t="shared" ca="1" si="20"/>
        <v>-</v>
      </c>
      <c r="Z30" s="11" t="str">
        <f t="shared" ca="1" si="20"/>
        <v>-</v>
      </c>
      <c r="AA30" s="11" t="str">
        <f t="shared" ca="1" si="20"/>
        <v>-</v>
      </c>
      <c r="AB30" s="11" t="str">
        <f t="shared" ca="1" si="20"/>
        <v>-</v>
      </c>
      <c r="AC30" s="11" t="str">
        <f t="shared" ca="1" si="20"/>
        <v>-</v>
      </c>
      <c r="AD30" s="11" t="str">
        <f t="shared" ca="1" si="20"/>
        <v>-</v>
      </c>
      <c r="AE30" s="11" t="str">
        <f t="shared" ca="1" si="20"/>
        <v>-</v>
      </c>
      <c r="AF30" s="11" t="str">
        <f t="shared" ca="1" si="20"/>
        <v>-</v>
      </c>
      <c r="AG30" s="11" t="str">
        <f t="shared" ca="1" si="20"/>
        <v>-</v>
      </c>
      <c r="AH30" s="11" t="str">
        <f t="shared" ca="1" si="20"/>
        <v>-</v>
      </c>
      <c r="AI30" s="11" t="str">
        <f t="shared" ca="1" si="20"/>
        <v>-</v>
      </c>
      <c r="AJ30" s="11" t="str">
        <f t="shared" ca="1" si="20"/>
        <v>-</v>
      </c>
      <c r="AK30" s="11" t="str">
        <f t="shared" ca="1" si="20"/>
        <v>-</v>
      </c>
      <c r="AL30" s="11" t="str">
        <f t="shared" ca="1" si="20"/>
        <v>-</v>
      </c>
      <c r="AM30" s="11" t="str">
        <f t="shared" ca="1" si="20"/>
        <v>-</v>
      </c>
      <c r="AN30" s="11" t="str">
        <f t="shared" ca="1" si="20"/>
        <v>-</v>
      </c>
      <c r="AO30" s="11" t="str">
        <f t="shared" ca="1" si="20"/>
        <v>-</v>
      </c>
      <c r="AP30" s="11" t="str">
        <f t="shared" ca="1" si="20"/>
        <v>-</v>
      </c>
      <c r="AQ30" s="11" t="str">
        <f t="shared" ca="1" si="20"/>
        <v>-</v>
      </c>
      <c r="AR30" s="11" t="str">
        <f t="shared" ca="1" si="20"/>
        <v>-</v>
      </c>
      <c r="AS30" s="11" t="str">
        <f t="shared" ca="1" si="20"/>
        <v>-</v>
      </c>
      <c r="AT30" s="11" t="str">
        <f t="shared" ca="1" si="20"/>
        <v>-</v>
      </c>
      <c r="AU30" s="11" t="str">
        <f t="shared" ca="1" si="20"/>
        <v>-</v>
      </c>
      <c r="AV30" s="11" t="str">
        <f t="shared" ca="1" si="20"/>
        <v>-</v>
      </c>
      <c r="AW30" s="11" t="str">
        <f t="shared" ca="1" si="20"/>
        <v>-</v>
      </c>
      <c r="AX30" s="11" t="str">
        <f t="shared" ca="1" si="20"/>
        <v>-</v>
      </c>
      <c r="AY30" s="11" t="str">
        <f t="shared" ca="1" si="20"/>
        <v>-</v>
      </c>
    </row>
    <row r="31" spans="2:51" x14ac:dyDescent="0.15">
      <c r="B31" s="201"/>
      <c r="C31" s="7" t="s">
        <v>36</v>
      </c>
      <c r="D31" s="72" t="str">
        <f ca="1">OFFSET(②詳細状況入力!$A$5,MATCH($D$3,②詳細状況入力!$A$5:$A$503,0)-1+0,30)</f>
        <v>-</v>
      </c>
      <c r="E31" s="73">
        <f ca="1">OFFSET(②詳細状況入力!$A$5,MATCH($D$3,②詳細状況入力!$A$5:$A$503,0)-1+1,30)</f>
        <v>0</v>
      </c>
      <c r="F31" s="73">
        <f ca="1">OFFSET(②詳細状況入力!$A$5,MATCH($D$3,②詳細状況入力!$A$5:$A$503,0)-1+2,30)</f>
        <v>0</v>
      </c>
      <c r="G31" s="73">
        <f ca="1">OFFSET(②詳細状況入力!$A$5,MATCH($D$3,②詳細状況入力!$A$5:$A$503,0)-1+3,30)</f>
        <v>0</v>
      </c>
      <c r="K31" s="195"/>
      <c r="L31" s="8">
        <v>4</v>
      </c>
      <c r="M31" s="10" t="str">
        <f t="shared" ca="1" si="18"/>
        <v>-</v>
      </c>
      <c r="N31" s="11" t="str">
        <f ca="1">IF(OR(N19="浸水なし",N19="-"),"-",IF(N19="水没",1,N19/$M$31))</f>
        <v>-</v>
      </c>
      <c r="O31" s="11" t="str">
        <f ca="1">IF(OR(O19="浸水なし",O19="-"),"-",IF(O19="水没",1,O19/$M$31))</f>
        <v>-</v>
      </c>
      <c r="Q31" s="11" t="str">
        <f ca="1">IF(OR(Q19="浸水なし",Q19="-"),"-",IF(Q19="水没",1,Q19/$M$31))</f>
        <v>-</v>
      </c>
      <c r="R31" s="11" t="str">
        <f ca="1">IF(OR(R19="浸水なし",R19="-"),"-",IF(R19="水没",1,R19/$M$31))</f>
        <v>-</v>
      </c>
      <c r="S31" s="11" t="str">
        <f ca="1">IF(OR(S19="浸水なし",S19="-"),"-",IF(S19="水没",1,S19/$M$31))</f>
        <v>-</v>
      </c>
      <c r="T31" s="11" t="str">
        <f t="shared" ref="T31:AY31" ca="1" si="21">IF(OR(T19="浸水なし",T19="-"),"-",IF(T19="水没",1,T19/$M$31))</f>
        <v>-</v>
      </c>
      <c r="U31" s="11" t="str">
        <f t="shared" ca="1" si="21"/>
        <v>-</v>
      </c>
      <c r="V31" s="11" t="str">
        <f t="shared" ca="1" si="21"/>
        <v>-</v>
      </c>
      <c r="W31" s="11" t="str">
        <f t="shared" ca="1" si="21"/>
        <v>-</v>
      </c>
      <c r="X31" s="11" t="str">
        <f t="shared" ca="1" si="21"/>
        <v>-</v>
      </c>
      <c r="Y31" s="11" t="str">
        <f t="shared" ca="1" si="21"/>
        <v>-</v>
      </c>
      <c r="Z31" s="11" t="str">
        <f t="shared" ca="1" si="21"/>
        <v>-</v>
      </c>
      <c r="AA31" s="11" t="str">
        <f t="shared" ca="1" si="21"/>
        <v>-</v>
      </c>
      <c r="AB31" s="11" t="str">
        <f t="shared" ca="1" si="21"/>
        <v>-</v>
      </c>
      <c r="AC31" s="11" t="str">
        <f t="shared" ca="1" si="21"/>
        <v>-</v>
      </c>
      <c r="AD31" s="11" t="str">
        <f t="shared" ca="1" si="21"/>
        <v>-</v>
      </c>
      <c r="AE31" s="11" t="str">
        <f t="shared" ca="1" si="21"/>
        <v>-</v>
      </c>
      <c r="AF31" s="11" t="str">
        <f t="shared" ca="1" si="21"/>
        <v>-</v>
      </c>
      <c r="AG31" s="11" t="str">
        <f t="shared" ca="1" si="21"/>
        <v>-</v>
      </c>
      <c r="AH31" s="11" t="str">
        <f t="shared" ca="1" si="21"/>
        <v>-</v>
      </c>
      <c r="AI31" s="11" t="str">
        <f t="shared" ca="1" si="21"/>
        <v>-</v>
      </c>
      <c r="AJ31" s="11" t="str">
        <f t="shared" ca="1" si="21"/>
        <v>-</v>
      </c>
      <c r="AK31" s="11" t="str">
        <f t="shared" ca="1" si="21"/>
        <v>-</v>
      </c>
      <c r="AL31" s="11" t="str">
        <f t="shared" ca="1" si="21"/>
        <v>-</v>
      </c>
      <c r="AM31" s="11" t="str">
        <f t="shared" ca="1" si="21"/>
        <v>-</v>
      </c>
      <c r="AN31" s="11" t="str">
        <f t="shared" ca="1" si="21"/>
        <v>-</v>
      </c>
      <c r="AO31" s="11" t="str">
        <f t="shared" ca="1" si="21"/>
        <v>-</v>
      </c>
      <c r="AP31" s="11" t="str">
        <f t="shared" ca="1" si="21"/>
        <v>-</v>
      </c>
      <c r="AQ31" s="11" t="str">
        <f t="shared" ca="1" si="21"/>
        <v>-</v>
      </c>
      <c r="AR31" s="11" t="str">
        <f t="shared" ca="1" si="21"/>
        <v>-</v>
      </c>
      <c r="AS31" s="11" t="str">
        <f t="shared" ca="1" si="21"/>
        <v>-</v>
      </c>
      <c r="AT31" s="11" t="str">
        <f t="shared" ca="1" si="21"/>
        <v>-</v>
      </c>
      <c r="AU31" s="11" t="str">
        <f t="shared" ca="1" si="21"/>
        <v>-</v>
      </c>
      <c r="AV31" s="11" t="str">
        <f t="shared" ca="1" si="21"/>
        <v>-</v>
      </c>
      <c r="AW31" s="11" t="str">
        <f t="shared" ca="1" si="21"/>
        <v>-</v>
      </c>
      <c r="AX31" s="11" t="str">
        <f t="shared" ca="1" si="21"/>
        <v>-</v>
      </c>
      <c r="AY31" s="11" t="str">
        <f t="shared" ca="1" si="21"/>
        <v>-</v>
      </c>
    </row>
    <row r="32" spans="2:51" x14ac:dyDescent="0.15">
      <c r="B32" s="202"/>
      <c r="C32" s="198" t="s">
        <v>53</v>
      </c>
      <c r="D32" s="198"/>
      <c r="E32" s="9">
        <f ca="1">SUM(E24:E31)</f>
        <v>0</v>
      </c>
      <c r="F32" s="9">
        <f ca="1">SUM(F23:F31)</f>
        <v>0</v>
      </c>
      <c r="G32" s="9">
        <f ca="1">SUM($G$23:$G$31)</f>
        <v>0</v>
      </c>
      <c r="K32" s="195"/>
      <c r="L32" s="8">
        <v>3</v>
      </c>
      <c r="M32" s="10" t="str">
        <f t="shared" ca="1" si="18"/>
        <v>-</v>
      </c>
      <c r="N32" s="11" t="str">
        <f ca="1">IF(OR(N20="浸水なし",N20="-"),"-",IF(N20="水没",1,N20/$M$32))</f>
        <v>-</v>
      </c>
      <c r="O32" s="11" t="str">
        <f ca="1">IF(OR(O20="浸水なし",O20="-"),"-",IF(O20="水没",1,O20/$M$32))</f>
        <v>-</v>
      </c>
      <c r="Q32" s="11" t="str">
        <f ca="1">IF(OR(Q20="浸水なし",Q20="-"),"-",IF(Q20="水没",1,Q20/$M$32))</f>
        <v>-</v>
      </c>
      <c r="R32" s="11" t="str">
        <f ca="1">IF(OR(R20="浸水なし",R20="-"),"-",IF(R20="水没",1,R20/$M$32))</f>
        <v>-</v>
      </c>
      <c r="S32" s="11" t="str">
        <f ca="1">IF(OR(S20="浸水なし",S20="-"),"-",IF(S20="水没",1,S20/$M$32))</f>
        <v>-</v>
      </c>
      <c r="T32" s="11" t="str">
        <f t="shared" ref="T32:AY32" ca="1" si="22">IF(OR(T20="浸水なし",T20="-"),"-",IF(T20="水没",1,T20/$M$32))</f>
        <v>-</v>
      </c>
      <c r="U32" s="11" t="str">
        <f t="shared" ca="1" si="22"/>
        <v>-</v>
      </c>
      <c r="V32" s="11" t="str">
        <f t="shared" ca="1" si="22"/>
        <v>-</v>
      </c>
      <c r="W32" s="11" t="str">
        <f t="shared" ca="1" si="22"/>
        <v>-</v>
      </c>
      <c r="X32" s="11" t="str">
        <f t="shared" ca="1" si="22"/>
        <v>-</v>
      </c>
      <c r="Y32" s="11" t="str">
        <f t="shared" ca="1" si="22"/>
        <v>-</v>
      </c>
      <c r="Z32" s="11" t="str">
        <f t="shared" ca="1" si="22"/>
        <v>-</v>
      </c>
      <c r="AA32" s="11" t="str">
        <f t="shared" ca="1" si="22"/>
        <v>-</v>
      </c>
      <c r="AB32" s="11" t="str">
        <f t="shared" ca="1" si="22"/>
        <v>-</v>
      </c>
      <c r="AC32" s="11" t="str">
        <f t="shared" ca="1" si="22"/>
        <v>-</v>
      </c>
      <c r="AD32" s="11" t="str">
        <f t="shared" ca="1" si="22"/>
        <v>-</v>
      </c>
      <c r="AE32" s="11" t="str">
        <f t="shared" ca="1" si="22"/>
        <v>-</v>
      </c>
      <c r="AF32" s="11" t="str">
        <f t="shared" ca="1" si="22"/>
        <v>-</v>
      </c>
      <c r="AG32" s="11" t="str">
        <f t="shared" ca="1" si="22"/>
        <v>-</v>
      </c>
      <c r="AH32" s="11" t="str">
        <f t="shared" ca="1" si="22"/>
        <v>-</v>
      </c>
      <c r="AI32" s="11" t="str">
        <f t="shared" ca="1" si="22"/>
        <v>-</v>
      </c>
      <c r="AJ32" s="11" t="str">
        <f t="shared" ca="1" si="22"/>
        <v>-</v>
      </c>
      <c r="AK32" s="11" t="str">
        <f t="shared" ca="1" si="22"/>
        <v>-</v>
      </c>
      <c r="AL32" s="11" t="str">
        <f t="shared" ca="1" si="22"/>
        <v>-</v>
      </c>
      <c r="AM32" s="11" t="str">
        <f t="shared" ca="1" si="22"/>
        <v>-</v>
      </c>
      <c r="AN32" s="11" t="str">
        <f t="shared" ca="1" si="22"/>
        <v>-</v>
      </c>
      <c r="AO32" s="11" t="str">
        <f t="shared" ca="1" si="22"/>
        <v>-</v>
      </c>
      <c r="AP32" s="11" t="str">
        <f t="shared" ca="1" si="22"/>
        <v>-</v>
      </c>
      <c r="AQ32" s="11" t="str">
        <f t="shared" ca="1" si="22"/>
        <v>-</v>
      </c>
      <c r="AR32" s="11" t="str">
        <f t="shared" ca="1" si="22"/>
        <v>-</v>
      </c>
      <c r="AS32" s="11" t="str">
        <f t="shared" ca="1" si="22"/>
        <v>-</v>
      </c>
      <c r="AT32" s="11" t="str">
        <f t="shared" ca="1" si="22"/>
        <v>-</v>
      </c>
      <c r="AU32" s="11" t="str">
        <f t="shared" ca="1" si="22"/>
        <v>-</v>
      </c>
      <c r="AV32" s="11" t="str">
        <f t="shared" ca="1" si="22"/>
        <v>-</v>
      </c>
      <c r="AW32" s="11" t="str">
        <f t="shared" ca="1" si="22"/>
        <v>-</v>
      </c>
      <c r="AX32" s="11" t="str">
        <f t="shared" ca="1" si="22"/>
        <v>-</v>
      </c>
      <c r="AY32" s="11" t="str">
        <f t="shared" ca="1" si="22"/>
        <v>-</v>
      </c>
    </row>
    <row r="33" spans="2:51" x14ac:dyDescent="0.15">
      <c r="K33" s="195"/>
      <c r="L33" s="8">
        <v>2</v>
      </c>
      <c r="M33" s="10" t="str">
        <f t="shared" ca="1" si="18"/>
        <v>-</v>
      </c>
      <c r="N33" s="11" t="str">
        <f ca="1">IF(OR(N21="浸水なし",N21="-"),"-",IF(N21="水没",1,N21/$M$33))</f>
        <v>-</v>
      </c>
      <c r="O33" s="11" t="str">
        <f ca="1">IF(OR(O21="浸水なし",O21="-"),"-",IF(O21="水没",1,O21/$M$33))</f>
        <v>-</v>
      </c>
      <c r="Q33" s="11" t="str">
        <f ca="1">IF(OR(Q21="浸水なし",Q21="-"),"-",IF(Q21="水没",1,Q21/$M$33))</f>
        <v>-</v>
      </c>
      <c r="R33" s="11" t="str">
        <f ca="1">IF(OR(R21="浸水なし",R21="-"),"-",IF(R21="水没",1,R21/$M$33))</f>
        <v>-</v>
      </c>
      <c r="S33" s="11" t="str">
        <f ca="1">IF(OR(S21="浸水なし",S21="-"),"-",IF(S21="水没",1,S21/$M$33))</f>
        <v>-</v>
      </c>
      <c r="T33" s="11" t="str">
        <f t="shared" ref="T33:AY33" ca="1" si="23">IF(OR(T21="浸水なし",T21="-"),"-",IF(T21="水没",1,T21/$M$33))</f>
        <v>-</v>
      </c>
      <c r="U33" s="11" t="str">
        <f t="shared" ca="1" si="23"/>
        <v>-</v>
      </c>
      <c r="V33" s="11" t="str">
        <f t="shared" ca="1" si="23"/>
        <v>-</v>
      </c>
      <c r="W33" s="11" t="str">
        <f t="shared" ca="1" si="23"/>
        <v>-</v>
      </c>
      <c r="X33" s="11" t="str">
        <f t="shared" ca="1" si="23"/>
        <v>-</v>
      </c>
      <c r="Y33" s="11" t="str">
        <f t="shared" ca="1" si="23"/>
        <v>-</v>
      </c>
      <c r="Z33" s="11" t="str">
        <f t="shared" ca="1" si="23"/>
        <v>-</v>
      </c>
      <c r="AA33" s="11" t="str">
        <f t="shared" ca="1" si="23"/>
        <v>-</v>
      </c>
      <c r="AB33" s="11" t="str">
        <f t="shared" ca="1" si="23"/>
        <v>-</v>
      </c>
      <c r="AC33" s="11" t="str">
        <f t="shared" ca="1" si="23"/>
        <v>-</v>
      </c>
      <c r="AD33" s="11" t="str">
        <f t="shared" ca="1" si="23"/>
        <v>-</v>
      </c>
      <c r="AE33" s="11" t="str">
        <f t="shared" ca="1" si="23"/>
        <v>-</v>
      </c>
      <c r="AF33" s="11" t="str">
        <f t="shared" ca="1" si="23"/>
        <v>-</v>
      </c>
      <c r="AG33" s="11" t="str">
        <f t="shared" ca="1" si="23"/>
        <v>-</v>
      </c>
      <c r="AH33" s="11" t="str">
        <f t="shared" ca="1" si="23"/>
        <v>-</v>
      </c>
      <c r="AI33" s="11" t="str">
        <f t="shared" ca="1" si="23"/>
        <v>-</v>
      </c>
      <c r="AJ33" s="11" t="str">
        <f t="shared" ca="1" si="23"/>
        <v>-</v>
      </c>
      <c r="AK33" s="11" t="str">
        <f t="shared" ca="1" si="23"/>
        <v>-</v>
      </c>
      <c r="AL33" s="11" t="str">
        <f t="shared" ca="1" si="23"/>
        <v>-</v>
      </c>
      <c r="AM33" s="11" t="str">
        <f t="shared" ca="1" si="23"/>
        <v>-</v>
      </c>
      <c r="AN33" s="11" t="str">
        <f t="shared" ca="1" si="23"/>
        <v>-</v>
      </c>
      <c r="AO33" s="11" t="str">
        <f t="shared" ca="1" si="23"/>
        <v>-</v>
      </c>
      <c r="AP33" s="11" t="str">
        <f t="shared" ca="1" si="23"/>
        <v>-</v>
      </c>
      <c r="AQ33" s="11" t="str">
        <f t="shared" ca="1" si="23"/>
        <v>-</v>
      </c>
      <c r="AR33" s="11" t="str">
        <f t="shared" ca="1" si="23"/>
        <v>-</v>
      </c>
      <c r="AS33" s="11" t="str">
        <f t="shared" ca="1" si="23"/>
        <v>-</v>
      </c>
      <c r="AT33" s="11" t="str">
        <f t="shared" ca="1" si="23"/>
        <v>-</v>
      </c>
      <c r="AU33" s="11" t="str">
        <f t="shared" ca="1" si="23"/>
        <v>-</v>
      </c>
      <c r="AV33" s="11" t="str">
        <f t="shared" ca="1" si="23"/>
        <v>-</v>
      </c>
      <c r="AW33" s="11" t="str">
        <f t="shared" ca="1" si="23"/>
        <v>-</v>
      </c>
      <c r="AX33" s="11" t="str">
        <f t="shared" ca="1" si="23"/>
        <v>-</v>
      </c>
      <c r="AY33" s="11" t="str">
        <f t="shared" ca="1" si="23"/>
        <v>-</v>
      </c>
    </row>
    <row r="34" spans="2:51" x14ac:dyDescent="0.15">
      <c r="B34" s="13" t="s">
        <v>63</v>
      </c>
      <c r="C34" s="13" t="s">
        <v>62</v>
      </c>
      <c r="D34" s="15" t="s">
        <v>61</v>
      </c>
      <c r="E34" s="15" t="s">
        <v>94</v>
      </c>
      <c r="F34" s="15" t="s">
        <v>95</v>
      </c>
      <c r="G34" s="15" t="s">
        <v>96</v>
      </c>
      <c r="K34" s="195"/>
      <c r="L34" s="8">
        <v>1</v>
      </c>
      <c r="M34" s="10" t="str">
        <f t="shared" ca="1" si="18"/>
        <v>-</v>
      </c>
      <c r="N34" s="11" t="str">
        <f ca="1">IF(OR(N22="浸水なし",N22="-"),"-",IF(N22="床下浸水","床下浸水",IF(N22="水没",1,N22/$M$34)))</f>
        <v>-</v>
      </c>
      <c r="O34" s="11" t="str">
        <f ca="1">IF(OR(O22="浸水なし",O22="-"),"-",IF(O22="床下浸水","床下浸水",IF(O22="水没",1,O22/$M$34)))</f>
        <v>-</v>
      </c>
      <c r="Q34" s="11" t="str">
        <f ca="1">IF(OR(Q22="浸水なし",Q22="-"),"-",IF(Q22="床下浸水","床下浸水",IF(Q22="水没",1,Q22/$M$34)))</f>
        <v>-</v>
      </c>
      <c r="R34" s="11" t="str">
        <f ca="1">IF(OR(R22="浸水なし",R22="-"),"-",IF(R22="床下浸水","床下浸水",IF(R22="水没",1,R22/$M$34)))</f>
        <v>-</v>
      </c>
      <c r="S34" s="11" t="str">
        <f ca="1">IF(OR(S22="浸水なし",S22="-"),"-",IF(S22="床下浸水","床下浸水",IF(S22="水没",1,S22/$M$34)))</f>
        <v>-</v>
      </c>
      <c r="T34" s="11" t="str">
        <f t="shared" ref="T34:AY34" ca="1" si="24">IF(OR(T22="浸水なし",T22="-"),"-",IF(T22="床下浸水","床下浸水",IF(T22="水没",1,T22/$M$34)))</f>
        <v>-</v>
      </c>
      <c r="U34" s="11" t="str">
        <f t="shared" ca="1" si="24"/>
        <v>-</v>
      </c>
      <c r="V34" s="11" t="str">
        <f t="shared" ca="1" si="24"/>
        <v>-</v>
      </c>
      <c r="W34" s="11" t="str">
        <f t="shared" ca="1" si="24"/>
        <v>-</v>
      </c>
      <c r="X34" s="11" t="str">
        <f t="shared" ca="1" si="24"/>
        <v>-</v>
      </c>
      <c r="Y34" s="11" t="str">
        <f t="shared" ca="1" si="24"/>
        <v>-</v>
      </c>
      <c r="Z34" s="11" t="str">
        <f t="shared" ca="1" si="24"/>
        <v>-</v>
      </c>
      <c r="AA34" s="11" t="str">
        <f t="shared" ca="1" si="24"/>
        <v>-</v>
      </c>
      <c r="AB34" s="11" t="str">
        <f t="shared" ca="1" si="24"/>
        <v>-</v>
      </c>
      <c r="AC34" s="11" t="str">
        <f t="shared" ca="1" si="24"/>
        <v>-</v>
      </c>
      <c r="AD34" s="11" t="str">
        <f t="shared" ca="1" si="24"/>
        <v>-</v>
      </c>
      <c r="AE34" s="11" t="str">
        <f t="shared" ca="1" si="24"/>
        <v>-</v>
      </c>
      <c r="AF34" s="11" t="str">
        <f t="shared" ca="1" si="24"/>
        <v>-</v>
      </c>
      <c r="AG34" s="11" t="str">
        <f t="shared" ca="1" si="24"/>
        <v>-</v>
      </c>
      <c r="AH34" s="11" t="str">
        <f t="shared" ca="1" si="24"/>
        <v>-</v>
      </c>
      <c r="AI34" s="11" t="str">
        <f t="shared" ca="1" si="24"/>
        <v>-</v>
      </c>
      <c r="AJ34" s="11" t="str">
        <f t="shared" ca="1" si="24"/>
        <v>-</v>
      </c>
      <c r="AK34" s="11" t="str">
        <f t="shared" ca="1" si="24"/>
        <v>-</v>
      </c>
      <c r="AL34" s="11" t="str">
        <f t="shared" ca="1" si="24"/>
        <v>-</v>
      </c>
      <c r="AM34" s="11" t="str">
        <f t="shared" ca="1" si="24"/>
        <v>-</v>
      </c>
      <c r="AN34" s="11" t="str">
        <f t="shared" ca="1" si="24"/>
        <v>-</v>
      </c>
      <c r="AO34" s="11" t="str">
        <f t="shared" ca="1" si="24"/>
        <v>-</v>
      </c>
      <c r="AP34" s="11" t="str">
        <f t="shared" ca="1" si="24"/>
        <v>-</v>
      </c>
      <c r="AQ34" s="11" t="str">
        <f t="shared" ca="1" si="24"/>
        <v>-</v>
      </c>
      <c r="AR34" s="11" t="str">
        <f t="shared" ca="1" si="24"/>
        <v>-</v>
      </c>
      <c r="AS34" s="11" t="str">
        <f t="shared" ca="1" si="24"/>
        <v>-</v>
      </c>
      <c r="AT34" s="11" t="str">
        <f t="shared" ca="1" si="24"/>
        <v>-</v>
      </c>
      <c r="AU34" s="11" t="str">
        <f t="shared" ca="1" si="24"/>
        <v>-</v>
      </c>
      <c r="AV34" s="11" t="str">
        <f t="shared" ca="1" si="24"/>
        <v>-</v>
      </c>
      <c r="AW34" s="11" t="str">
        <f t="shared" ca="1" si="24"/>
        <v>-</v>
      </c>
      <c r="AX34" s="11" t="str">
        <f t="shared" ca="1" si="24"/>
        <v>-</v>
      </c>
      <c r="AY34" s="11" t="str">
        <f t="shared" ca="1" si="24"/>
        <v>-</v>
      </c>
    </row>
    <row r="35" spans="2:51" x14ac:dyDescent="0.15">
      <c r="B35" s="196" t="s">
        <v>30</v>
      </c>
      <c r="C35" s="13" t="s">
        <v>5</v>
      </c>
      <c r="D35" s="14">
        <f ca="1">OFFSET(【DB】被害率係数!$A$4,MATCH($D$13,【DB】被害率係数!$A$4:$A$19,0)-1,8)</f>
        <v>1</v>
      </c>
      <c r="E35" s="14">
        <f ca="1">OFFSET(【DB】被害率係数!$A$4,MATCH($D$13,【DB】被害率係数!$A$4:$A$19,0)-1,9)</f>
        <v>0</v>
      </c>
      <c r="F35" s="14">
        <f ca="1">OFFSET(【DB】被害率係数!$A$4,MATCH($D$13,【DB】被害率係数!$A$4:$A$19,0)-1,10)</f>
        <v>0</v>
      </c>
      <c r="G35" s="14">
        <f ca="1">OFFSET(【DB】被害率係数!$A$4,MATCH($D$13,【DB】被害率係数!$A$4:$A$19,0)-1,11)</f>
        <v>0</v>
      </c>
      <c r="K35" s="195"/>
      <c r="L35" s="7" t="s">
        <v>36</v>
      </c>
      <c r="M35" s="7" t="str">
        <f ca="1">IF(E7&gt;=1,"あり","-")</f>
        <v>-</v>
      </c>
      <c r="N35" s="11" t="str">
        <f ca="1">IF(OR(N23="浸水なし",N23="-"),"-",IF(N23="水没",1,N23/$M$35))</f>
        <v>-</v>
      </c>
      <c r="O35" s="11" t="str">
        <f ca="1">IF(OR(O23="浸水なし",O23="-"),"-",IF(O23="水没",1,O23/$M$35))</f>
        <v>-</v>
      </c>
      <c r="Q35" s="11" t="str">
        <f ca="1">IF(OR(Q23="浸水なし",Q23="-"),"-",IF(Q23="水没",1,Q23/$M$35))</f>
        <v>-</v>
      </c>
      <c r="R35" s="11" t="str">
        <f ca="1">IF(OR(R23="浸水なし",R23="-"),"-",IF(R23="水没",1,R23/$M$35))</f>
        <v>-</v>
      </c>
      <c r="S35" s="11" t="str">
        <f ca="1">IF(OR(S23="浸水なし",S23="-"),"-",IF(S23="水没",1,S23/$M$35))</f>
        <v>-</v>
      </c>
      <c r="T35" s="11" t="str">
        <f t="shared" ref="T35:AY35" ca="1" si="25">IF(OR(T23="浸水なし",T23="-"),"-",IF(T23="水没",1,T23/$M$35))</f>
        <v>-</v>
      </c>
      <c r="U35" s="11" t="str">
        <f t="shared" ca="1" si="25"/>
        <v>-</v>
      </c>
      <c r="V35" s="11" t="str">
        <f t="shared" ca="1" si="25"/>
        <v>-</v>
      </c>
      <c r="W35" s="11" t="str">
        <f t="shared" ca="1" si="25"/>
        <v>-</v>
      </c>
      <c r="X35" s="11" t="str">
        <f t="shared" ca="1" si="25"/>
        <v>-</v>
      </c>
      <c r="Y35" s="11" t="str">
        <f t="shared" ca="1" si="25"/>
        <v>-</v>
      </c>
      <c r="Z35" s="11" t="str">
        <f t="shared" ca="1" si="25"/>
        <v>-</v>
      </c>
      <c r="AA35" s="11" t="str">
        <f t="shared" ca="1" si="25"/>
        <v>-</v>
      </c>
      <c r="AB35" s="11" t="str">
        <f t="shared" ca="1" si="25"/>
        <v>-</v>
      </c>
      <c r="AC35" s="11" t="str">
        <f t="shared" ca="1" si="25"/>
        <v>-</v>
      </c>
      <c r="AD35" s="11" t="str">
        <f t="shared" ca="1" si="25"/>
        <v>-</v>
      </c>
      <c r="AE35" s="11" t="str">
        <f t="shared" ca="1" si="25"/>
        <v>-</v>
      </c>
      <c r="AF35" s="11" t="str">
        <f t="shared" ca="1" si="25"/>
        <v>-</v>
      </c>
      <c r="AG35" s="11" t="str">
        <f t="shared" ca="1" si="25"/>
        <v>-</v>
      </c>
      <c r="AH35" s="11" t="str">
        <f t="shared" ca="1" si="25"/>
        <v>-</v>
      </c>
      <c r="AI35" s="11" t="str">
        <f t="shared" ca="1" si="25"/>
        <v>-</v>
      </c>
      <c r="AJ35" s="11" t="str">
        <f t="shared" ca="1" si="25"/>
        <v>-</v>
      </c>
      <c r="AK35" s="11" t="str">
        <f t="shared" ca="1" si="25"/>
        <v>-</v>
      </c>
      <c r="AL35" s="11" t="str">
        <f t="shared" ca="1" si="25"/>
        <v>-</v>
      </c>
      <c r="AM35" s="11" t="str">
        <f t="shared" ca="1" si="25"/>
        <v>-</v>
      </c>
      <c r="AN35" s="11" t="str">
        <f t="shared" ca="1" si="25"/>
        <v>-</v>
      </c>
      <c r="AO35" s="11" t="str">
        <f t="shared" ca="1" si="25"/>
        <v>-</v>
      </c>
      <c r="AP35" s="11" t="str">
        <f t="shared" ca="1" si="25"/>
        <v>-</v>
      </c>
      <c r="AQ35" s="11" t="str">
        <f t="shared" ca="1" si="25"/>
        <v>-</v>
      </c>
      <c r="AR35" s="11" t="str">
        <f t="shared" ca="1" si="25"/>
        <v>-</v>
      </c>
      <c r="AS35" s="11" t="str">
        <f t="shared" ca="1" si="25"/>
        <v>-</v>
      </c>
      <c r="AT35" s="11" t="str">
        <f t="shared" ca="1" si="25"/>
        <v>-</v>
      </c>
      <c r="AU35" s="11" t="str">
        <f t="shared" ca="1" si="25"/>
        <v>-</v>
      </c>
      <c r="AV35" s="11" t="str">
        <f t="shared" ca="1" si="25"/>
        <v>-</v>
      </c>
      <c r="AW35" s="11" t="str">
        <f t="shared" ca="1" si="25"/>
        <v>-</v>
      </c>
      <c r="AX35" s="11" t="str">
        <f t="shared" ca="1" si="25"/>
        <v>-</v>
      </c>
      <c r="AY35" s="11" t="str">
        <f t="shared" ca="1" si="25"/>
        <v>-</v>
      </c>
    </row>
    <row r="36" spans="2:51" x14ac:dyDescent="0.15">
      <c r="B36" s="196"/>
      <c r="C36" s="13" t="s">
        <v>6</v>
      </c>
      <c r="D36" s="14">
        <f ca="1">OFFSET(【DB】被害率係数!$A$4,MATCH($D$13,【DB】被害率係数!$A$4:$A$19,0)-1,12)</f>
        <v>1</v>
      </c>
      <c r="E36" s="14">
        <f ca="1">OFFSET(【DB】被害率係数!$A$4,MATCH($D$13,【DB】被害率係数!$A$4:$A$19,0)-1,13)</f>
        <v>0</v>
      </c>
      <c r="F36" s="14">
        <f ca="1">OFFSET(【DB】被害率係数!$A$4,MATCH($D$13,【DB】被害率係数!$A$4:$A$19,0)-1,14)</f>
        <v>0</v>
      </c>
      <c r="G36" s="14">
        <f ca="1">OFFSET(【DB】被害率係数!$A$4,MATCH($D$13,【DB】被害率係数!$A$4:$A$19,0)-1,15)</f>
        <v>0</v>
      </c>
      <c r="K36" s="195"/>
      <c r="L36" s="7" t="s">
        <v>4</v>
      </c>
      <c r="M36" s="10">
        <f ca="1">IF(M24="地下","地下",E10)</f>
        <v>0</v>
      </c>
      <c r="N36" s="11" t="str">
        <f ca="1">IF(OR(N24="浸水なし",N24="-"),"-",IF(N24="水没",1,N24/$M$36))</f>
        <v>-</v>
      </c>
      <c r="O36" s="11" t="str">
        <f ca="1">IF(OR(O24="浸水なし",O24="-"),"-",IF(O24="水没",1,O24/$M$36))</f>
        <v>-</v>
      </c>
      <c r="Q36" s="11" t="str">
        <f ca="1">IF(OR(Q24="浸水なし",Q24="-"),"-",IF(Q24="水没",1,Q24/$M$36))</f>
        <v>-</v>
      </c>
      <c r="R36" s="11">
        <f ca="1">IF(OR(R24="浸水なし",R24="-"),"-",IF(R24="水没",1,R24/$M$36))</f>
        <v>1</v>
      </c>
      <c r="S36" s="11">
        <f ca="1">IF(OR(S24="浸水なし",S24="-"),"-",IF(S24="水没",1,S24/$M$36))</f>
        <v>1</v>
      </c>
      <c r="T36" s="11">
        <f t="shared" ref="T36:AY36" ca="1" si="26">IF(OR(T24="浸水なし",T24="-"),"-",IF(T24="水没",1,T24/$M$36))</f>
        <v>1</v>
      </c>
      <c r="U36" s="11">
        <f t="shared" ca="1" si="26"/>
        <v>1</v>
      </c>
      <c r="V36" s="11">
        <f t="shared" ca="1" si="26"/>
        <v>1</v>
      </c>
      <c r="W36" s="11">
        <f t="shared" ca="1" si="26"/>
        <v>1</v>
      </c>
      <c r="X36" s="11">
        <f t="shared" ca="1" si="26"/>
        <v>1</v>
      </c>
      <c r="Y36" s="11">
        <f t="shared" ca="1" si="26"/>
        <v>1</v>
      </c>
      <c r="Z36" s="11">
        <f t="shared" ca="1" si="26"/>
        <v>1</v>
      </c>
      <c r="AA36" s="11">
        <f t="shared" ca="1" si="26"/>
        <v>1</v>
      </c>
      <c r="AB36" s="11">
        <f t="shared" ca="1" si="26"/>
        <v>1</v>
      </c>
      <c r="AC36" s="11">
        <f t="shared" ca="1" si="26"/>
        <v>1</v>
      </c>
      <c r="AD36" s="11">
        <f t="shared" ca="1" si="26"/>
        <v>1</v>
      </c>
      <c r="AE36" s="11">
        <f t="shared" ca="1" si="26"/>
        <v>1</v>
      </c>
      <c r="AF36" s="11">
        <f t="shared" ca="1" si="26"/>
        <v>1</v>
      </c>
      <c r="AG36" s="11">
        <f t="shared" ca="1" si="26"/>
        <v>1</v>
      </c>
      <c r="AH36" s="11">
        <f t="shared" ca="1" si="26"/>
        <v>1</v>
      </c>
      <c r="AI36" s="11">
        <f t="shared" ca="1" si="26"/>
        <v>1</v>
      </c>
      <c r="AJ36" s="11">
        <f t="shared" ca="1" si="26"/>
        <v>1</v>
      </c>
      <c r="AK36" s="11">
        <f t="shared" ca="1" si="26"/>
        <v>1</v>
      </c>
      <c r="AL36" s="11">
        <f t="shared" ca="1" si="26"/>
        <v>1</v>
      </c>
      <c r="AM36" s="11">
        <f t="shared" ca="1" si="26"/>
        <v>1</v>
      </c>
      <c r="AN36" s="11">
        <f t="shared" ca="1" si="26"/>
        <v>1</v>
      </c>
      <c r="AO36" s="11">
        <f t="shared" ca="1" si="26"/>
        <v>1</v>
      </c>
      <c r="AP36" s="11">
        <f t="shared" ca="1" si="26"/>
        <v>1</v>
      </c>
      <c r="AQ36" s="11">
        <f t="shared" ca="1" si="26"/>
        <v>1</v>
      </c>
      <c r="AR36" s="11">
        <f t="shared" ca="1" si="26"/>
        <v>1</v>
      </c>
      <c r="AS36" s="11">
        <f t="shared" ca="1" si="26"/>
        <v>1</v>
      </c>
      <c r="AT36" s="11">
        <f t="shared" ca="1" si="26"/>
        <v>1</v>
      </c>
      <c r="AU36" s="11">
        <f t="shared" ca="1" si="26"/>
        <v>1</v>
      </c>
      <c r="AV36" s="11">
        <f t="shared" ca="1" si="26"/>
        <v>1</v>
      </c>
      <c r="AW36" s="11">
        <f t="shared" ca="1" si="26"/>
        <v>1</v>
      </c>
      <c r="AX36" s="11">
        <f t="shared" ca="1" si="26"/>
        <v>1</v>
      </c>
      <c r="AY36" s="11">
        <f t="shared" ca="1" si="26"/>
        <v>1</v>
      </c>
    </row>
    <row r="37" spans="2:51" x14ac:dyDescent="0.15">
      <c r="B37" s="196"/>
      <c r="C37" s="13" t="s">
        <v>4</v>
      </c>
      <c r="D37" s="14">
        <f ca="1">OFFSET(【DB】被害率係数!$A$4,MATCH($D$13,【DB】被害率係数!$A$4:$A$19,0)-1,4)</f>
        <v>1</v>
      </c>
      <c r="E37" s="14">
        <f ca="1">OFFSET(【DB】被害率係数!$A$4,MATCH($D$13,【DB】被害率係数!$A$4:$A$19,0)-1,5)</f>
        <v>0</v>
      </c>
      <c r="F37" s="14">
        <f ca="1">OFFSET(【DB】被害率係数!$A$4,MATCH($D$13,【DB】被害率係数!$A$4:$A$19,0)-1,6)</f>
        <v>0</v>
      </c>
      <c r="G37" s="14">
        <f ca="1">OFFSET(【DB】被害率係数!$A$4,MATCH($D$13,【DB】被害率係数!$A$4:$A$19,0)-1,7)</f>
        <v>0</v>
      </c>
      <c r="K37"/>
      <c r="L37"/>
      <c r="M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2:51" x14ac:dyDescent="0.15">
      <c r="K38" s="195" t="s">
        <v>98</v>
      </c>
      <c r="L38" s="15" t="s">
        <v>28</v>
      </c>
      <c r="M38" s="15" t="s">
        <v>99</v>
      </c>
      <c r="N38" s="27" t="s">
        <v>60</v>
      </c>
      <c r="O38" s="27" t="s">
        <v>60</v>
      </c>
      <c r="Q38" s="15" t="s">
        <v>60</v>
      </c>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row>
    <row r="39" spans="2:51" x14ac:dyDescent="0.15">
      <c r="B39" s="131" t="s">
        <v>63</v>
      </c>
      <c r="C39" s="131" t="s">
        <v>62</v>
      </c>
      <c r="D39" s="132" t="s">
        <v>247</v>
      </c>
      <c r="E39" s="132" t="s">
        <v>94</v>
      </c>
      <c r="F39" s="132" t="s">
        <v>95</v>
      </c>
      <c r="G39" s="132" t="s">
        <v>96</v>
      </c>
      <c r="H39" s="144" t="s">
        <v>249</v>
      </c>
      <c r="I39" s="144" t="s">
        <v>250</v>
      </c>
      <c r="K39" s="195"/>
      <c r="L39" s="7" t="s">
        <v>56</v>
      </c>
      <c r="M39" s="18">
        <f ca="1">D35/(D35+D36*(E6+E7)+D37)</f>
        <v>0.5</v>
      </c>
      <c r="N39" s="18">
        <f ca="1">IF(N27="-",0,$E$35*N27^2+$F$35*N27+$G$35)</f>
        <v>0</v>
      </c>
      <c r="O39" s="18">
        <f ca="1">IF(O27="-",0,$E$35*O27^2+$F$35*O27+$G$35)</f>
        <v>0</v>
      </c>
      <c r="Q39" s="18">
        <f t="shared" ref="Q39:AY39" ca="1" si="27">IF(Q27="-",0,$E$35*Q27^2+$F$35*Q27+$G$35)</f>
        <v>0</v>
      </c>
      <c r="R39" s="18">
        <f t="shared" ca="1" si="27"/>
        <v>0</v>
      </c>
      <c r="S39" s="18">
        <f t="shared" ca="1" si="27"/>
        <v>0</v>
      </c>
      <c r="T39" s="18">
        <f t="shared" ca="1" si="27"/>
        <v>0</v>
      </c>
      <c r="U39" s="18">
        <f t="shared" ca="1" si="27"/>
        <v>0</v>
      </c>
      <c r="V39" s="18">
        <f t="shared" ca="1" si="27"/>
        <v>0</v>
      </c>
      <c r="W39" s="18">
        <f t="shared" ca="1" si="27"/>
        <v>0</v>
      </c>
      <c r="X39" s="18">
        <f t="shared" ca="1" si="27"/>
        <v>0</v>
      </c>
      <c r="Y39" s="18">
        <f t="shared" ca="1" si="27"/>
        <v>0</v>
      </c>
      <c r="Z39" s="18">
        <f t="shared" ca="1" si="27"/>
        <v>0</v>
      </c>
      <c r="AA39" s="18">
        <f t="shared" ca="1" si="27"/>
        <v>0</v>
      </c>
      <c r="AB39" s="18">
        <f t="shared" ca="1" si="27"/>
        <v>0</v>
      </c>
      <c r="AC39" s="18">
        <f t="shared" ca="1" si="27"/>
        <v>0</v>
      </c>
      <c r="AD39" s="18">
        <f t="shared" ca="1" si="27"/>
        <v>0</v>
      </c>
      <c r="AE39" s="18">
        <f t="shared" ca="1" si="27"/>
        <v>0</v>
      </c>
      <c r="AF39" s="18">
        <f t="shared" ca="1" si="27"/>
        <v>0</v>
      </c>
      <c r="AG39" s="18">
        <f t="shared" ca="1" si="27"/>
        <v>0</v>
      </c>
      <c r="AH39" s="18">
        <f t="shared" ca="1" si="27"/>
        <v>0</v>
      </c>
      <c r="AI39" s="18">
        <f t="shared" ca="1" si="27"/>
        <v>0</v>
      </c>
      <c r="AJ39" s="18">
        <f t="shared" ca="1" si="27"/>
        <v>0</v>
      </c>
      <c r="AK39" s="18">
        <f t="shared" ca="1" si="27"/>
        <v>0</v>
      </c>
      <c r="AL39" s="18">
        <f t="shared" ca="1" si="27"/>
        <v>0</v>
      </c>
      <c r="AM39" s="18">
        <f t="shared" ca="1" si="27"/>
        <v>0</v>
      </c>
      <c r="AN39" s="18">
        <f t="shared" ca="1" si="27"/>
        <v>0</v>
      </c>
      <c r="AO39" s="18">
        <f t="shared" ca="1" si="27"/>
        <v>0</v>
      </c>
      <c r="AP39" s="18">
        <f t="shared" ca="1" si="27"/>
        <v>0</v>
      </c>
      <c r="AQ39" s="18">
        <f t="shared" ca="1" si="27"/>
        <v>0</v>
      </c>
      <c r="AR39" s="18">
        <f t="shared" ca="1" si="27"/>
        <v>0</v>
      </c>
      <c r="AS39" s="18">
        <f t="shared" ca="1" si="27"/>
        <v>0</v>
      </c>
      <c r="AT39" s="18">
        <f t="shared" ca="1" si="27"/>
        <v>0</v>
      </c>
      <c r="AU39" s="18">
        <f t="shared" ca="1" si="27"/>
        <v>0</v>
      </c>
      <c r="AV39" s="18">
        <f t="shared" ca="1" si="27"/>
        <v>0</v>
      </c>
      <c r="AW39" s="18">
        <f t="shared" ca="1" si="27"/>
        <v>0</v>
      </c>
      <c r="AX39" s="18">
        <f t="shared" ca="1" si="27"/>
        <v>0</v>
      </c>
      <c r="AY39" s="18">
        <f t="shared" ca="1" si="27"/>
        <v>0</v>
      </c>
    </row>
    <row r="40" spans="2:51" x14ac:dyDescent="0.15">
      <c r="B40" s="197" t="s">
        <v>33</v>
      </c>
      <c r="C40" s="197"/>
      <c r="D40" s="142">
        <f ca="1">OFFSET(【DB】被害率係数!$A$43,MATCH($D$14,【DB】被害率係数!$A$43:$A$58,0)-1,4)</f>
        <v>1</v>
      </c>
      <c r="E40" s="14">
        <f ca="1">OFFSET(【DB】被害率係数!$A$43,MATCH($D$14,【DB】被害率係数!$A$43:$A$58,0)-1,5)</f>
        <v>0</v>
      </c>
      <c r="F40" s="14">
        <f ca="1">OFFSET(【DB】被害率係数!$A$43,MATCH($D$14,【DB】被害率係数!$A$43:$A$58,0)-1,6)</f>
        <v>0</v>
      </c>
      <c r="G40" s="14">
        <f ca="1">OFFSET(【DB】被害率係数!$A$43,MATCH($D$14,【DB】被害率係数!$A$43:$A$58,0)-1,7)</f>
        <v>0</v>
      </c>
      <c r="H40" s="14">
        <f ca="1">OFFSET(【DB】被害率係数!$A$43,MATCH($D$14,【DB】被害率係数!$A$43:$A$58,0)-1,8)</f>
        <v>0</v>
      </c>
      <c r="I40" s="14">
        <f ca="1">OFFSET(【DB】被害率係数!$A$43,MATCH($D$14,【DB】被害率係数!$A$43:$A$58,0)-1,9)</f>
        <v>0</v>
      </c>
      <c r="K40" s="195"/>
      <c r="L40" s="7" t="s">
        <v>45</v>
      </c>
      <c r="M40" s="18">
        <f ca="1">D36*(E6+E7)/(D35+D36*(E6+E7)+D37)*E24</f>
        <v>0</v>
      </c>
      <c r="N40" s="18">
        <f>IF(N28="-",0,IF(N28="床下浸水",$G$36*N36,$E$36*N28^2+$F$36*N28+$G$36))</f>
        <v>0</v>
      </c>
      <c r="O40" s="18">
        <f>IF(O28="-",0,IF(O28="床下浸水",$G$36*O36,$E$36*O28^2+$F$36*O28+$G$36))</f>
        <v>0</v>
      </c>
      <c r="Q40" s="18">
        <f t="shared" ref="Q40:AY40" si="28">IF(Q28="-",0,IF(Q28="床下浸水",$G$36*Q36,$E$36*Q28^2+$F$36*Q28+$G$36))</f>
        <v>0</v>
      </c>
      <c r="R40" s="18">
        <f t="shared" si="28"/>
        <v>0</v>
      </c>
      <c r="S40" s="18">
        <f t="shared" si="28"/>
        <v>0</v>
      </c>
      <c r="T40" s="18">
        <f t="shared" si="28"/>
        <v>0</v>
      </c>
      <c r="U40" s="18">
        <f t="shared" si="28"/>
        <v>0</v>
      </c>
      <c r="V40" s="18">
        <f t="shared" si="28"/>
        <v>0</v>
      </c>
      <c r="W40" s="18">
        <f t="shared" si="28"/>
        <v>0</v>
      </c>
      <c r="X40" s="18">
        <f t="shared" si="28"/>
        <v>0</v>
      </c>
      <c r="Y40" s="18">
        <f t="shared" si="28"/>
        <v>0</v>
      </c>
      <c r="Z40" s="18">
        <f t="shared" si="28"/>
        <v>0</v>
      </c>
      <c r="AA40" s="18">
        <f t="shared" si="28"/>
        <v>0</v>
      </c>
      <c r="AB40" s="18">
        <f t="shared" si="28"/>
        <v>0</v>
      </c>
      <c r="AC40" s="18">
        <f t="shared" si="28"/>
        <v>0</v>
      </c>
      <c r="AD40" s="18">
        <f t="shared" si="28"/>
        <v>0</v>
      </c>
      <c r="AE40" s="18">
        <f t="shared" si="28"/>
        <v>0</v>
      </c>
      <c r="AF40" s="18">
        <f t="shared" si="28"/>
        <v>0</v>
      </c>
      <c r="AG40" s="18">
        <f t="shared" si="28"/>
        <v>0</v>
      </c>
      <c r="AH40" s="18">
        <f t="shared" si="28"/>
        <v>0</v>
      </c>
      <c r="AI40" s="18">
        <f t="shared" si="28"/>
        <v>0</v>
      </c>
      <c r="AJ40" s="18">
        <f t="shared" si="28"/>
        <v>0</v>
      </c>
      <c r="AK40" s="18">
        <f t="shared" si="28"/>
        <v>0</v>
      </c>
      <c r="AL40" s="18">
        <f t="shared" si="28"/>
        <v>0</v>
      </c>
      <c r="AM40" s="18">
        <f t="shared" si="28"/>
        <v>0</v>
      </c>
      <c r="AN40" s="18">
        <f t="shared" si="28"/>
        <v>0</v>
      </c>
      <c r="AO40" s="18">
        <f t="shared" si="28"/>
        <v>0</v>
      </c>
      <c r="AP40" s="18">
        <f t="shared" si="28"/>
        <v>0</v>
      </c>
      <c r="AQ40" s="18">
        <f t="shared" si="28"/>
        <v>0</v>
      </c>
      <c r="AR40" s="18">
        <f t="shared" si="28"/>
        <v>0</v>
      </c>
      <c r="AS40" s="18">
        <f t="shared" si="28"/>
        <v>0</v>
      </c>
      <c r="AT40" s="18">
        <f t="shared" si="28"/>
        <v>0</v>
      </c>
      <c r="AU40" s="18">
        <f t="shared" si="28"/>
        <v>0</v>
      </c>
      <c r="AV40" s="18">
        <f t="shared" si="28"/>
        <v>0</v>
      </c>
      <c r="AW40" s="18">
        <f t="shared" si="28"/>
        <v>0</v>
      </c>
      <c r="AX40" s="18">
        <f t="shared" si="28"/>
        <v>0</v>
      </c>
      <c r="AY40" s="18">
        <f t="shared" si="28"/>
        <v>0</v>
      </c>
    </row>
    <row r="41" spans="2:51" x14ac:dyDescent="0.15">
      <c r="B41" s="197" t="s">
        <v>49</v>
      </c>
      <c r="C41" s="197"/>
      <c r="D41" s="142">
        <f ca="1">OFFSET(【DB】被害率係数!$A$43,MATCH($D$15,【DB】被害率係数!$A$43:$A$58,0)-1,4)</f>
        <v>1</v>
      </c>
      <c r="E41" s="14">
        <f ca="1">OFFSET(【DB】被害率係数!$A$43,MATCH($D$15,【DB】被害率係数!$A$43:$A$58,0)-1,5)</f>
        <v>0</v>
      </c>
      <c r="F41" s="14">
        <f ca="1">OFFSET(【DB】被害率係数!$A$43,MATCH($D$15,【DB】被害率係数!$A$43:$A$58,0)-1,6)</f>
        <v>0</v>
      </c>
      <c r="G41" s="14">
        <f ca="1">OFFSET(【DB】被害率係数!$A$43,MATCH($D$15,【DB】被害率係数!$A$43:$A$58,0)-1,7)</f>
        <v>0</v>
      </c>
      <c r="H41" s="14">
        <f ca="1">OFFSET(【DB】被害率係数!$A$43,MATCH($D$15,【DB】被害率係数!$A$43:$A$58,0)-1,8)</f>
        <v>0</v>
      </c>
      <c r="I41" s="14">
        <f ca="1">OFFSET(【DB】被害率係数!$A$43,MATCH($D$15,【DB】被害率係数!$A$43:$A$58,0)-1,9)</f>
        <v>0</v>
      </c>
      <c r="K41" s="195"/>
      <c r="L41" s="8">
        <v>6</v>
      </c>
      <c r="M41" s="18">
        <f ca="1">D36*(E6+E7)/(D35+D36*(E6+E7)+D37)*E25</f>
        <v>0</v>
      </c>
      <c r="N41" s="18">
        <f ca="1">IF(N29="-",0,IF(N29="床下浸水",$G$36*N36,$E$36*N29^2+$F$36*N29+$G$36))</f>
        <v>0</v>
      </c>
      <c r="O41" s="18">
        <f ca="1">IF(O29="-",0,IF(O29="床下浸水",$G$36*O36,$E$36*O29^2+$F$36*O29+$G$36))</f>
        <v>0</v>
      </c>
      <c r="Q41" s="18">
        <f t="shared" ref="Q41:AY41" ca="1" si="29">IF(Q29="-",0,IF(Q29="床下浸水",$G$36*Q36,$E$36*Q29^2+$F$36*Q29+$G$36))</f>
        <v>0</v>
      </c>
      <c r="R41" s="18">
        <f t="shared" ca="1" si="29"/>
        <v>0</v>
      </c>
      <c r="S41" s="18">
        <f t="shared" ca="1" si="29"/>
        <v>0</v>
      </c>
      <c r="T41" s="18">
        <f t="shared" ca="1" si="29"/>
        <v>0</v>
      </c>
      <c r="U41" s="18">
        <f t="shared" ca="1" si="29"/>
        <v>0</v>
      </c>
      <c r="V41" s="18">
        <f t="shared" ca="1" si="29"/>
        <v>0</v>
      </c>
      <c r="W41" s="18">
        <f t="shared" ca="1" si="29"/>
        <v>0</v>
      </c>
      <c r="X41" s="18">
        <f t="shared" ca="1" si="29"/>
        <v>0</v>
      </c>
      <c r="Y41" s="18">
        <f t="shared" ca="1" si="29"/>
        <v>0</v>
      </c>
      <c r="Z41" s="18">
        <f t="shared" ca="1" si="29"/>
        <v>0</v>
      </c>
      <c r="AA41" s="18">
        <f t="shared" ca="1" si="29"/>
        <v>0</v>
      </c>
      <c r="AB41" s="18">
        <f t="shared" ca="1" si="29"/>
        <v>0</v>
      </c>
      <c r="AC41" s="18">
        <f t="shared" ca="1" si="29"/>
        <v>0</v>
      </c>
      <c r="AD41" s="18">
        <f t="shared" ca="1" si="29"/>
        <v>0</v>
      </c>
      <c r="AE41" s="18">
        <f t="shared" ca="1" si="29"/>
        <v>0</v>
      </c>
      <c r="AF41" s="18">
        <f t="shared" ca="1" si="29"/>
        <v>0</v>
      </c>
      <c r="AG41" s="18">
        <f t="shared" ca="1" si="29"/>
        <v>0</v>
      </c>
      <c r="AH41" s="18">
        <f t="shared" ca="1" si="29"/>
        <v>0</v>
      </c>
      <c r="AI41" s="18">
        <f t="shared" ca="1" si="29"/>
        <v>0</v>
      </c>
      <c r="AJ41" s="18">
        <f t="shared" ca="1" si="29"/>
        <v>0</v>
      </c>
      <c r="AK41" s="18">
        <f t="shared" ca="1" si="29"/>
        <v>0</v>
      </c>
      <c r="AL41" s="18">
        <f t="shared" ca="1" si="29"/>
        <v>0</v>
      </c>
      <c r="AM41" s="18">
        <f t="shared" ca="1" si="29"/>
        <v>0</v>
      </c>
      <c r="AN41" s="18">
        <f t="shared" ca="1" si="29"/>
        <v>0</v>
      </c>
      <c r="AO41" s="18">
        <f t="shared" ca="1" si="29"/>
        <v>0</v>
      </c>
      <c r="AP41" s="18">
        <f t="shared" ca="1" si="29"/>
        <v>0</v>
      </c>
      <c r="AQ41" s="18">
        <f t="shared" ca="1" si="29"/>
        <v>0</v>
      </c>
      <c r="AR41" s="18">
        <f t="shared" ca="1" si="29"/>
        <v>0</v>
      </c>
      <c r="AS41" s="18">
        <f t="shared" ca="1" si="29"/>
        <v>0</v>
      </c>
      <c r="AT41" s="18">
        <f t="shared" ca="1" si="29"/>
        <v>0</v>
      </c>
      <c r="AU41" s="18">
        <f t="shared" ca="1" si="29"/>
        <v>0</v>
      </c>
      <c r="AV41" s="18">
        <f t="shared" ca="1" si="29"/>
        <v>0</v>
      </c>
      <c r="AW41" s="18">
        <f t="shared" ca="1" si="29"/>
        <v>0</v>
      </c>
      <c r="AX41" s="18">
        <f t="shared" ca="1" si="29"/>
        <v>0</v>
      </c>
      <c r="AY41" s="18">
        <f t="shared" ca="1" si="29"/>
        <v>0</v>
      </c>
    </row>
    <row r="42" spans="2:51" x14ac:dyDescent="0.15">
      <c r="K42" s="195"/>
      <c r="L42" s="8">
        <v>5</v>
      </c>
      <c r="M42" s="18">
        <f ca="1">D36*(E6+E7)/(D35+D36*(E6+E7)+D37)*E26</f>
        <v>0</v>
      </c>
      <c r="N42" s="18">
        <f ca="1">IF(N30="-",0,IF(N30="床下浸水",$G$36*N36,$E$36*N30^2+$F$36*N30+$G$36))</f>
        <v>0</v>
      </c>
      <c r="O42" s="18">
        <f ca="1">IF(O30="-",0,IF(O30="床下浸水",$G$36*O36,$E$36*O30^2+$F$36*O30+$G$36))</f>
        <v>0</v>
      </c>
      <c r="Q42" s="18">
        <f t="shared" ref="Q42:AY42" ca="1" si="30">IF(Q30="-",0,IF(Q30="床下浸水",$G$36*Q36,$E$36*Q30^2+$F$36*Q30+$G$36))</f>
        <v>0</v>
      </c>
      <c r="R42" s="18">
        <f t="shared" ca="1" si="30"/>
        <v>0</v>
      </c>
      <c r="S42" s="18">
        <f t="shared" ca="1" si="30"/>
        <v>0</v>
      </c>
      <c r="T42" s="18">
        <f t="shared" ca="1" si="30"/>
        <v>0</v>
      </c>
      <c r="U42" s="18">
        <f t="shared" ca="1" si="30"/>
        <v>0</v>
      </c>
      <c r="V42" s="18">
        <f t="shared" ca="1" si="30"/>
        <v>0</v>
      </c>
      <c r="W42" s="18">
        <f t="shared" ca="1" si="30"/>
        <v>0</v>
      </c>
      <c r="X42" s="18">
        <f t="shared" ca="1" si="30"/>
        <v>0</v>
      </c>
      <c r="Y42" s="18">
        <f t="shared" ca="1" si="30"/>
        <v>0</v>
      </c>
      <c r="Z42" s="18">
        <f t="shared" ca="1" si="30"/>
        <v>0</v>
      </c>
      <c r="AA42" s="18">
        <f t="shared" ca="1" si="30"/>
        <v>0</v>
      </c>
      <c r="AB42" s="18">
        <f t="shared" ca="1" si="30"/>
        <v>0</v>
      </c>
      <c r="AC42" s="18">
        <f t="shared" ca="1" si="30"/>
        <v>0</v>
      </c>
      <c r="AD42" s="18">
        <f t="shared" ca="1" si="30"/>
        <v>0</v>
      </c>
      <c r="AE42" s="18">
        <f t="shared" ca="1" si="30"/>
        <v>0</v>
      </c>
      <c r="AF42" s="18">
        <f t="shared" ca="1" si="30"/>
        <v>0</v>
      </c>
      <c r="AG42" s="18">
        <f t="shared" ca="1" si="30"/>
        <v>0</v>
      </c>
      <c r="AH42" s="18">
        <f t="shared" ca="1" si="30"/>
        <v>0</v>
      </c>
      <c r="AI42" s="18">
        <f t="shared" ca="1" si="30"/>
        <v>0</v>
      </c>
      <c r="AJ42" s="18">
        <f t="shared" ca="1" si="30"/>
        <v>0</v>
      </c>
      <c r="AK42" s="18">
        <f t="shared" ca="1" si="30"/>
        <v>0</v>
      </c>
      <c r="AL42" s="18">
        <f t="shared" ca="1" si="30"/>
        <v>0</v>
      </c>
      <c r="AM42" s="18">
        <f t="shared" ca="1" si="30"/>
        <v>0</v>
      </c>
      <c r="AN42" s="18">
        <f t="shared" ca="1" si="30"/>
        <v>0</v>
      </c>
      <c r="AO42" s="18">
        <f t="shared" ca="1" si="30"/>
        <v>0</v>
      </c>
      <c r="AP42" s="18">
        <f t="shared" ca="1" si="30"/>
        <v>0</v>
      </c>
      <c r="AQ42" s="18">
        <f t="shared" ca="1" si="30"/>
        <v>0</v>
      </c>
      <c r="AR42" s="18">
        <f t="shared" ca="1" si="30"/>
        <v>0</v>
      </c>
      <c r="AS42" s="18">
        <f t="shared" ca="1" si="30"/>
        <v>0</v>
      </c>
      <c r="AT42" s="18">
        <f t="shared" ca="1" si="30"/>
        <v>0</v>
      </c>
      <c r="AU42" s="18">
        <f t="shared" ca="1" si="30"/>
        <v>0</v>
      </c>
      <c r="AV42" s="18">
        <f t="shared" ca="1" si="30"/>
        <v>0</v>
      </c>
      <c r="AW42" s="18">
        <f t="shared" ca="1" si="30"/>
        <v>0</v>
      </c>
      <c r="AX42" s="18">
        <f t="shared" ca="1" si="30"/>
        <v>0</v>
      </c>
      <c r="AY42" s="18">
        <f t="shared" ca="1" si="30"/>
        <v>0</v>
      </c>
    </row>
    <row r="43" spans="2:51" x14ac:dyDescent="0.15">
      <c r="K43" s="195"/>
      <c r="L43" s="8">
        <v>4</v>
      </c>
      <c r="M43" s="18">
        <f ca="1">D36*(E6+E7)/(D35+D36*(E6+E7)+D37)*E27</f>
        <v>0</v>
      </c>
      <c r="N43" s="18">
        <f ca="1">IF(N31="-",0,IF(N31="床下浸水",$G$36*N36,$E$36*N31^2+$F$36*N31+$G$36))</f>
        <v>0</v>
      </c>
      <c r="O43" s="18">
        <f ca="1">IF(O31="-",0,IF(O31="床下浸水",$G$36*O36,$E$36*O31^2+$F$36*O31+$G$36))</f>
        <v>0</v>
      </c>
      <c r="Q43" s="18">
        <f t="shared" ref="Q43:AY43" ca="1" si="31">IF(Q31="-",0,IF(Q31="床下浸水",$G$36*Q36,$E$36*Q31^2+$F$36*Q31+$G$36))</f>
        <v>0</v>
      </c>
      <c r="R43" s="18">
        <f t="shared" ca="1" si="31"/>
        <v>0</v>
      </c>
      <c r="S43" s="18">
        <f t="shared" ca="1" si="31"/>
        <v>0</v>
      </c>
      <c r="T43" s="18">
        <f t="shared" ca="1" si="31"/>
        <v>0</v>
      </c>
      <c r="U43" s="18">
        <f t="shared" ca="1" si="31"/>
        <v>0</v>
      </c>
      <c r="V43" s="18">
        <f t="shared" ca="1" si="31"/>
        <v>0</v>
      </c>
      <c r="W43" s="18">
        <f t="shared" ca="1" si="31"/>
        <v>0</v>
      </c>
      <c r="X43" s="18">
        <f t="shared" ca="1" si="31"/>
        <v>0</v>
      </c>
      <c r="Y43" s="18">
        <f t="shared" ca="1" si="31"/>
        <v>0</v>
      </c>
      <c r="Z43" s="18">
        <f t="shared" ca="1" si="31"/>
        <v>0</v>
      </c>
      <c r="AA43" s="18">
        <f t="shared" ca="1" si="31"/>
        <v>0</v>
      </c>
      <c r="AB43" s="18">
        <f t="shared" ca="1" si="31"/>
        <v>0</v>
      </c>
      <c r="AC43" s="18">
        <f t="shared" ca="1" si="31"/>
        <v>0</v>
      </c>
      <c r="AD43" s="18">
        <f t="shared" ca="1" si="31"/>
        <v>0</v>
      </c>
      <c r="AE43" s="18">
        <f t="shared" ca="1" si="31"/>
        <v>0</v>
      </c>
      <c r="AF43" s="18">
        <f t="shared" ca="1" si="31"/>
        <v>0</v>
      </c>
      <c r="AG43" s="18">
        <f t="shared" ca="1" si="31"/>
        <v>0</v>
      </c>
      <c r="AH43" s="18">
        <f t="shared" ca="1" si="31"/>
        <v>0</v>
      </c>
      <c r="AI43" s="18">
        <f t="shared" ca="1" si="31"/>
        <v>0</v>
      </c>
      <c r="AJ43" s="18">
        <f t="shared" ca="1" si="31"/>
        <v>0</v>
      </c>
      <c r="AK43" s="18">
        <f t="shared" ca="1" si="31"/>
        <v>0</v>
      </c>
      <c r="AL43" s="18">
        <f t="shared" ca="1" si="31"/>
        <v>0</v>
      </c>
      <c r="AM43" s="18">
        <f t="shared" ca="1" si="31"/>
        <v>0</v>
      </c>
      <c r="AN43" s="18">
        <f t="shared" ca="1" si="31"/>
        <v>0</v>
      </c>
      <c r="AO43" s="18">
        <f t="shared" ca="1" si="31"/>
        <v>0</v>
      </c>
      <c r="AP43" s="18">
        <f t="shared" ca="1" si="31"/>
        <v>0</v>
      </c>
      <c r="AQ43" s="18">
        <f t="shared" ca="1" si="31"/>
        <v>0</v>
      </c>
      <c r="AR43" s="18">
        <f t="shared" ca="1" si="31"/>
        <v>0</v>
      </c>
      <c r="AS43" s="18">
        <f t="shared" ca="1" si="31"/>
        <v>0</v>
      </c>
      <c r="AT43" s="18">
        <f t="shared" ca="1" si="31"/>
        <v>0</v>
      </c>
      <c r="AU43" s="18">
        <f t="shared" ca="1" si="31"/>
        <v>0</v>
      </c>
      <c r="AV43" s="18">
        <f t="shared" ca="1" si="31"/>
        <v>0</v>
      </c>
      <c r="AW43" s="18">
        <f t="shared" ca="1" si="31"/>
        <v>0</v>
      </c>
      <c r="AX43" s="18">
        <f t="shared" ca="1" si="31"/>
        <v>0</v>
      </c>
      <c r="AY43" s="18">
        <f t="shared" ca="1" si="31"/>
        <v>0</v>
      </c>
    </row>
    <row r="44" spans="2:51" x14ac:dyDescent="0.15">
      <c r="K44" s="195"/>
      <c r="L44" s="8">
        <v>3</v>
      </c>
      <c r="M44" s="18">
        <f ca="1">D36*(E6+E7)/(D35+D36*(E6+E7)+D37)*E28</f>
        <v>0</v>
      </c>
      <c r="N44" s="18">
        <f ca="1">IF(N32="-",0,IF(N32="床下浸水",$G$36*N36,$E$36*N32^2+$F$36*N32+$G$36))</f>
        <v>0</v>
      </c>
      <c r="O44" s="18">
        <f ca="1">IF(O32="-",0,IF(O32="床下浸水",$G$36*O36,$E$36*O32^2+$F$36*O32+$G$36))</f>
        <v>0</v>
      </c>
      <c r="Q44" s="18">
        <f t="shared" ref="Q44:AY44" ca="1" si="32">IF(Q32="-",0,IF(Q32="床下浸水",$G$36*Q36,$E$36*Q32^2+$F$36*Q32+$G$36))</f>
        <v>0</v>
      </c>
      <c r="R44" s="18">
        <f t="shared" ca="1" si="32"/>
        <v>0</v>
      </c>
      <c r="S44" s="18">
        <f t="shared" ca="1" si="32"/>
        <v>0</v>
      </c>
      <c r="T44" s="18">
        <f t="shared" ca="1" si="32"/>
        <v>0</v>
      </c>
      <c r="U44" s="18">
        <f t="shared" ca="1" si="32"/>
        <v>0</v>
      </c>
      <c r="V44" s="18">
        <f t="shared" ca="1" si="32"/>
        <v>0</v>
      </c>
      <c r="W44" s="18">
        <f t="shared" ca="1" si="32"/>
        <v>0</v>
      </c>
      <c r="X44" s="18">
        <f t="shared" ca="1" si="32"/>
        <v>0</v>
      </c>
      <c r="Y44" s="18">
        <f t="shared" ca="1" si="32"/>
        <v>0</v>
      </c>
      <c r="Z44" s="18">
        <f t="shared" ca="1" si="32"/>
        <v>0</v>
      </c>
      <c r="AA44" s="18">
        <f t="shared" ca="1" si="32"/>
        <v>0</v>
      </c>
      <c r="AB44" s="18">
        <f t="shared" ca="1" si="32"/>
        <v>0</v>
      </c>
      <c r="AC44" s="18">
        <f t="shared" ca="1" si="32"/>
        <v>0</v>
      </c>
      <c r="AD44" s="18">
        <f t="shared" ca="1" si="32"/>
        <v>0</v>
      </c>
      <c r="AE44" s="18">
        <f t="shared" ca="1" si="32"/>
        <v>0</v>
      </c>
      <c r="AF44" s="18">
        <f t="shared" ca="1" si="32"/>
        <v>0</v>
      </c>
      <c r="AG44" s="18">
        <f t="shared" ca="1" si="32"/>
        <v>0</v>
      </c>
      <c r="AH44" s="18">
        <f t="shared" ca="1" si="32"/>
        <v>0</v>
      </c>
      <c r="AI44" s="18">
        <f t="shared" ca="1" si="32"/>
        <v>0</v>
      </c>
      <c r="AJ44" s="18">
        <f t="shared" ca="1" si="32"/>
        <v>0</v>
      </c>
      <c r="AK44" s="18">
        <f t="shared" ca="1" si="32"/>
        <v>0</v>
      </c>
      <c r="AL44" s="18">
        <f t="shared" ca="1" si="32"/>
        <v>0</v>
      </c>
      <c r="AM44" s="18">
        <f t="shared" ca="1" si="32"/>
        <v>0</v>
      </c>
      <c r="AN44" s="18">
        <f t="shared" ca="1" si="32"/>
        <v>0</v>
      </c>
      <c r="AO44" s="18">
        <f t="shared" ca="1" si="32"/>
        <v>0</v>
      </c>
      <c r="AP44" s="18">
        <f t="shared" ca="1" si="32"/>
        <v>0</v>
      </c>
      <c r="AQ44" s="18">
        <f t="shared" ca="1" si="32"/>
        <v>0</v>
      </c>
      <c r="AR44" s="18">
        <f t="shared" ca="1" si="32"/>
        <v>0</v>
      </c>
      <c r="AS44" s="18">
        <f t="shared" ca="1" si="32"/>
        <v>0</v>
      </c>
      <c r="AT44" s="18">
        <f t="shared" ca="1" si="32"/>
        <v>0</v>
      </c>
      <c r="AU44" s="18">
        <f t="shared" ca="1" si="32"/>
        <v>0</v>
      </c>
      <c r="AV44" s="18">
        <f t="shared" ca="1" si="32"/>
        <v>0</v>
      </c>
      <c r="AW44" s="18">
        <f t="shared" ca="1" si="32"/>
        <v>0</v>
      </c>
      <c r="AX44" s="18">
        <f t="shared" ca="1" si="32"/>
        <v>0</v>
      </c>
      <c r="AY44" s="18">
        <f t="shared" ca="1" si="32"/>
        <v>0</v>
      </c>
    </row>
    <row r="45" spans="2:51" x14ac:dyDescent="0.15">
      <c r="K45" s="195"/>
      <c r="L45" s="8">
        <v>2</v>
      </c>
      <c r="M45" s="18">
        <f ca="1">D36*(E6+E7)/(D35+D36*(E6+E7)+D37)*E29</f>
        <v>0</v>
      </c>
      <c r="N45" s="18">
        <f ca="1">IF(N33="-",0,IF(N33="床下浸水",$G$36*N36,$E$36*N33^2+$F$36*N33+$G$36))</f>
        <v>0</v>
      </c>
      <c r="O45" s="18">
        <f ca="1">IF(O33="-",0,IF(O33="床下浸水",$G$36*O36,$E$36*O33^2+$F$36*O33+$G$36))</f>
        <v>0</v>
      </c>
      <c r="Q45" s="18">
        <f t="shared" ref="Q45:AY45" ca="1" si="33">IF(Q33="-",0,IF(Q33="床下浸水",$G$36*Q36,$E$36*Q33^2+$F$36*Q33+$G$36))</f>
        <v>0</v>
      </c>
      <c r="R45" s="18">
        <f t="shared" ca="1" si="33"/>
        <v>0</v>
      </c>
      <c r="S45" s="18">
        <f t="shared" ca="1" si="33"/>
        <v>0</v>
      </c>
      <c r="T45" s="18">
        <f t="shared" ca="1" si="33"/>
        <v>0</v>
      </c>
      <c r="U45" s="18">
        <f t="shared" ca="1" si="33"/>
        <v>0</v>
      </c>
      <c r="V45" s="18">
        <f t="shared" ca="1" si="33"/>
        <v>0</v>
      </c>
      <c r="W45" s="18">
        <f t="shared" ca="1" si="33"/>
        <v>0</v>
      </c>
      <c r="X45" s="18">
        <f t="shared" ca="1" si="33"/>
        <v>0</v>
      </c>
      <c r="Y45" s="18">
        <f t="shared" ca="1" si="33"/>
        <v>0</v>
      </c>
      <c r="Z45" s="18">
        <f t="shared" ca="1" si="33"/>
        <v>0</v>
      </c>
      <c r="AA45" s="18">
        <f t="shared" ca="1" si="33"/>
        <v>0</v>
      </c>
      <c r="AB45" s="18">
        <f t="shared" ca="1" si="33"/>
        <v>0</v>
      </c>
      <c r="AC45" s="18">
        <f t="shared" ca="1" si="33"/>
        <v>0</v>
      </c>
      <c r="AD45" s="18">
        <f t="shared" ca="1" si="33"/>
        <v>0</v>
      </c>
      <c r="AE45" s="18">
        <f t="shared" ca="1" si="33"/>
        <v>0</v>
      </c>
      <c r="AF45" s="18">
        <f t="shared" ca="1" si="33"/>
        <v>0</v>
      </c>
      <c r="AG45" s="18">
        <f t="shared" ca="1" si="33"/>
        <v>0</v>
      </c>
      <c r="AH45" s="18">
        <f t="shared" ca="1" si="33"/>
        <v>0</v>
      </c>
      <c r="AI45" s="18">
        <f t="shared" ca="1" si="33"/>
        <v>0</v>
      </c>
      <c r="AJ45" s="18">
        <f t="shared" ca="1" si="33"/>
        <v>0</v>
      </c>
      <c r="AK45" s="18">
        <f t="shared" ca="1" si="33"/>
        <v>0</v>
      </c>
      <c r="AL45" s="18">
        <f t="shared" ca="1" si="33"/>
        <v>0</v>
      </c>
      <c r="AM45" s="18">
        <f t="shared" ca="1" si="33"/>
        <v>0</v>
      </c>
      <c r="AN45" s="18">
        <f t="shared" ca="1" si="33"/>
        <v>0</v>
      </c>
      <c r="AO45" s="18">
        <f t="shared" ca="1" si="33"/>
        <v>0</v>
      </c>
      <c r="AP45" s="18">
        <f t="shared" ca="1" si="33"/>
        <v>0</v>
      </c>
      <c r="AQ45" s="18">
        <f t="shared" ca="1" si="33"/>
        <v>0</v>
      </c>
      <c r="AR45" s="18">
        <f t="shared" ca="1" si="33"/>
        <v>0</v>
      </c>
      <c r="AS45" s="18">
        <f t="shared" ca="1" si="33"/>
        <v>0</v>
      </c>
      <c r="AT45" s="18">
        <f t="shared" ca="1" si="33"/>
        <v>0</v>
      </c>
      <c r="AU45" s="18">
        <f t="shared" ca="1" si="33"/>
        <v>0</v>
      </c>
      <c r="AV45" s="18">
        <f t="shared" ca="1" si="33"/>
        <v>0</v>
      </c>
      <c r="AW45" s="18">
        <f t="shared" ca="1" si="33"/>
        <v>0</v>
      </c>
      <c r="AX45" s="18">
        <f t="shared" ca="1" si="33"/>
        <v>0</v>
      </c>
      <c r="AY45" s="18">
        <f t="shared" ca="1" si="33"/>
        <v>0</v>
      </c>
    </row>
    <row r="46" spans="2:51" x14ac:dyDescent="0.15">
      <c r="K46" s="195"/>
      <c r="L46" s="8">
        <v>1</v>
      </c>
      <c r="M46" s="18">
        <f ca="1">D36*(E6+E7)/(D35+D36*(E6+E7)+D37)*E30</f>
        <v>0</v>
      </c>
      <c r="N46" s="18">
        <f ca="1">IF(N34="-",0,IF(N34="床下浸水",$G$36*N36,$E$36*N34^2+$F$36*N34+$G$36))</f>
        <v>0</v>
      </c>
      <c r="O46" s="18">
        <f ca="1">IF(O34="-",0,IF(O34="床下浸水",$G$36*O36,$E$36*O34^2+$F$36*O34+$G$36))</f>
        <v>0</v>
      </c>
      <c r="Q46" s="18">
        <f t="shared" ref="Q46:AY46" ca="1" si="34">IF(Q34="-",0,IF(Q34="床下浸水",$G$36*Q36,$E$36*Q34^2+$F$36*Q34+$G$36))</f>
        <v>0</v>
      </c>
      <c r="R46" s="18">
        <f t="shared" ca="1" si="34"/>
        <v>0</v>
      </c>
      <c r="S46" s="18">
        <f t="shared" ca="1" si="34"/>
        <v>0</v>
      </c>
      <c r="T46" s="18">
        <f t="shared" ca="1" si="34"/>
        <v>0</v>
      </c>
      <c r="U46" s="18">
        <f t="shared" ca="1" si="34"/>
        <v>0</v>
      </c>
      <c r="V46" s="18">
        <f t="shared" ca="1" si="34"/>
        <v>0</v>
      </c>
      <c r="W46" s="18">
        <f t="shared" ca="1" si="34"/>
        <v>0</v>
      </c>
      <c r="X46" s="18">
        <f t="shared" ca="1" si="34"/>
        <v>0</v>
      </c>
      <c r="Y46" s="18">
        <f t="shared" ca="1" si="34"/>
        <v>0</v>
      </c>
      <c r="Z46" s="18">
        <f t="shared" ca="1" si="34"/>
        <v>0</v>
      </c>
      <c r="AA46" s="18">
        <f t="shared" ca="1" si="34"/>
        <v>0</v>
      </c>
      <c r="AB46" s="18">
        <f t="shared" ca="1" si="34"/>
        <v>0</v>
      </c>
      <c r="AC46" s="18">
        <f t="shared" ca="1" si="34"/>
        <v>0</v>
      </c>
      <c r="AD46" s="18">
        <f t="shared" ca="1" si="34"/>
        <v>0</v>
      </c>
      <c r="AE46" s="18">
        <f t="shared" ca="1" si="34"/>
        <v>0</v>
      </c>
      <c r="AF46" s="18">
        <f t="shared" ca="1" si="34"/>
        <v>0</v>
      </c>
      <c r="AG46" s="18">
        <f t="shared" ca="1" si="34"/>
        <v>0</v>
      </c>
      <c r="AH46" s="18">
        <f t="shared" ca="1" si="34"/>
        <v>0</v>
      </c>
      <c r="AI46" s="18">
        <f t="shared" ca="1" si="34"/>
        <v>0</v>
      </c>
      <c r="AJ46" s="18">
        <f t="shared" ca="1" si="34"/>
        <v>0</v>
      </c>
      <c r="AK46" s="18">
        <f t="shared" ca="1" si="34"/>
        <v>0</v>
      </c>
      <c r="AL46" s="18">
        <f t="shared" ca="1" si="34"/>
        <v>0</v>
      </c>
      <c r="AM46" s="18">
        <f t="shared" ca="1" si="34"/>
        <v>0</v>
      </c>
      <c r="AN46" s="18">
        <f t="shared" ca="1" si="34"/>
        <v>0</v>
      </c>
      <c r="AO46" s="18">
        <f t="shared" ca="1" si="34"/>
        <v>0</v>
      </c>
      <c r="AP46" s="18">
        <f t="shared" ca="1" si="34"/>
        <v>0</v>
      </c>
      <c r="AQ46" s="18">
        <f t="shared" ca="1" si="34"/>
        <v>0</v>
      </c>
      <c r="AR46" s="18">
        <f t="shared" ca="1" si="34"/>
        <v>0</v>
      </c>
      <c r="AS46" s="18">
        <f t="shared" ca="1" si="34"/>
        <v>0</v>
      </c>
      <c r="AT46" s="18">
        <f t="shared" ca="1" si="34"/>
        <v>0</v>
      </c>
      <c r="AU46" s="18">
        <f t="shared" ca="1" si="34"/>
        <v>0</v>
      </c>
      <c r="AV46" s="18">
        <f t="shared" ca="1" si="34"/>
        <v>0</v>
      </c>
      <c r="AW46" s="18">
        <f t="shared" ca="1" si="34"/>
        <v>0</v>
      </c>
      <c r="AX46" s="18">
        <f t="shared" ca="1" si="34"/>
        <v>0</v>
      </c>
      <c r="AY46" s="18">
        <f t="shared" ca="1" si="34"/>
        <v>0</v>
      </c>
    </row>
    <row r="47" spans="2:51" x14ac:dyDescent="0.15">
      <c r="K47" s="195"/>
      <c r="L47" s="7" t="s">
        <v>36</v>
      </c>
      <c r="M47" s="18">
        <f ca="1">D36*(E6+E7)/(D35+D36*(E6+E7)+D37)*E31</f>
        <v>0</v>
      </c>
      <c r="N47" s="18">
        <f ca="1">IF(N35="-",0,IF(N35="床下浸水",$G$36*N36,$E$36*N35^2+$F$36*N35+$G$36))</f>
        <v>0</v>
      </c>
      <c r="O47" s="18">
        <f ca="1">IF(O35="-",0,IF(O35="床下浸水",$G$36*O36,$E$36*O35^2+$F$36*O35+$G$36))</f>
        <v>0</v>
      </c>
      <c r="Q47" s="18">
        <f t="shared" ref="Q47:AY47" ca="1" si="35">IF(Q35="-",0,IF(Q35="床下浸水",$G$36*Q36,$E$36*Q35^2+$F$36*Q35+$G$36))</f>
        <v>0</v>
      </c>
      <c r="R47" s="18">
        <f t="shared" ca="1" si="35"/>
        <v>0</v>
      </c>
      <c r="S47" s="18">
        <f t="shared" ca="1" si="35"/>
        <v>0</v>
      </c>
      <c r="T47" s="18">
        <f t="shared" ca="1" si="35"/>
        <v>0</v>
      </c>
      <c r="U47" s="18">
        <f t="shared" ca="1" si="35"/>
        <v>0</v>
      </c>
      <c r="V47" s="18">
        <f t="shared" ca="1" si="35"/>
        <v>0</v>
      </c>
      <c r="W47" s="18">
        <f t="shared" ca="1" si="35"/>
        <v>0</v>
      </c>
      <c r="X47" s="18">
        <f t="shared" ca="1" si="35"/>
        <v>0</v>
      </c>
      <c r="Y47" s="18">
        <f t="shared" ca="1" si="35"/>
        <v>0</v>
      </c>
      <c r="Z47" s="18">
        <f t="shared" ca="1" si="35"/>
        <v>0</v>
      </c>
      <c r="AA47" s="18">
        <f t="shared" ca="1" si="35"/>
        <v>0</v>
      </c>
      <c r="AB47" s="18">
        <f t="shared" ca="1" si="35"/>
        <v>0</v>
      </c>
      <c r="AC47" s="18">
        <f t="shared" ca="1" si="35"/>
        <v>0</v>
      </c>
      <c r="AD47" s="18">
        <f t="shared" ca="1" si="35"/>
        <v>0</v>
      </c>
      <c r="AE47" s="18">
        <f t="shared" ca="1" si="35"/>
        <v>0</v>
      </c>
      <c r="AF47" s="18">
        <f t="shared" ca="1" si="35"/>
        <v>0</v>
      </c>
      <c r="AG47" s="18">
        <f t="shared" ca="1" si="35"/>
        <v>0</v>
      </c>
      <c r="AH47" s="18">
        <f t="shared" ca="1" si="35"/>
        <v>0</v>
      </c>
      <c r="AI47" s="18">
        <f t="shared" ca="1" si="35"/>
        <v>0</v>
      </c>
      <c r="AJ47" s="18">
        <f t="shared" ca="1" si="35"/>
        <v>0</v>
      </c>
      <c r="AK47" s="18">
        <f t="shared" ca="1" si="35"/>
        <v>0</v>
      </c>
      <c r="AL47" s="18">
        <f t="shared" ca="1" si="35"/>
        <v>0</v>
      </c>
      <c r="AM47" s="18">
        <f t="shared" ca="1" si="35"/>
        <v>0</v>
      </c>
      <c r="AN47" s="18">
        <f t="shared" ca="1" si="35"/>
        <v>0</v>
      </c>
      <c r="AO47" s="18">
        <f t="shared" ca="1" si="35"/>
        <v>0</v>
      </c>
      <c r="AP47" s="18">
        <f t="shared" ca="1" si="35"/>
        <v>0</v>
      </c>
      <c r="AQ47" s="18">
        <f t="shared" ca="1" si="35"/>
        <v>0</v>
      </c>
      <c r="AR47" s="18">
        <f t="shared" ca="1" si="35"/>
        <v>0</v>
      </c>
      <c r="AS47" s="18">
        <f t="shared" ca="1" si="35"/>
        <v>0</v>
      </c>
      <c r="AT47" s="18">
        <f t="shared" ca="1" si="35"/>
        <v>0</v>
      </c>
      <c r="AU47" s="18">
        <f t="shared" ca="1" si="35"/>
        <v>0</v>
      </c>
      <c r="AV47" s="18">
        <f t="shared" ca="1" si="35"/>
        <v>0</v>
      </c>
      <c r="AW47" s="18">
        <f t="shared" ca="1" si="35"/>
        <v>0</v>
      </c>
      <c r="AX47" s="18">
        <f t="shared" ca="1" si="35"/>
        <v>0</v>
      </c>
      <c r="AY47" s="18">
        <f t="shared" ca="1" si="35"/>
        <v>0</v>
      </c>
    </row>
    <row r="48" spans="2:51" customFormat="1" x14ac:dyDescent="0.15">
      <c r="B48" s="5"/>
      <c r="C48" s="5"/>
      <c r="D48" s="5"/>
      <c r="E48" s="5"/>
      <c r="F48" s="5"/>
      <c r="G48" s="5"/>
      <c r="K48" s="195"/>
      <c r="L48" s="7" t="s">
        <v>4</v>
      </c>
      <c r="M48" s="18">
        <f ca="1">D37/(D35+D36*(E6+E7)+D37)</f>
        <v>0.5</v>
      </c>
      <c r="N48" s="18">
        <f ca="1">IF(N36="-",0,$E$37*N36^2+$F$37*N36+$G$37)</f>
        <v>0</v>
      </c>
      <c r="O48" s="18">
        <f ca="1">IF(O36="-",0,$E$37*O36^2+$F$37*O36+$G$37)</f>
        <v>0</v>
      </c>
      <c r="Q48" s="18">
        <f t="shared" ref="Q48:AY48" ca="1" si="36">IF(Q36="-",0,$E$37*Q36^2+$F$37*Q36+$G$37)</f>
        <v>0</v>
      </c>
      <c r="R48" s="18">
        <f t="shared" ca="1" si="36"/>
        <v>0</v>
      </c>
      <c r="S48" s="18">
        <f t="shared" ca="1" si="36"/>
        <v>0</v>
      </c>
      <c r="T48" s="18">
        <f t="shared" ca="1" si="36"/>
        <v>0</v>
      </c>
      <c r="U48" s="18">
        <f t="shared" ca="1" si="36"/>
        <v>0</v>
      </c>
      <c r="V48" s="18">
        <f t="shared" ca="1" si="36"/>
        <v>0</v>
      </c>
      <c r="W48" s="18">
        <f t="shared" ca="1" si="36"/>
        <v>0</v>
      </c>
      <c r="X48" s="18">
        <f t="shared" ca="1" si="36"/>
        <v>0</v>
      </c>
      <c r="Y48" s="18">
        <f t="shared" ca="1" si="36"/>
        <v>0</v>
      </c>
      <c r="Z48" s="18">
        <f t="shared" ca="1" si="36"/>
        <v>0</v>
      </c>
      <c r="AA48" s="18">
        <f t="shared" ca="1" si="36"/>
        <v>0</v>
      </c>
      <c r="AB48" s="18">
        <f t="shared" ca="1" si="36"/>
        <v>0</v>
      </c>
      <c r="AC48" s="18">
        <f t="shared" ca="1" si="36"/>
        <v>0</v>
      </c>
      <c r="AD48" s="18">
        <f t="shared" ca="1" si="36"/>
        <v>0</v>
      </c>
      <c r="AE48" s="18">
        <f t="shared" ca="1" si="36"/>
        <v>0</v>
      </c>
      <c r="AF48" s="18">
        <f t="shared" ca="1" si="36"/>
        <v>0</v>
      </c>
      <c r="AG48" s="18">
        <f t="shared" ca="1" si="36"/>
        <v>0</v>
      </c>
      <c r="AH48" s="18">
        <f t="shared" ca="1" si="36"/>
        <v>0</v>
      </c>
      <c r="AI48" s="18">
        <f t="shared" ca="1" si="36"/>
        <v>0</v>
      </c>
      <c r="AJ48" s="18">
        <f t="shared" ca="1" si="36"/>
        <v>0</v>
      </c>
      <c r="AK48" s="18">
        <f t="shared" ca="1" si="36"/>
        <v>0</v>
      </c>
      <c r="AL48" s="18">
        <f t="shared" ca="1" si="36"/>
        <v>0</v>
      </c>
      <c r="AM48" s="18">
        <f t="shared" ca="1" si="36"/>
        <v>0</v>
      </c>
      <c r="AN48" s="18">
        <f t="shared" ca="1" si="36"/>
        <v>0</v>
      </c>
      <c r="AO48" s="18">
        <f t="shared" ca="1" si="36"/>
        <v>0</v>
      </c>
      <c r="AP48" s="18">
        <f t="shared" ca="1" si="36"/>
        <v>0</v>
      </c>
      <c r="AQ48" s="18">
        <f t="shared" ca="1" si="36"/>
        <v>0</v>
      </c>
      <c r="AR48" s="18">
        <f t="shared" ca="1" si="36"/>
        <v>0</v>
      </c>
      <c r="AS48" s="18">
        <f t="shared" ca="1" si="36"/>
        <v>0</v>
      </c>
      <c r="AT48" s="18">
        <f t="shared" ca="1" si="36"/>
        <v>0</v>
      </c>
      <c r="AU48" s="18">
        <f t="shared" ca="1" si="36"/>
        <v>0</v>
      </c>
      <c r="AV48" s="18">
        <f t="shared" ca="1" si="36"/>
        <v>0</v>
      </c>
      <c r="AW48" s="18">
        <f t="shared" ca="1" si="36"/>
        <v>0</v>
      </c>
      <c r="AX48" s="18">
        <f t="shared" ca="1" si="36"/>
        <v>0</v>
      </c>
      <c r="AY48" s="18">
        <f t="shared" ca="1" si="36"/>
        <v>0</v>
      </c>
    </row>
    <row r="49" spans="2:51" x14ac:dyDescent="0.15">
      <c r="L49" s="74"/>
      <c r="M49" s="15" t="s">
        <v>100</v>
      </c>
      <c r="N49" s="11">
        <f ca="1">SUMPRODUCT($M$39:$M$48,N39:N48)</f>
        <v>0</v>
      </c>
      <c r="O49" s="11">
        <f ca="1">SUMPRODUCT($M$39:$M$48,O39:O48)</f>
        <v>0</v>
      </c>
      <c r="Q49" s="11">
        <f ca="1">SUMPRODUCT($M$39:$M$48,Q39:Q48)</f>
        <v>0</v>
      </c>
      <c r="R49" s="11">
        <f ca="1">SUMPRODUCT($M$39:$M$48,R39:R48)</f>
        <v>0</v>
      </c>
      <c r="S49" s="11">
        <f ca="1">SUMPRODUCT($M$39:$M$48,S39:S48)</f>
        <v>0</v>
      </c>
      <c r="T49" s="11">
        <f t="shared" ref="T49:AY49" ca="1" si="37">SUMPRODUCT($M$39:$M$48,T39:T48)</f>
        <v>0</v>
      </c>
      <c r="U49" s="11">
        <f t="shared" ca="1" si="37"/>
        <v>0</v>
      </c>
      <c r="V49" s="11">
        <f t="shared" ca="1" si="37"/>
        <v>0</v>
      </c>
      <c r="W49" s="11">
        <f t="shared" ca="1" si="37"/>
        <v>0</v>
      </c>
      <c r="X49" s="11">
        <f t="shared" ca="1" si="37"/>
        <v>0</v>
      </c>
      <c r="Y49" s="11">
        <f t="shared" ca="1" si="37"/>
        <v>0</v>
      </c>
      <c r="Z49" s="11">
        <f t="shared" ca="1" si="37"/>
        <v>0</v>
      </c>
      <c r="AA49" s="11">
        <f t="shared" ca="1" si="37"/>
        <v>0</v>
      </c>
      <c r="AB49" s="11">
        <f t="shared" ca="1" si="37"/>
        <v>0</v>
      </c>
      <c r="AC49" s="11">
        <f t="shared" ca="1" si="37"/>
        <v>0</v>
      </c>
      <c r="AD49" s="11">
        <f t="shared" ca="1" si="37"/>
        <v>0</v>
      </c>
      <c r="AE49" s="11">
        <f t="shared" ca="1" si="37"/>
        <v>0</v>
      </c>
      <c r="AF49" s="11">
        <f t="shared" ca="1" si="37"/>
        <v>0</v>
      </c>
      <c r="AG49" s="11">
        <f t="shared" ca="1" si="37"/>
        <v>0</v>
      </c>
      <c r="AH49" s="11">
        <f t="shared" ca="1" si="37"/>
        <v>0</v>
      </c>
      <c r="AI49" s="11">
        <f t="shared" ca="1" si="37"/>
        <v>0</v>
      </c>
      <c r="AJ49" s="11">
        <f t="shared" ca="1" si="37"/>
        <v>0</v>
      </c>
      <c r="AK49" s="11">
        <f t="shared" ca="1" si="37"/>
        <v>0</v>
      </c>
      <c r="AL49" s="11">
        <f t="shared" ca="1" si="37"/>
        <v>0</v>
      </c>
      <c r="AM49" s="11">
        <f t="shared" ca="1" si="37"/>
        <v>0</v>
      </c>
      <c r="AN49" s="11">
        <f t="shared" ca="1" si="37"/>
        <v>0</v>
      </c>
      <c r="AO49" s="11">
        <f t="shared" ca="1" si="37"/>
        <v>0</v>
      </c>
      <c r="AP49" s="11">
        <f t="shared" ca="1" si="37"/>
        <v>0</v>
      </c>
      <c r="AQ49" s="11">
        <f t="shared" ca="1" si="37"/>
        <v>0</v>
      </c>
      <c r="AR49" s="11">
        <f t="shared" ca="1" si="37"/>
        <v>0</v>
      </c>
      <c r="AS49" s="11">
        <f t="shared" ca="1" si="37"/>
        <v>0</v>
      </c>
      <c r="AT49" s="11">
        <f t="shared" ca="1" si="37"/>
        <v>0</v>
      </c>
      <c r="AU49" s="11">
        <f t="shared" ca="1" si="37"/>
        <v>0</v>
      </c>
      <c r="AV49" s="11">
        <f t="shared" ca="1" si="37"/>
        <v>0</v>
      </c>
      <c r="AW49" s="11">
        <f t="shared" ca="1" si="37"/>
        <v>0</v>
      </c>
      <c r="AX49" s="11">
        <f t="shared" ca="1" si="37"/>
        <v>0</v>
      </c>
      <c r="AY49" s="11">
        <f t="shared" ca="1" si="37"/>
        <v>0</v>
      </c>
    </row>
    <row r="50" spans="2:51" x14ac:dyDescent="0.15">
      <c r="K50"/>
      <c r="L50"/>
      <c r="M50"/>
      <c r="Q50"/>
      <c r="R50"/>
      <c r="S50"/>
      <c r="T50"/>
      <c r="U50"/>
      <c r="V50"/>
      <c r="W50"/>
      <c r="X50"/>
      <c r="Y50"/>
      <c r="Z50"/>
      <c r="AA50"/>
      <c r="AB50"/>
      <c r="AC50"/>
      <c r="AD50"/>
      <c r="AE50"/>
      <c r="AF50"/>
      <c r="AG50"/>
      <c r="AH50"/>
      <c r="AI50"/>
      <c r="AJ50"/>
      <c r="AK50"/>
      <c r="AL50"/>
      <c r="AM50"/>
      <c r="AN50"/>
      <c r="AO50"/>
      <c r="AP50"/>
      <c r="AQ50"/>
      <c r="AR50"/>
      <c r="AS50"/>
      <c r="AT50"/>
      <c r="AU50"/>
      <c r="AV50"/>
      <c r="AW50"/>
      <c r="AX50"/>
      <c r="AY50"/>
    </row>
    <row r="51" spans="2:51" x14ac:dyDescent="0.15">
      <c r="K51" s="195" t="s">
        <v>102</v>
      </c>
      <c r="L51" s="15" t="s">
        <v>28</v>
      </c>
      <c r="M51" s="15" t="s">
        <v>99</v>
      </c>
      <c r="N51" s="27" t="s">
        <v>60</v>
      </c>
      <c r="O51" s="27" t="s">
        <v>60</v>
      </c>
      <c r="Q51" s="15" t="s">
        <v>60</v>
      </c>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row>
    <row r="52" spans="2:51" x14ac:dyDescent="0.15">
      <c r="K52" s="195"/>
      <c r="L52" s="7" t="s">
        <v>56</v>
      </c>
      <c r="M52" s="18">
        <f t="shared" ref="M52:M60" ca="1" si="38">F23</f>
        <v>0</v>
      </c>
      <c r="N52" s="21">
        <f ca="1">IF(N15="水没",$E$40*1^4+$F$40*1^3+$G$40*1^2+$H$40*1+$I$40,IF(OR(N15="-",N15="浸水なし"),0,IF(N15&lt;&gt;"床下浸水",$E$40*MIN(N15/$D$40,1)^4+$F$40*MIN(N15/$D$40,1)^3+$G$40*MIN(N15/$D$40,1)^2+$H$40*MIN(N15/$D$40,1)+$I$40,$I$40*N$36)))</f>
        <v>0</v>
      </c>
      <c r="O52" s="21">
        <f ca="1">IF(O15="水没",$E$40*1^4+$F$40*1^3+$G$40*1^2+$H$40*1+$I$40,IF(OR(O15="-",O15="浸水なし"),0,IF(O15&lt;&gt;"床下浸水",$E$40*MIN(O15/$D$40,1)^4+$F$40*MIN(O15/$D$40,1)^3+$G$40*MIN(O15/$D$40,1)^2+$H$40*MIN(O15/$D$40,1)+$I$40,$I$40*O$36)))</f>
        <v>0</v>
      </c>
      <c r="Q52" s="21">
        <f ca="1">IF(Q15="水没",$E$40*1^4+$F$40*1^3+$G$40*1^2+$H$40*1+$I$40,IF(OR(Q15="-",Q15="浸水なし"),0,IF(Q15&lt;&gt;"床下浸水",$E$40*MIN(Q15/$D$40,1)^4+$F$40*MIN(Q15/$D$40,1)^3+$G$40*MIN(Q15/$D$40,1)^2+$H$40*MIN(Q15/$D$40,1)+$I$40,$I$40*Q$36)))</f>
        <v>0</v>
      </c>
      <c r="R52" s="21">
        <f t="shared" ref="R52:AY52" ca="1" si="39">IF(R15="水没",$E$40*1^4+$F$40*1^3+$G$40*1^2+$H$40*1+$I$40,IF(OR(R15="-",R15="浸水なし"),0,IF(R15&lt;&gt;"床下浸水",$E$40*MIN(R15/$D$40,1)^4+$F$40*MIN(R15/$D$40,1)^3+$G$40*MIN(R15/$D$40,1)^2+$H$40*MIN(R15/$D$40,1)+$I$40,$I$40*R$36)))</f>
        <v>0</v>
      </c>
      <c r="S52" s="21">
        <f t="shared" ca="1" si="39"/>
        <v>0</v>
      </c>
      <c r="T52" s="21">
        <f t="shared" ca="1" si="39"/>
        <v>0</v>
      </c>
      <c r="U52" s="21">
        <f t="shared" ca="1" si="39"/>
        <v>0</v>
      </c>
      <c r="V52" s="21">
        <f t="shared" ca="1" si="39"/>
        <v>0</v>
      </c>
      <c r="W52" s="21">
        <f t="shared" ca="1" si="39"/>
        <v>0</v>
      </c>
      <c r="X52" s="21">
        <f t="shared" ca="1" si="39"/>
        <v>0</v>
      </c>
      <c r="Y52" s="21">
        <f t="shared" ca="1" si="39"/>
        <v>0</v>
      </c>
      <c r="Z52" s="21">
        <f t="shared" ca="1" si="39"/>
        <v>0</v>
      </c>
      <c r="AA52" s="21">
        <f t="shared" ca="1" si="39"/>
        <v>0</v>
      </c>
      <c r="AB52" s="21">
        <f t="shared" ca="1" si="39"/>
        <v>0</v>
      </c>
      <c r="AC52" s="21">
        <f t="shared" ca="1" si="39"/>
        <v>0</v>
      </c>
      <c r="AD52" s="21">
        <f t="shared" ca="1" si="39"/>
        <v>0</v>
      </c>
      <c r="AE52" s="21">
        <f t="shared" ca="1" si="39"/>
        <v>0</v>
      </c>
      <c r="AF52" s="21">
        <f t="shared" ca="1" si="39"/>
        <v>0</v>
      </c>
      <c r="AG52" s="21">
        <f t="shared" ca="1" si="39"/>
        <v>0</v>
      </c>
      <c r="AH52" s="21">
        <f t="shared" ca="1" si="39"/>
        <v>0</v>
      </c>
      <c r="AI52" s="21">
        <f t="shared" ca="1" si="39"/>
        <v>0</v>
      </c>
      <c r="AJ52" s="21">
        <f t="shared" ca="1" si="39"/>
        <v>0</v>
      </c>
      <c r="AK52" s="21">
        <f t="shared" ca="1" si="39"/>
        <v>0</v>
      </c>
      <c r="AL52" s="21">
        <f t="shared" ca="1" si="39"/>
        <v>0</v>
      </c>
      <c r="AM52" s="21">
        <f t="shared" ca="1" si="39"/>
        <v>0</v>
      </c>
      <c r="AN52" s="21">
        <f t="shared" ca="1" si="39"/>
        <v>0</v>
      </c>
      <c r="AO52" s="21">
        <f t="shared" ca="1" si="39"/>
        <v>0</v>
      </c>
      <c r="AP52" s="21">
        <f t="shared" ca="1" si="39"/>
        <v>0</v>
      </c>
      <c r="AQ52" s="21">
        <f t="shared" ca="1" si="39"/>
        <v>0</v>
      </c>
      <c r="AR52" s="21">
        <f t="shared" ca="1" si="39"/>
        <v>0</v>
      </c>
      <c r="AS52" s="21">
        <f t="shared" ca="1" si="39"/>
        <v>0</v>
      </c>
      <c r="AT52" s="21">
        <f t="shared" ca="1" si="39"/>
        <v>0</v>
      </c>
      <c r="AU52" s="21">
        <f t="shared" ca="1" si="39"/>
        <v>0</v>
      </c>
      <c r="AV52" s="21">
        <f t="shared" ca="1" si="39"/>
        <v>0</v>
      </c>
      <c r="AW52" s="21">
        <f t="shared" ca="1" si="39"/>
        <v>0</v>
      </c>
      <c r="AX52" s="21">
        <f t="shared" ca="1" si="39"/>
        <v>0</v>
      </c>
      <c r="AY52" s="21">
        <f t="shared" ca="1" si="39"/>
        <v>0</v>
      </c>
    </row>
    <row r="53" spans="2:51" x14ac:dyDescent="0.15">
      <c r="B53"/>
      <c r="C53"/>
      <c r="D53"/>
      <c r="E53"/>
      <c r="F53"/>
      <c r="G53"/>
      <c r="K53" s="195"/>
      <c r="L53" s="7" t="s">
        <v>45</v>
      </c>
      <c r="M53" s="18">
        <f ca="1">F24</f>
        <v>0</v>
      </c>
      <c r="N53" s="21">
        <f t="shared" ref="N53:O53" si="40">IF(N16="水没",$E$40*1^4+$F$40*1^3+$G$40*1^2+$H$40*1+$I$40,IF(OR(N16="-",N16="浸水なし"),0,IF(N16&lt;&gt;"床下浸水",$E$40*MIN(N16/$D$40,1)^4+$F$40*MIN(N16/$D$40,1)^3+$G$40*MIN(N16/$D$40,1)^2+$H$40*MIN(N16/$D$40,1)+$I$40,$I$40*N$36)))</f>
        <v>0</v>
      </c>
      <c r="O53" s="21">
        <f t="shared" si="40"/>
        <v>0</v>
      </c>
      <c r="Q53" s="21">
        <f t="shared" ref="Q53:AY53" si="41">IF(Q16="水没",$E$40*1^4+$F$40*1^3+$G$40*1^2+$H$40*1+$I$40,IF(OR(Q16="-",Q16="浸水なし"),0,IF(Q16&lt;&gt;"床下浸水",$E$40*MIN(Q16/$D$40,1)^4+$F$40*MIN(Q16/$D$40,1)^3+$G$40*MIN(Q16/$D$40,1)^2+$H$40*MIN(Q16/$D$40,1)+$I$40,$I$40*Q$36)))</f>
        <v>0</v>
      </c>
      <c r="R53" s="21">
        <f t="shared" si="41"/>
        <v>0</v>
      </c>
      <c r="S53" s="21">
        <f t="shared" si="41"/>
        <v>0</v>
      </c>
      <c r="T53" s="21">
        <f t="shared" si="41"/>
        <v>0</v>
      </c>
      <c r="U53" s="21">
        <f t="shared" si="41"/>
        <v>0</v>
      </c>
      <c r="V53" s="21">
        <f t="shared" si="41"/>
        <v>0</v>
      </c>
      <c r="W53" s="21">
        <f t="shared" si="41"/>
        <v>0</v>
      </c>
      <c r="X53" s="21">
        <f t="shared" si="41"/>
        <v>0</v>
      </c>
      <c r="Y53" s="21">
        <f t="shared" si="41"/>
        <v>0</v>
      </c>
      <c r="Z53" s="21">
        <f t="shared" si="41"/>
        <v>0</v>
      </c>
      <c r="AA53" s="21">
        <f t="shared" si="41"/>
        <v>0</v>
      </c>
      <c r="AB53" s="21">
        <f t="shared" si="41"/>
        <v>0</v>
      </c>
      <c r="AC53" s="21">
        <f t="shared" si="41"/>
        <v>0</v>
      </c>
      <c r="AD53" s="21">
        <f t="shared" si="41"/>
        <v>0</v>
      </c>
      <c r="AE53" s="21">
        <f t="shared" si="41"/>
        <v>0</v>
      </c>
      <c r="AF53" s="21">
        <f t="shared" si="41"/>
        <v>0</v>
      </c>
      <c r="AG53" s="21">
        <f t="shared" si="41"/>
        <v>0</v>
      </c>
      <c r="AH53" s="21">
        <f t="shared" si="41"/>
        <v>0</v>
      </c>
      <c r="AI53" s="21">
        <f t="shared" si="41"/>
        <v>0</v>
      </c>
      <c r="AJ53" s="21">
        <f t="shared" si="41"/>
        <v>0</v>
      </c>
      <c r="AK53" s="21">
        <f t="shared" si="41"/>
        <v>0</v>
      </c>
      <c r="AL53" s="21">
        <f t="shared" si="41"/>
        <v>0</v>
      </c>
      <c r="AM53" s="21">
        <f t="shared" si="41"/>
        <v>0</v>
      </c>
      <c r="AN53" s="21">
        <f t="shared" si="41"/>
        <v>0</v>
      </c>
      <c r="AO53" s="21">
        <f t="shared" si="41"/>
        <v>0</v>
      </c>
      <c r="AP53" s="21">
        <f t="shared" si="41"/>
        <v>0</v>
      </c>
      <c r="AQ53" s="21">
        <f t="shared" si="41"/>
        <v>0</v>
      </c>
      <c r="AR53" s="21">
        <f t="shared" si="41"/>
        <v>0</v>
      </c>
      <c r="AS53" s="21">
        <f t="shared" si="41"/>
        <v>0</v>
      </c>
      <c r="AT53" s="21">
        <f t="shared" si="41"/>
        <v>0</v>
      </c>
      <c r="AU53" s="21">
        <f t="shared" si="41"/>
        <v>0</v>
      </c>
      <c r="AV53" s="21">
        <f t="shared" si="41"/>
        <v>0</v>
      </c>
      <c r="AW53" s="21">
        <f t="shared" si="41"/>
        <v>0</v>
      </c>
      <c r="AX53" s="21">
        <f t="shared" si="41"/>
        <v>0</v>
      </c>
      <c r="AY53" s="21">
        <f t="shared" si="41"/>
        <v>0</v>
      </c>
    </row>
    <row r="54" spans="2:51" x14ac:dyDescent="0.15">
      <c r="E54"/>
      <c r="F54"/>
      <c r="G54"/>
      <c r="K54" s="195"/>
      <c r="L54" s="8">
        <v>6</v>
      </c>
      <c r="M54" s="18">
        <f t="shared" ca="1" si="38"/>
        <v>0</v>
      </c>
      <c r="N54" s="21">
        <f t="shared" ref="N54:O54" ca="1" si="42">IF(N17="水没",$E$40*1^4+$F$40*1^3+$G$40*1^2+$H$40*1+$I$40,IF(OR(N17="-",N17="浸水なし"),0,IF(N17&lt;&gt;"床下浸水",$E$40*MIN(N17/$D$40,1)^4+$F$40*MIN(N17/$D$40,1)^3+$G$40*MIN(N17/$D$40,1)^2+$H$40*MIN(N17/$D$40,1)+$I$40,$I$40*N$36)))</f>
        <v>0</v>
      </c>
      <c r="O54" s="21">
        <f t="shared" ca="1" si="42"/>
        <v>0</v>
      </c>
      <c r="Q54" s="21">
        <f t="shared" ref="Q54:AY54" ca="1" si="43">IF(Q17="水没",$E$40*1^4+$F$40*1^3+$G$40*1^2+$H$40*1+$I$40,IF(OR(Q17="-",Q17="浸水なし"),0,IF(Q17&lt;&gt;"床下浸水",$E$40*MIN(Q17/$D$40,1)^4+$F$40*MIN(Q17/$D$40,1)^3+$G$40*MIN(Q17/$D$40,1)^2+$H$40*MIN(Q17/$D$40,1)+$I$40,$I$40*Q$36)))</f>
        <v>0</v>
      </c>
      <c r="R54" s="21">
        <f t="shared" ca="1" si="43"/>
        <v>0</v>
      </c>
      <c r="S54" s="21">
        <f t="shared" ca="1" si="43"/>
        <v>0</v>
      </c>
      <c r="T54" s="21">
        <f t="shared" ca="1" si="43"/>
        <v>0</v>
      </c>
      <c r="U54" s="21">
        <f t="shared" ca="1" si="43"/>
        <v>0</v>
      </c>
      <c r="V54" s="21">
        <f t="shared" ca="1" si="43"/>
        <v>0</v>
      </c>
      <c r="W54" s="21">
        <f t="shared" ca="1" si="43"/>
        <v>0</v>
      </c>
      <c r="X54" s="21">
        <f t="shared" ca="1" si="43"/>
        <v>0</v>
      </c>
      <c r="Y54" s="21">
        <f t="shared" ca="1" si="43"/>
        <v>0</v>
      </c>
      <c r="Z54" s="21">
        <f t="shared" ca="1" si="43"/>
        <v>0</v>
      </c>
      <c r="AA54" s="21">
        <f t="shared" ca="1" si="43"/>
        <v>0</v>
      </c>
      <c r="AB54" s="21">
        <f t="shared" ca="1" si="43"/>
        <v>0</v>
      </c>
      <c r="AC54" s="21">
        <f t="shared" ca="1" si="43"/>
        <v>0</v>
      </c>
      <c r="AD54" s="21">
        <f t="shared" ca="1" si="43"/>
        <v>0</v>
      </c>
      <c r="AE54" s="21">
        <f t="shared" ca="1" si="43"/>
        <v>0</v>
      </c>
      <c r="AF54" s="21">
        <f t="shared" ca="1" si="43"/>
        <v>0</v>
      </c>
      <c r="AG54" s="21">
        <f t="shared" ca="1" si="43"/>
        <v>0</v>
      </c>
      <c r="AH54" s="21">
        <f t="shared" ca="1" si="43"/>
        <v>0</v>
      </c>
      <c r="AI54" s="21">
        <f t="shared" ca="1" si="43"/>
        <v>0</v>
      </c>
      <c r="AJ54" s="21">
        <f t="shared" ca="1" si="43"/>
        <v>0</v>
      </c>
      <c r="AK54" s="21">
        <f t="shared" ca="1" si="43"/>
        <v>0</v>
      </c>
      <c r="AL54" s="21">
        <f t="shared" ca="1" si="43"/>
        <v>0</v>
      </c>
      <c r="AM54" s="21">
        <f t="shared" ca="1" si="43"/>
        <v>0</v>
      </c>
      <c r="AN54" s="21">
        <f t="shared" ca="1" si="43"/>
        <v>0</v>
      </c>
      <c r="AO54" s="21">
        <f t="shared" ca="1" si="43"/>
        <v>0</v>
      </c>
      <c r="AP54" s="21">
        <f t="shared" ca="1" si="43"/>
        <v>0</v>
      </c>
      <c r="AQ54" s="21">
        <f t="shared" ca="1" si="43"/>
        <v>0</v>
      </c>
      <c r="AR54" s="21">
        <f t="shared" ca="1" si="43"/>
        <v>0</v>
      </c>
      <c r="AS54" s="21">
        <f t="shared" ca="1" si="43"/>
        <v>0</v>
      </c>
      <c r="AT54" s="21">
        <f t="shared" ca="1" si="43"/>
        <v>0</v>
      </c>
      <c r="AU54" s="21">
        <f t="shared" ca="1" si="43"/>
        <v>0</v>
      </c>
      <c r="AV54" s="21">
        <f t="shared" ca="1" si="43"/>
        <v>0</v>
      </c>
      <c r="AW54" s="21">
        <f t="shared" ca="1" si="43"/>
        <v>0</v>
      </c>
      <c r="AX54" s="21">
        <f t="shared" ca="1" si="43"/>
        <v>0</v>
      </c>
      <c r="AY54" s="21">
        <f t="shared" ca="1" si="43"/>
        <v>0</v>
      </c>
    </row>
    <row r="55" spans="2:51" x14ac:dyDescent="0.15">
      <c r="E55"/>
      <c r="F55"/>
      <c r="G55"/>
      <c r="K55" s="195"/>
      <c r="L55" s="8">
        <v>5</v>
      </c>
      <c r="M55" s="18">
        <f t="shared" ca="1" si="38"/>
        <v>0</v>
      </c>
      <c r="N55" s="21">
        <f t="shared" ref="N55:O55" ca="1" si="44">IF(N18="水没",$E$40*1^4+$F$40*1^3+$G$40*1^2+$H$40*1+$I$40,IF(OR(N18="-",N18="浸水なし"),0,IF(N18&lt;&gt;"床下浸水",$E$40*MIN(N18/$D$40,1)^4+$F$40*MIN(N18/$D$40,1)^3+$G$40*MIN(N18/$D$40,1)^2+$H$40*MIN(N18/$D$40,1)+$I$40,$I$40*N$36)))</f>
        <v>0</v>
      </c>
      <c r="O55" s="21">
        <f t="shared" ca="1" si="44"/>
        <v>0</v>
      </c>
      <c r="Q55" s="21">
        <f t="shared" ref="Q55:AY55" ca="1" si="45">IF(Q18="水没",$E$40*1^4+$F$40*1^3+$G$40*1^2+$H$40*1+$I$40,IF(OR(Q18="-",Q18="浸水なし"),0,IF(Q18&lt;&gt;"床下浸水",$E$40*MIN(Q18/$D$40,1)^4+$F$40*MIN(Q18/$D$40,1)^3+$G$40*MIN(Q18/$D$40,1)^2+$H$40*MIN(Q18/$D$40,1)+$I$40,$I$40*Q$36)))</f>
        <v>0</v>
      </c>
      <c r="R55" s="21">
        <f t="shared" ca="1" si="45"/>
        <v>0</v>
      </c>
      <c r="S55" s="21">
        <f t="shared" ca="1" si="45"/>
        <v>0</v>
      </c>
      <c r="T55" s="21">
        <f t="shared" ca="1" si="45"/>
        <v>0</v>
      </c>
      <c r="U55" s="21">
        <f t="shared" ca="1" si="45"/>
        <v>0</v>
      </c>
      <c r="V55" s="21">
        <f t="shared" ca="1" si="45"/>
        <v>0</v>
      </c>
      <c r="W55" s="21">
        <f t="shared" ca="1" si="45"/>
        <v>0</v>
      </c>
      <c r="X55" s="21">
        <f t="shared" ca="1" si="45"/>
        <v>0</v>
      </c>
      <c r="Y55" s="21">
        <f t="shared" ca="1" si="45"/>
        <v>0</v>
      </c>
      <c r="Z55" s="21">
        <f t="shared" ca="1" si="45"/>
        <v>0</v>
      </c>
      <c r="AA55" s="21">
        <f t="shared" ca="1" si="45"/>
        <v>0</v>
      </c>
      <c r="AB55" s="21">
        <f t="shared" ca="1" si="45"/>
        <v>0</v>
      </c>
      <c r="AC55" s="21">
        <f t="shared" ca="1" si="45"/>
        <v>0</v>
      </c>
      <c r="AD55" s="21">
        <f t="shared" ca="1" si="45"/>
        <v>0</v>
      </c>
      <c r="AE55" s="21">
        <f t="shared" ca="1" si="45"/>
        <v>0</v>
      </c>
      <c r="AF55" s="21">
        <f t="shared" ca="1" si="45"/>
        <v>0</v>
      </c>
      <c r="AG55" s="21">
        <f t="shared" ca="1" si="45"/>
        <v>0</v>
      </c>
      <c r="AH55" s="21">
        <f t="shared" ca="1" si="45"/>
        <v>0</v>
      </c>
      <c r="AI55" s="21">
        <f t="shared" ca="1" si="45"/>
        <v>0</v>
      </c>
      <c r="AJ55" s="21">
        <f t="shared" ca="1" si="45"/>
        <v>0</v>
      </c>
      <c r="AK55" s="21">
        <f t="shared" ca="1" si="45"/>
        <v>0</v>
      </c>
      <c r="AL55" s="21">
        <f t="shared" ca="1" si="45"/>
        <v>0</v>
      </c>
      <c r="AM55" s="21">
        <f t="shared" ca="1" si="45"/>
        <v>0</v>
      </c>
      <c r="AN55" s="21">
        <f t="shared" ca="1" si="45"/>
        <v>0</v>
      </c>
      <c r="AO55" s="21">
        <f t="shared" ca="1" si="45"/>
        <v>0</v>
      </c>
      <c r="AP55" s="21">
        <f t="shared" ca="1" si="45"/>
        <v>0</v>
      </c>
      <c r="AQ55" s="21">
        <f t="shared" ca="1" si="45"/>
        <v>0</v>
      </c>
      <c r="AR55" s="21">
        <f t="shared" ca="1" si="45"/>
        <v>0</v>
      </c>
      <c r="AS55" s="21">
        <f t="shared" ca="1" si="45"/>
        <v>0</v>
      </c>
      <c r="AT55" s="21">
        <f t="shared" ca="1" si="45"/>
        <v>0</v>
      </c>
      <c r="AU55" s="21">
        <f t="shared" ca="1" si="45"/>
        <v>0</v>
      </c>
      <c r="AV55" s="21">
        <f t="shared" ca="1" si="45"/>
        <v>0</v>
      </c>
      <c r="AW55" s="21">
        <f t="shared" ca="1" si="45"/>
        <v>0</v>
      </c>
      <c r="AX55" s="21">
        <f t="shared" ca="1" si="45"/>
        <v>0</v>
      </c>
      <c r="AY55" s="21">
        <f t="shared" ca="1" si="45"/>
        <v>0</v>
      </c>
    </row>
    <row r="56" spans="2:51" x14ac:dyDescent="0.15">
      <c r="E56"/>
      <c r="F56"/>
      <c r="G56"/>
      <c r="K56" s="195"/>
      <c r="L56" s="8">
        <v>4</v>
      </c>
      <c r="M56" s="18">
        <f t="shared" ca="1" si="38"/>
        <v>0</v>
      </c>
      <c r="N56" s="21">
        <f t="shared" ref="N56:O56" ca="1" si="46">IF(N19="水没",$E$40*1^4+$F$40*1^3+$G$40*1^2+$H$40*1+$I$40,IF(OR(N19="-",N19="浸水なし"),0,IF(N19&lt;&gt;"床下浸水",$E$40*MIN(N19/$D$40,1)^4+$F$40*MIN(N19/$D$40,1)^3+$G$40*MIN(N19/$D$40,1)^2+$H$40*MIN(N19/$D$40,1)+$I$40,$I$40*N$36)))</f>
        <v>0</v>
      </c>
      <c r="O56" s="21">
        <f t="shared" ca="1" si="46"/>
        <v>0</v>
      </c>
      <c r="Q56" s="21">
        <f t="shared" ref="Q56:AY56" ca="1" si="47">IF(Q19="水没",$E$40*1^4+$F$40*1^3+$G$40*1^2+$H$40*1+$I$40,IF(OR(Q19="-",Q19="浸水なし"),0,IF(Q19&lt;&gt;"床下浸水",$E$40*MIN(Q19/$D$40,1)^4+$F$40*MIN(Q19/$D$40,1)^3+$G$40*MIN(Q19/$D$40,1)^2+$H$40*MIN(Q19/$D$40,1)+$I$40,$I$40*Q$36)))</f>
        <v>0</v>
      </c>
      <c r="R56" s="21">
        <f t="shared" ca="1" si="47"/>
        <v>0</v>
      </c>
      <c r="S56" s="21">
        <f t="shared" ca="1" si="47"/>
        <v>0</v>
      </c>
      <c r="T56" s="21">
        <f t="shared" ca="1" si="47"/>
        <v>0</v>
      </c>
      <c r="U56" s="21">
        <f t="shared" ca="1" si="47"/>
        <v>0</v>
      </c>
      <c r="V56" s="21">
        <f t="shared" ca="1" si="47"/>
        <v>0</v>
      </c>
      <c r="W56" s="21">
        <f t="shared" ca="1" si="47"/>
        <v>0</v>
      </c>
      <c r="X56" s="21">
        <f t="shared" ca="1" si="47"/>
        <v>0</v>
      </c>
      <c r="Y56" s="21">
        <f t="shared" ca="1" si="47"/>
        <v>0</v>
      </c>
      <c r="Z56" s="21">
        <f t="shared" ca="1" si="47"/>
        <v>0</v>
      </c>
      <c r="AA56" s="21">
        <f t="shared" ca="1" si="47"/>
        <v>0</v>
      </c>
      <c r="AB56" s="21">
        <f t="shared" ca="1" si="47"/>
        <v>0</v>
      </c>
      <c r="AC56" s="21">
        <f t="shared" ca="1" si="47"/>
        <v>0</v>
      </c>
      <c r="AD56" s="21">
        <f t="shared" ca="1" si="47"/>
        <v>0</v>
      </c>
      <c r="AE56" s="21">
        <f t="shared" ca="1" si="47"/>
        <v>0</v>
      </c>
      <c r="AF56" s="21">
        <f t="shared" ca="1" si="47"/>
        <v>0</v>
      </c>
      <c r="AG56" s="21">
        <f t="shared" ca="1" si="47"/>
        <v>0</v>
      </c>
      <c r="AH56" s="21">
        <f t="shared" ca="1" si="47"/>
        <v>0</v>
      </c>
      <c r="AI56" s="21">
        <f t="shared" ca="1" si="47"/>
        <v>0</v>
      </c>
      <c r="AJ56" s="21">
        <f t="shared" ca="1" si="47"/>
        <v>0</v>
      </c>
      <c r="AK56" s="21">
        <f t="shared" ca="1" si="47"/>
        <v>0</v>
      </c>
      <c r="AL56" s="21">
        <f t="shared" ca="1" si="47"/>
        <v>0</v>
      </c>
      <c r="AM56" s="21">
        <f t="shared" ca="1" si="47"/>
        <v>0</v>
      </c>
      <c r="AN56" s="21">
        <f t="shared" ca="1" si="47"/>
        <v>0</v>
      </c>
      <c r="AO56" s="21">
        <f t="shared" ca="1" si="47"/>
        <v>0</v>
      </c>
      <c r="AP56" s="21">
        <f t="shared" ca="1" si="47"/>
        <v>0</v>
      </c>
      <c r="AQ56" s="21">
        <f t="shared" ca="1" si="47"/>
        <v>0</v>
      </c>
      <c r="AR56" s="21">
        <f t="shared" ca="1" si="47"/>
        <v>0</v>
      </c>
      <c r="AS56" s="21">
        <f t="shared" ca="1" si="47"/>
        <v>0</v>
      </c>
      <c r="AT56" s="21">
        <f t="shared" ca="1" si="47"/>
        <v>0</v>
      </c>
      <c r="AU56" s="21">
        <f t="shared" ca="1" si="47"/>
        <v>0</v>
      </c>
      <c r="AV56" s="21">
        <f t="shared" ca="1" si="47"/>
        <v>0</v>
      </c>
      <c r="AW56" s="21">
        <f t="shared" ca="1" si="47"/>
        <v>0</v>
      </c>
      <c r="AX56" s="21">
        <f t="shared" ca="1" si="47"/>
        <v>0</v>
      </c>
      <c r="AY56" s="21">
        <f t="shared" ca="1" si="47"/>
        <v>0</v>
      </c>
    </row>
    <row r="57" spans="2:51" x14ac:dyDescent="0.15">
      <c r="E57"/>
      <c r="F57"/>
      <c r="G57"/>
      <c r="K57" s="195"/>
      <c r="L57" s="8">
        <v>3</v>
      </c>
      <c r="M57" s="18">
        <f t="shared" ca="1" si="38"/>
        <v>0</v>
      </c>
      <c r="N57" s="21">
        <f t="shared" ref="N57:O57" ca="1" si="48">IF(N20="水没",$E$40*1^4+$F$40*1^3+$G$40*1^2+$H$40*1+$I$40,IF(OR(N20="-",N20="浸水なし"),0,IF(N20&lt;&gt;"床下浸水",$E$40*MIN(N20/$D$40,1)^4+$F$40*MIN(N20/$D$40,1)^3+$G$40*MIN(N20/$D$40,1)^2+$H$40*MIN(N20/$D$40,1)+$I$40,$I$40*N$36)))</f>
        <v>0</v>
      </c>
      <c r="O57" s="21">
        <f t="shared" ca="1" si="48"/>
        <v>0</v>
      </c>
      <c r="Q57" s="21">
        <f t="shared" ref="Q57:AY57" ca="1" si="49">IF(Q20="水没",$E$40*1^4+$F$40*1^3+$G$40*1^2+$H$40*1+$I$40,IF(OR(Q20="-",Q20="浸水なし"),0,IF(Q20&lt;&gt;"床下浸水",$E$40*MIN(Q20/$D$40,1)^4+$F$40*MIN(Q20/$D$40,1)^3+$G$40*MIN(Q20/$D$40,1)^2+$H$40*MIN(Q20/$D$40,1)+$I$40,$I$40*Q$36)))</f>
        <v>0</v>
      </c>
      <c r="R57" s="21">
        <f t="shared" ca="1" si="49"/>
        <v>0</v>
      </c>
      <c r="S57" s="21">
        <f t="shared" ca="1" si="49"/>
        <v>0</v>
      </c>
      <c r="T57" s="21">
        <f t="shared" ca="1" si="49"/>
        <v>0</v>
      </c>
      <c r="U57" s="21">
        <f t="shared" ca="1" si="49"/>
        <v>0</v>
      </c>
      <c r="V57" s="21">
        <f t="shared" ca="1" si="49"/>
        <v>0</v>
      </c>
      <c r="W57" s="21">
        <f t="shared" ca="1" si="49"/>
        <v>0</v>
      </c>
      <c r="X57" s="21">
        <f t="shared" ca="1" si="49"/>
        <v>0</v>
      </c>
      <c r="Y57" s="21">
        <f t="shared" ca="1" si="49"/>
        <v>0</v>
      </c>
      <c r="Z57" s="21">
        <f t="shared" ca="1" si="49"/>
        <v>0</v>
      </c>
      <c r="AA57" s="21">
        <f t="shared" ca="1" si="49"/>
        <v>0</v>
      </c>
      <c r="AB57" s="21">
        <f t="shared" ca="1" si="49"/>
        <v>0</v>
      </c>
      <c r="AC57" s="21">
        <f t="shared" ca="1" si="49"/>
        <v>0</v>
      </c>
      <c r="AD57" s="21">
        <f t="shared" ca="1" si="49"/>
        <v>0</v>
      </c>
      <c r="AE57" s="21">
        <f t="shared" ca="1" si="49"/>
        <v>0</v>
      </c>
      <c r="AF57" s="21">
        <f t="shared" ca="1" si="49"/>
        <v>0</v>
      </c>
      <c r="AG57" s="21">
        <f t="shared" ca="1" si="49"/>
        <v>0</v>
      </c>
      <c r="AH57" s="21">
        <f t="shared" ca="1" si="49"/>
        <v>0</v>
      </c>
      <c r="AI57" s="21">
        <f t="shared" ca="1" si="49"/>
        <v>0</v>
      </c>
      <c r="AJ57" s="21">
        <f t="shared" ca="1" si="49"/>
        <v>0</v>
      </c>
      <c r="AK57" s="21">
        <f t="shared" ca="1" si="49"/>
        <v>0</v>
      </c>
      <c r="AL57" s="21">
        <f t="shared" ca="1" si="49"/>
        <v>0</v>
      </c>
      <c r="AM57" s="21">
        <f t="shared" ca="1" si="49"/>
        <v>0</v>
      </c>
      <c r="AN57" s="21">
        <f t="shared" ca="1" si="49"/>
        <v>0</v>
      </c>
      <c r="AO57" s="21">
        <f t="shared" ca="1" si="49"/>
        <v>0</v>
      </c>
      <c r="AP57" s="21">
        <f t="shared" ca="1" si="49"/>
        <v>0</v>
      </c>
      <c r="AQ57" s="21">
        <f t="shared" ca="1" si="49"/>
        <v>0</v>
      </c>
      <c r="AR57" s="21">
        <f t="shared" ca="1" si="49"/>
        <v>0</v>
      </c>
      <c r="AS57" s="21">
        <f t="shared" ca="1" si="49"/>
        <v>0</v>
      </c>
      <c r="AT57" s="21">
        <f t="shared" ca="1" si="49"/>
        <v>0</v>
      </c>
      <c r="AU57" s="21">
        <f t="shared" ca="1" si="49"/>
        <v>0</v>
      </c>
      <c r="AV57" s="21">
        <f t="shared" ca="1" si="49"/>
        <v>0</v>
      </c>
      <c r="AW57" s="21">
        <f t="shared" ca="1" si="49"/>
        <v>0</v>
      </c>
      <c r="AX57" s="21">
        <f t="shared" ca="1" si="49"/>
        <v>0</v>
      </c>
      <c r="AY57" s="21">
        <f t="shared" ca="1" si="49"/>
        <v>0</v>
      </c>
    </row>
    <row r="58" spans="2:51" x14ac:dyDescent="0.15">
      <c r="E58"/>
      <c r="F58"/>
      <c r="G58"/>
      <c r="K58" s="195"/>
      <c r="L58" s="8">
        <v>2</v>
      </c>
      <c r="M58" s="18">
        <f t="shared" ca="1" si="38"/>
        <v>0</v>
      </c>
      <c r="N58" s="21">
        <f t="shared" ref="N58:O58" ca="1" si="50">IF(N21="水没",$E$40*1^4+$F$40*1^3+$G$40*1^2+$H$40*1+$I$40,IF(OR(N21="-",N21="浸水なし"),0,IF(N21&lt;&gt;"床下浸水",$E$40*MIN(N21/$D$40,1)^4+$F$40*MIN(N21/$D$40,1)^3+$G$40*MIN(N21/$D$40,1)^2+$H$40*MIN(N21/$D$40,1)+$I$40,$I$40*N$36)))</f>
        <v>0</v>
      </c>
      <c r="O58" s="21">
        <f t="shared" ca="1" si="50"/>
        <v>0</v>
      </c>
      <c r="Q58" s="21">
        <f t="shared" ref="Q58:AY58" ca="1" si="51">IF(Q21="水没",$E$40*1^4+$F$40*1^3+$G$40*1^2+$H$40*1+$I$40,IF(OR(Q21="-",Q21="浸水なし"),0,IF(Q21&lt;&gt;"床下浸水",$E$40*MIN(Q21/$D$40,1)^4+$F$40*MIN(Q21/$D$40,1)^3+$G$40*MIN(Q21/$D$40,1)^2+$H$40*MIN(Q21/$D$40,1)+$I$40,$I$40*Q$36)))</f>
        <v>0</v>
      </c>
      <c r="R58" s="21">
        <f t="shared" ca="1" si="51"/>
        <v>0</v>
      </c>
      <c r="S58" s="21">
        <f t="shared" ca="1" si="51"/>
        <v>0</v>
      </c>
      <c r="T58" s="21">
        <f t="shared" ca="1" si="51"/>
        <v>0</v>
      </c>
      <c r="U58" s="21">
        <f t="shared" ca="1" si="51"/>
        <v>0</v>
      </c>
      <c r="V58" s="21">
        <f t="shared" ca="1" si="51"/>
        <v>0</v>
      </c>
      <c r="W58" s="21">
        <f t="shared" ca="1" si="51"/>
        <v>0</v>
      </c>
      <c r="X58" s="21">
        <f t="shared" ca="1" si="51"/>
        <v>0</v>
      </c>
      <c r="Y58" s="21">
        <f t="shared" ca="1" si="51"/>
        <v>0</v>
      </c>
      <c r="Z58" s="21">
        <f t="shared" ca="1" si="51"/>
        <v>0</v>
      </c>
      <c r="AA58" s="21">
        <f t="shared" ca="1" si="51"/>
        <v>0</v>
      </c>
      <c r="AB58" s="21">
        <f t="shared" ca="1" si="51"/>
        <v>0</v>
      </c>
      <c r="AC58" s="21">
        <f t="shared" ca="1" si="51"/>
        <v>0</v>
      </c>
      <c r="AD58" s="21">
        <f t="shared" ca="1" si="51"/>
        <v>0</v>
      </c>
      <c r="AE58" s="21">
        <f t="shared" ca="1" si="51"/>
        <v>0</v>
      </c>
      <c r="AF58" s="21">
        <f t="shared" ca="1" si="51"/>
        <v>0</v>
      </c>
      <c r="AG58" s="21">
        <f t="shared" ca="1" si="51"/>
        <v>0</v>
      </c>
      <c r="AH58" s="21">
        <f t="shared" ca="1" si="51"/>
        <v>0</v>
      </c>
      <c r="AI58" s="21">
        <f t="shared" ca="1" si="51"/>
        <v>0</v>
      </c>
      <c r="AJ58" s="21">
        <f t="shared" ca="1" si="51"/>
        <v>0</v>
      </c>
      <c r="AK58" s="21">
        <f t="shared" ca="1" si="51"/>
        <v>0</v>
      </c>
      <c r="AL58" s="21">
        <f t="shared" ca="1" si="51"/>
        <v>0</v>
      </c>
      <c r="AM58" s="21">
        <f t="shared" ca="1" si="51"/>
        <v>0</v>
      </c>
      <c r="AN58" s="21">
        <f t="shared" ca="1" si="51"/>
        <v>0</v>
      </c>
      <c r="AO58" s="21">
        <f t="shared" ca="1" si="51"/>
        <v>0</v>
      </c>
      <c r="AP58" s="21">
        <f t="shared" ca="1" si="51"/>
        <v>0</v>
      </c>
      <c r="AQ58" s="21">
        <f t="shared" ca="1" si="51"/>
        <v>0</v>
      </c>
      <c r="AR58" s="21">
        <f t="shared" ca="1" si="51"/>
        <v>0</v>
      </c>
      <c r="AS58" s="21">
        <f t="shared" ca="1" si="51"/>
        <v>0</v>
      </c>
      <c r="AT58" s="21">
        <f t="shared" ca="1" si="51"/>
        <v>0</v>
      </c>
      <c r="AU58" s="21">
        <f t="shared" ca="1" si="51"/>
        <v>0</v>
      </c>
      <c r="AV58" s="21">
        <f t="shared" ca="1" si="51"/>
        <v>0</v>
      </c>
      <c r="AW58" s="21">
        <f t="shared" ca="1" si="51"/>
        <v>0</v>
      </c>
      <c r="AX58" s="21">
        <f t="shared" ca="1" si="51"/>
        <v>0</v>
      </c>
      <c r="AY58" s="21">
        <f t="shared" ca="1" si="51"/>
        <v>0</v>
      </c>
    </row>
    <row r="59" spans="2:51" x14ac:dyDescent="0.15">
      <c r="E59"/>
      <c r="F59"/>
      <c r="G59"/>
      <c r="K59" s="195"/>
      <c r="L59" s="8">
        <v>1</v>
      </c>
      <c r="M59" s="18">
        <f t="shared" ca="1" si="38"/>
        <v>0</v>
      </c>
      <c r="N59" s="21">
        <f t="shared" ref="N59:O59" ca="1" si="52">IF(N22="水没",$E$40*1^4+$F$40*1^3+$G$40*1^2+$H$40*1+$I$40,IF(OR(N22="-",N22="浸水なし"),0,IF(N22&lt;&gt;"床下浸水",$E$40*MIN(N22/$D$40,1)^4+$F$40*MIN(N22/$D$40,1)^3+$G$40*MIN(N22/$D$40,1)^2+$H$40*MIN(N22/$D$40,1)+$I$40,$I$40*N$36)))</f>
        <v>0</v>
      </c>
      <c r="O59" s="21">
        <f t="shared" ca="1" si="52"/>
        <v>0</v>
      </c>
      <c r="Q59" s="21">
        <f t="shared" ref="Q59:AY59" ca="1" si="53">IF(Q22="水没",$E$40*1^4+$F$40*1^3+$G$40*1^2+$H$40*1+$I$40,IF(OR(Q22="-",Q22="浸水なし"),0,IF(Q22&lt;&gt;"床下浸水",$E$40*MIN(Q22/$D$40,1)^4+$F$40*MIN(Q22/$D$40,1)^3+$G$40*MIN(Q22/$D$40,1)^2+$H$40*MIN(Q22/$D$40,1)+$I$40,$I$40*Q$36)))</f>
        <v>0</v>
      </c>
      <c r="R59" s="21">
        <f t="shared" ca="1" si="53"/>
        <v>0</v>
      </c>
      <c r="S59" s="21">
        <f t="shared" ca="1" si="53"/>
        <v>0</v>
      </c>
      <c r="T59" s="21">
        <f t="shared" ca="1" si="53"/>
        <v>0</v>
      </c>
      <c r="U59" s="21">
        <f t="shared" ca="1" si="53"/>
        <v>0</v>
      </c>
      <c r="V59" s="21">
        <f t="shared" ca="1" si="53"/>
        <v>0</v>
      </c>
      <c r="W59" s="21">
        <f t="shared" ca="1" si="53"/>
        <v>0</v>
      </c>
      <c r="X59" s="21">
        <f t="shared" ca="1" si="53"/>
        <v>0</v>
      </c>
      <c r="Y59" s="21">
        <f t="shared" ca="1" si="53"/>
        <v>0</v>
      </c>
      <c r="Z59" s="21">
        <f t="shared" ca="1" si="53"/>
        <v>0</v>
      </c>
      <c r="AA59" s="21">
        <f t="shared" ca="1" si="53"/>
        <v>0</v>
      </c>
      <c r="AB59" s="21">
        <f t="shared" ca="1" si="53"/>
        <v>0</v>
      </c>
      <c r="AC59" s="21">
        <f t="shared" ca="1" si="53"/>
        <v>0</v>
      </c>
      <c r="AD59" s="21">
        <f t="shared" ca="1" si="53"/>
        <v>0</v>
      </c>
      <c r="AE59" s="21">
        <f t="shared" ca="1" si="53"/>
        <v>0</v>
      </c>
      <c r="AF59" s="21">
        <f t="shared" ca="1" si="53"/>
        <v>0</v>
      </c>
      <c r="AG59" s="21">
        <f t="shared" ca="1" si="53"/>
        <v>0</v>
      </c>
      <c r="AH59" s="21">
        <f t="shared" ca="1" si="53"/>
        <v>0</v>
      </c>
      <c r="AI59" s="21">
        <f t="shared" ca="1" si="53"/>
        <v>0</v>
      </c>
      <c r="AJ59" s="21">
        <f t="shared" ca="1" si="53"/>
        <v>0</v>
      </c>
      <c r="AK59" s="21">
        <f t="shared" ca="1" si="53"/>
        <v>0</v>
      </c>
      <c r="AL59" s="21">
        <f t="shared" ca="1" si="53"/>
        <v>0</v>
      </c>
      <c r="AM59" s="21">
        <f t="shared" ca="1" si="53"/>
        <v>0</v>
      </c>
      <c r="AN59" s="21">
        <f t="shared" ca="1" si="53"/>
        <v>0</v>
      </c>
      <c r="AO59" s="21">
        <f t="shared" ca="1" si="53"/>
        <v>0</v>
      </c>
      <c r="AP59" s="21">
        <f t="shared" ca="1" si="53"/>
        <v>0</v>
      </c>
      <c r="AQ59" s="21">
        <f t="shared" ca="1" si="53"/>
        <v>0</v>
      </c>
      <c r="AR59" s="21">
        <f t="shared" ca="1" si="53"/>
        <v>0</v>
      </c>
      <c r="AS59" s="21">
        <f t="shared" ca="1" si="53"/>
        <v>0</v>
      </c>
      <c r="AT59" s="21">
        <f t="shared" ca="1" si="53"/>
        <v>0</v>
      </c>
      <c r="AU59" s="21">
        <f t="shared" ca="1" si="53"/>
        <v>0</v>
      </c>
      <c r="AV59" s="21">
        <f t="shared" ca="1" si="53"/>
        <v>0</v>
      </c>
      <c r="AW59" s="21">
        <f t="shared" ca="1" si="53"/>
        <v>0</v>
      </c>
      <c r="AX59" s="21">
        <f t="shared" ca="1" si="53"/>
        <v>0</v>
      </c>
      <c r="AY59" s="21">
        <f t="shared" ca="1" si="53"/>
        <v>0</v>
      </c>
    </row>
    <row r="60" spans="2:51" customFormat="1" x14ac:dyDescent="0.15">
      <c r="B60" s="5"/>
      <c r="C60" s="5"/>
      <c r="D60" s="5"/>
      <c r="K60" s="195"/>
      <c r="L60" s="7" t="s">
        <v>36</v>
      </c>
      <c r="M60" s="18">
        <f t="shared" ca="1" si="38"/>
        <v>0</v>
      </c>
      <c r="N60" s="21">
        <f t="shared" ref="N60:O60" ca="1" si="54">IF(N23="水没",$E$40*1^4+$F$40*1^3+$G$40*1^2+$H$40*1+$I$40,IF(OR(N23="-",N23="浸水なし"),0,IF(N23&lt;&gt;"床下浸水",$E$40*MIN(N23/$D$40,1)^4+$F$40*MIN(N23/$D$40,1)^3+$G$40*MIN(N23/$D$40,1)^2+$H$40*MIN(N23/$D$40,1)+$I$40,$I$40*N$36)))</f>
        <v>0</v>
      </c>
      <c r="O60" s="21">
        <f t="shared" ca="1" si="54"/>
        <v>0</v>
      </c>
      <c r="Q60" s="21">
        <f t="shared" ref="Q60:AY60" ca="1" si="55">IF(Q23="水没",$E$40*1^4+$F$40*1^3+$G$40*1^2+$H$40*1+$I$40,IF(OR(Q23="-",Q23="浸水なし"),0,IF(Q23&lt;&gt;"床下浸水",$E$40*MIN(Q23/$D$40,1)^4+$F$40*MIN(Q23/$D$40,1)^3+$G$40*MIN(Q23/$D$40,1)^2+$H$40*MIN(Q23/$D$40,1)+$I$40,$I$40*Q$36)))</f>
        <v>0</v>
      </c>
      <c r="R60" s="21">
        <f t="shared" ca="1" si="55"/>
        <v>0</v>
      </c>
      <c r="S60" s="21">
        <f t="shared" ca="1" si="55"/>
        <v>0</v>
      </c>
      <c r="T60" s="21">
        <f t="shared" ca="1" si="55"/>
        <v>0</v>
      </c>
      <c r="U60" s="21">
        <f t="shared" ca="1" si="55"/>
        <v>0</v>
      </c>
      <c r="V60" s="21">
        <f t="shared" ca="1" si="55"/>
        <v>0</v>
      </c>
      <c r="W60" s="21">
        <f t="shared" ca="1" si="55"/>
        <v>0</v>
      </c>
      <c r="X60" s="21">
        <f t="shared" ca="1" si="55"/>
        <v>0</v>
      </c>
      <c r="Y60" s="21">
        <f t="shared" ca="1" si="55"/>
        <v>0</v>
      </c>
      <c r="Z60" s="21">
        <f t="shared" ca="1" si="55"/>
        <v>0</v>
      </c>
      <c r="AA60" s="21">
        <f t="shared" ca="1" si="55"/>
        <v>0</v>
      </c>
      <c r="AB60" s="21">
        <f t="shared" ca="1" si="55"/>
        <v>0</v>
      </c>
      <c r="AC60" s="21">
        <f t="shared" ca="1" si="55"/>
        <v>0</v>
      </c>
      <c r="AD60" s="21">
        <f t="shared" ca="1" si="55"/>
        <v>0</v>
      </c>
      <c r="AE60" s="21">
        <f t="shared" ca="1" si="55"/>
        <v>0</v>
      </c>
      <c r="AF60" s="21">
        <f t="shared" ca="1" si="55"/>
        <v>0</v>
      </c>
      <c r="AG60" s="21">
        <f t="shared" ca="1" si="55"/>
        <v>0</v>
      </c>
      <c r="AH60" s="21">
        <f t="shared" ca="1" si="55"/>
        <v>0</v>
      </c>
      <c r="AI60" s="21">
        <f t="shared" ca="1" si="55"/>
        <v>0</v>
      </c>
      <c r="AJ60" s="21">
        <f t="shared" ca="1" si="55"/>
        <v>0</v>
      </c>
      <c r="AK60" s="21">
        <f t="shared" ca="1" si="55"/>
        <v>0</v>
      </c>
      <c r="AL60" s="21">
        <f t="shared" ca="1" si="55"/>
        <v>0</v>
      </c>
      <c r="AM60" s="21">
        <f t="shared" ca="1" si="55"/>
        <v>0</v>
      </c>
      <c r="AN60" s="21">
        <f t="shared" ca="1" si="55"/>
        <v>0</v>
      </c>
      <c r="AO60" s="21">
        <f t="shared" ca="1" si="55"/>
        <v>0</v>
      </c>
      <c r="AP60" s="21">
        <f t="shared" ca="1" si="55"/>
        <v>0</v>
      </c>
      <c r="AQ60" s="21">
        <f t="shared" ca="1" si="55"/>
        <v>0</v>
      </c>
      <c r="AR60" s="21">
        <f t="shared" ca="1" si="55"/>
        <v>0</v>
      </c>
      <c r="AS60" s="21">
        <f t="shared" ca="1" si="55"/>
        <v>0</v>
      </c>
      <c r="AT60" s="21">
        <f t="shared" ca="1" si="55"/>
        <v>0</v>
      </c>
      <c r="AU60" s="21">
        <f t="shared" ca="1" si="55"/>
        <v>0</v>
      </c>
      <c r="AV60" s="21">
        <f t="shared" ca="1" si="55"/>
        <v>0</v>
      </c>
      <c r="AW60" s="21">
        <f t="shared" ca="1" si="55"/>
        <v>0</v>
      </c>
      <c r="AX60" s="21">
        <f t="shared" ca="1" si="55"/>
        <v>0</v>
      </c>
      <c r="AY60" s="21">
        <f t="shared" ca="1" si="55"/>
        <v>0</v>
      </c>
    </row>
    <row r="61" spans="2:51" x14ac:dyDescent="0.15">
      <c r="E61"/>
      <c r="F61"/>
      <c r="G61"/>
      <c r="M61" s="15" t="s">
        <v>100</v>
      </c>
      <c r="N61" s="11">
        <f ca="1">SUMPRODUCT($M$52:$M$60,N52:N60)</f>
        <v>0</v>
      </c>
      <c r="O61" s="11">
        <f ca="1">SUMPRODUCT($M$52:$M$60,O52:O60)</f>
        <v>0</v>
      </c>
      <c r="Q61" s="11">
        <f ca="1">SUMPRODUCT($M$52:$M$60,Q52:Q60)</f>
        <v>0</v>
      </c>
      <c r="R61" s="11">
        <f ca="1">SUMPRODUCT($M$52:$M$60,R52:R60)</f>
        <v>0</v>
      </c>
      <c r="S61" s="11">
        <f ca="1">SUMPRODUCT($M$52:$M$60,S52:S60)</f>
        <v>0</v>
      </c>
      <c r="T61" s="11">
        <f t="shared" ref="T61:AY61" ca="1" si="56">SUMPRODUCT($M$52:$M$60,T52:T60)</f>
        <v>0</v>
      </c>
      <c r="U61" s="11">
        <f t="shared" ca="1" si="56"/>
        <v>0</v>
      </c>
      <c r="V61" s="11">
        <f t="shared" ca="1" si="56"/>
        <v>0</v>
      </c>
      <c r="W61" s="11">
        <f t="shared" ca="1" si="56"/>
        <v>0</v>
      </c>
      <c r="X61" s="11">
        <f t="shared" ca="1" si="56"/>
        <v>0</v>
      </c>
      <c r="Y61" s="11">
        <f t="shared" ca="1" si="56"/>
        <v>0</v>
      </c>
      <c r="Z61" s="11">
        <f t="shared" ca="1" si="56"/>
        <v>0</v>
      </c>
      <c r="AA61" s="11">
        <f t="shared" ca="1" si="56"/>
        <v>0</v>
      </c>
      <c r="AB61" s="11">
        <f t="shared" ca="1" si="56"/>
        <v>0</v>
      </c>
      <c r="AC61" s="11">
        <f t="shared" ca="1" si="56"/>
        <v>0</v>
      </c>
      <c r="AD61" s="11">
        <f t="shared" ca="1" si="56"/>
        <v>0</v>
      </c>
      <c r="AE61" s="11">
        <f t="shared" ca="1" si="56"/>
        <v>0</v>
      </c>
      <c r="AF61" s="11">
        <f t="shared" ca="1" si="56"/>
        <v>0</v>
      </c>
      <c r="AG61" s="11">
        <f t="shared" ca="1" si="56"/>
        <v>0</v>
      </c>
      <c r="AH61" s="11">
        <f t="shared" ca="1" si="56"/>
        <v>0</v>
      </c>
      <c r="AI61" s="11">
        <f t="shared" ca="1" si="56"/>
        <v>0</v>
      </c>
      <c r="AJ61" s="11">
        <f t="shared" ca="1" si="56"/>
        <v>0</v>
      </c>
      <c r="AK61" s="11">
        <f t="shared" ca="1" si="56"/>
        <v>0</v>
      </c>
      <c r="AL61" s="11">
        <f t="shared" ca="1" si="56"/>
        <v>0</v>
      </c>
      <c r="AM61" s="11">
        <f t="shared" ca="1" si="56"/>
        <v>0</v>
      </c>
      <c r="AN61" s="11">
        <f t="shared" ca="1" si="56"/>
        <v>0</v>
      </c>
      <c r="AO61" s="11">
        <f t="shared" ca="1" si="56"/>
        <v>0</v>
      </c>
      <c r="AP61" s="11">
        <f t="shared" ca="1" si="56"/>
        <v>0</v>
      </c>
      <c r="AQ61" s="11">
        <f t="shared" ca="1" si="56"/>
        <v>0</v>
      </c>
      <c r="AR61" s="11">
        <f t="shared" ca="1" si="56"/>
        <v>0</v>
      </c>
      <c r="AS61" s="11">
        <f t="shared" ca="1" si="56"/>
        <v>0</v>
      </c>
      <c r="AT61" s="11">
        <f t="shared" ca="1" si="56"/>
        <v>0</v>
      </c>
      <c r="AU61" s="11">
        <f t="shared" ca="1" si="56"/>
        <v>0</v>
      </c>
      <c r="AV61" s="11">
        <f t="shared" ca="1" si="56"/>
        <v>0</v>
      </c>
      <c r="AW61" s="11">
        <f t="shared" ca="1" si="56"/>
        <v>0</v>
      </c>
      <c r="AX61" s="11">
        <f t="shared" ca="1" si="56"/>
        <v>0</v>
      </c>
      <c r="AY61" s="11">
        <f t="shared" ca="1" si="56"/>
        <v>0</v>
      </c>
    </row>
    <row r="62" spans="2:51" x14ac:dyDescent="0.15">
      <c r="E62"/>
      <c r="F62"/>
      <c r="G62"/>
      <c r="K62"/>
      <c r="L62"/>
      <c r="M62"/>
      <c r="Q62"/>
      <c r="R62"/>
      <c r="S62"/>
      <c r="T62"/>
      <c r="U62"/>
      <c r="V62"/>
      <c r="W62"/>
      <c r="X62"/>
      <c r="Y62"/>
      <c r="Z62"/>
      <c r="AA62"/>
      <c r="AB62"/>
      <c r="AC62"/>
      <c r="AD62"/>
      <c r="AE62"/>
      <c r="AF62"/>
      <c r="AG62"/>
      <c r="AH62"/>
      <c r="AI62"/>
      <c r="AJ62"/>
      <c r="AK62"/>
      <c r="AL62"/>
      <c r="AM62"/>
      <c r="AN62"/>
      <c r="AO62"/>
      <c r="AP62"/>
      <c r="AQ62"/>
      <c r="AR62"/>
      <c r="AS62"/>
      <c r="AT62"/>
      <c r="AU62"/>
      <c r="AV62"/>
      <c r="AW62"/>
      <c r="AX62"/>
      <c r="AY62"/>
    </row>
    <row r="63" spans="2:51" x14ac:dyDescent="0.15">
      <c r="E63"/>
      <c r="F63"/>
      <c r="G63"/>
      <c r="K63" s="195" t="s">
        <v>105</v>
      </c>
      <c r="L63" s="15" t="s">
        <v>28</v>
      </c>
      <c r="M63" s="15" t="s">
        <v>99</v>
      </c>
      <c r="N63" s="27" t="s">
        <v>60</v>
      </c>
      <c r="O63" s="27" t="s">
        <v>60</v>
      </c>
      <c r="Q63" s="15" t="s">
        <v>60</v>
      </c>
      <c r="R63" s="17"/>
      <c r="S63" s="17"/>
      <c r="T63" s="17"/>
      <c r="U63" s="17"/>
      <c r="V63" s="17"/>
      <c r="W63" s="17"/>
      <c r="X63" s="17"/>
      <c r="Y63" s="17"/>
      <c r="Z63" s="17"/>
      <c r="AA63" s="17"/>
      <c r="AB63" s="17"/>
      <c r="AC63" s="17"/>
      <c r="AD63" s="17"/>
      <c r="AE63" s="17"/>
      <c r="AF63" s="17"/>
      <c r="AG63" s="17"/>
      <c r="AH63" s="17"/>
      <c r="AI63" s="17"/>
      <c r="AJ63" s="17"/>
      <c r="AK63" s="17"/>
      <c r="AL63" s="17"/>
      <c r="AM63" s="17"/>
      <c r="AN63" s="17"/>
      <c r="AO63" s="17"/>
      <c r="AP63" s="17"/>
      <c r="AQ63" s="17"/>
      <c r="AR63" s="17"/>
      <c r="AS63" s="17"/>
      <c r="AT63" s="17"/>
      <c r="AU63" s="17"/>
      <c r="AV63" s="17"/>
      <c r="AW63" s="17"/>
      <c r="AX63" s="17"/>
      <c r="AY63" s="17"/>
    </row>
    <row r="64" spans="2:51" x14ac:dyDescent="0.15">
      <c r="E64"/>
      <c r="F64"/>
      <c r="G64"/>
      <c r="K64" s="195"/>
      <c r="L64" s="7" t="s">
        <v>56</v>
      </c>
      <c r="M64" s="18">
        <f ca="1">$G$23</f>
        <v>0</v>
      </c>
      <c r="N64" s="21">
        <f ca="1">IF(N15="水没",$E$41*1^4+$F$41*1^3+$G$41*1^2+$H$41*1+$I$41,IF(OR(N15="-",N15="浸水なし"),0,IF(N15&lt;&gt;"床下浸水",$E$41*MIN(N15/$D$41,1)^4+$F$41*MIN(N15/$D$41,1)^3+$G$41*MIN(N15/$D$41,1)^2+$H$41*MIN(N15/$D$41,1)+$I$41,$I$41*N$36)))</f>
        <v>0</v>
      </c>
      <c r="O64" s="21">
        <f ca="1">IF(O15="水没",$E$41*1^4+$F$41*1^3+$G$41*1^2+$H$41*1+$I$41,IF(OR(O15="-",O15="浸水なし"),0,IF(O15&lt;&gt;"床下浸水",$E$41*MIN(O15/$D$41,1)^4+$F$41*MIN(O15/$D$41,1)^3+$G$41*MIN(O15/$D$41,1)^2+$H$41*MIN(O15/$D$41,1)+$I$41,$I$41*O$36)))</f>
        <v>0</v>
      </c>
      <c r="Q64" s="21">
        <f ca="1">IF(Q15="水没",$E$41*1^4+$F$41*1^3+$G$41*1^2+$H$41*1+$I$41,IF(OR(Q15="-",Q15="浸水なし"),0,IF(Q15&lt;&gt;"床下浸水",$E$41*MIN(Q15/$D$41,1)^4+$F$41*MIN(Q15/$D$41,1)^3+$G$41*MIN(Q15/$D$41,1)^2+$H$41*MIN(Q15/$D$41,1)+$I$41,$I$41*Q$36)))</f>
        <v>0</v>
      </c>
      <c r="R64" s="21">
        <f t="shared" ref="R64:AY64" ca="1" si="57">IF(R15="水没",$E$41*1^4+$F$41*1^3+$G$41*1^2+$H$41*1+$I$41,IF(OR(R15="-",R15="浸水なし"),0,IF(R15&lt;&gt;"床下浸水",$E$41*MIN(R15/$D$41,1)^4+$F$41*MIN(R15/$D$41,1)^3+$G$41*MIN(R15/$D$41,1)^2+$H$41*MIN(R15/$D$41,1)+$I$41,$I$41*R$36)))</f>
        <v>0</v>
      </c>
      <c r="S64" s="21">
        <f t="shared" ca="1" si="57"/>
        <v>0</v>
      </c>
      <c r="T64" s="21">
        <f t="shared" ca="1" si="57"/>
        <v>0</v>
      </c>
      <c r="U64" s="21">
        <f t="shared" ca="1" si="57"/>
        <v>0</v>
      </c>
      <c r="V64" s="21">
        <f t="shared" ca="1" si="57"/>
        <v>0</v>
      </c>
      <c r="W64" s="21">
        <f t="shared" ca="1" si="57"/>
        <v>0</v>
      </c>
      <c r="X64" s="21">
        <f t="shared" ca="1" si="57"/>
        <v>0</v>
      </c>
      <c r="Y64" s="21">
        <f t="shared" ca="1" si="57"/>
        <v>0</v>
      </c>
      <c r="Z64" s="21">
        <f t="shared" ca="1" si="57"/>
        <v>0</v>
      </c>
      <c r="AA64" s="21">
        <f t="shared" ca="1" si="57"/>
        <v>0</v>
      </c>
      <c r="AB64" s="21">
        <f t="shared" ca="1" si="57"/>
        <v>0</v>
      </c>
      <c r="AC64" s="21">
        <f t="shared" ca="1" si="57"/>
        <v>0</v>
      </c>
      <c r="AD64" s="21">
        <f t="shared" ca="1" si="57"/>
        <v>0</v>
      </c>
      <c r="AE64" s="21">
        <f t="shared" ca="1" si="57"/>
        <v>0</v>
      </c>
      <c r="AF64" s="21">
        <f t="shared" ca="1" si="57"/>
        <v>0</v>
      </c>
      <c r="AG64" s="21">
        <f t="shared" ca="1" si="57"/>
        <v>0</v>
      </c>
      <c r="AH64" s="21">
        <f t="shared" ca="1" si="57"/>
        <v>0</v>
      </c>
      <c r="AI64" s="21">
        <f t="shared" ca="1" si="57"/>
        <v>0</v>
      </c>
      <c r="AJ64" s="21">
        <f t="shared" ca="1" si="57"/>
        <v>0</v>
      </c>
      <c r="AK64" s="21">
        <f t="shared" ca="1" si="57"/>
        <v>0</v>
      </c>
      <c r="AL64" s="21">
        <f t="shared" ca="1" si="57"/>
        <v>0</v>
      </c>
      <c r="AM64" s="21">
        <f t="shared" ca="1" si="57"/>
        <v>0</v>
      </c>
      <c r="AN64" s="21">
        <f t="shared" ca="1" si="57"/>
        <v>0</v>
      </c>
      <c r="AO64" s="21">
        <f t="shared" ca="1" si="57"/>
        <v>0</v>
      </c>
      <c r="AP64" s="21">
        <f t="shared" ca="1" si="57"/>
        <v>0</v>
      </c>
      <c r="AQ64" s="21">
        <f t="shared" ca="1" si="57"/>
        <v>0</v>
      </c>
      <c r="AR64" s="21">
        <f t="shared" ca="1" si="57"/>
        <v>0</v>
      </c>
      <c r="AS64" s="21">
        <f t="shared" ca="1" si="57"/>
        <v>0</v>
      </c>
      <c r="AT64" s="21">
        <f t="shared" ca="1" si="57"/>
        <v>0</v>
      </c>
      <c r="AU64" s="21">
        <f t="shared" ca="1" si="57"/>
        <v>0</v>
      </c>
      <c r="AV64" s="21">
        <f t="shared" ca="1" si="57"/>
        <v>0</v>
      </c>
      <c r="AW64" s="21">
        <f t="shared" ca="1" si="57"/>
        <v>0</v>
      </c>
      <c r="AX64" s="21">
        <f t="shared" ca="1" si="57"/>
        <v>0</v>
      </c>
      <c r="AY64" s="21">
        <f t="shared" ca="1" si="57"/>
        <v>0</v>
      </c>
    </row>
    <row r="65" spans="2:51" x14ac:dyDescent="0.15">
      <c r="K65" s="195"/>
      <c r="L65" s="7" t="s">
        <v>45</v>
      </c>
      <c r="M65" s="18">
        <f ca="1">$G$24</f>
        <v>0</v>
      </c>
      <c r="N65" s="21">
        <f t="shared" ref="N65:O65" si="58">IF(N16="水没",$E$41*1^4+$F$41*1^3+$G$41*1^2+$H$41*1+$I$41,IF(OR(N16="-",N16="浸水なし"),0,IF(N16&lt;&gt;"床下浸水",$E$41*MIN(N16/$D$41,1)^4+$F$41*MIN(N16/$D$41,1)^3+$G$41*MIN(N16/$D$41,1)^2+$H$41*MIN(N16/$D$41,1)+$I$41,$I$41*N$36)))</f>
        <v>0</v>
      </c>
      <c r="O65" s="21">
        <f t="shared" si="58"/>
        <v>0</v>
      </c>
      <c r="Q65" s="21">
        <f t="shared" ref="Q65:AY65" si="59">IF(Q16="水没",$E$41*1^4+$F$41*1^3+$G$41*1^2+$H$41*1+$I$41,IF(OR(Q16="-",Q16="浸水なし"),0,IF(Q16&lt;&gt;"床下浸水",$E$41*MIN(Q16/$D$41,1)^4+$F$41*MIN(Q16/$D$41,1)^3+$G$41*MIN(Q16/$D$41,1)^2+$H$41*MIN(Q16/$D$41,1)+$I$41,$I$41*Q$36)))</f>
        <v>0</v>
      </c>
      <c r="R65" s="21">
        <f t="shared" si="59"/>
        <v>0</v>
      </c>
      <c r="S65" s="21">
        <f t="shared" si="59"/>
        <v>0</v>
      </c>
      <c r="T65" s="21">
        <f t="shared" si="59"/>
        <v>0</v>
      </c>
      <c r="U65" s="21">
        <f t="shared" si="59"/>
        <v>0</v>
      </c>
      <c r="V65" s="21">
        <f t="shared" si="59"/>
        <v>0</v>
      </c>
      <c r="W65" s="21">
        <f t="shared" si="59"/>
        <v>0</v>
      </c>
      <c r="X65" s="21">
        <f t="shared" si="59"/>
        <v>0</v>
      </c>
      <c r="Y65" s="21">
        <f t="shared" si="59"/>
        <v>0</v>
      </c>
      <c r="Z65" s="21">
        <f t="shared" si="59"/>
        <v>0</v>
      </c>
      <c r="AA65" s="21">
        <f t="shared" si="59"/>
        <v>0</v>
      </c>
      <c r="AB65" s="21">
        <f t="shared" si="59"/>
        <v>0</v>
      </c>
      <c r="AC65" s="21">
        <f t="shared" si="59"/>
        <v>0</v>
      </c>
      <c r="AD65" s="21">
        <f t="shared" si="59"/>
        <v>0</v>
      </c>
      <c r="AE65" s="21">
        <f t="shared" si="59"/>
        <v>0</v>
      </c>
      <c r="AF65" s="21">
        <f t="shared" si="59"/>
        <v>0</v>
      </c>
      <c r="AG65" s="21">
        <f t="shared" si="59"/>
        <v>0</v>
      </c>
      <c r="AH65" s="21">
        <f t="shared" si="59"/>
        <v>0</v>
      </c>
      <c r="AI65" s="21">
        <f t="shared" si="59"/>
        <v>0</v>
      </c>
      <c r="AJ65" s="21">
        <f t="shared" si="59"/>
        <v>0</v>
      </c>
      <c r="AK65" s="21">
        <f t="shared" si="59"/>
        <v>0</v>
      </c>
      <c r="AL65" s="21">
        <f t="shared" si="59"/>
        <v>0</v>
      </c>
      <c r="AM65" s="21">
        <f t="shared" si="59"/>
        <v>0</v>
      </c>
      <c r="AN65" s="21">
        <f t="shared" si="59"/>
        <v>0</v>
      </c>
      <c r="AO65" s="21">
        <f t="shared" si="59"/>
        <v>0</v>
      </c>
      <c r="AP65" s="21">
        <f t="shared" si="59"/>
        <v>0</v>
      </c>
      <c r="AQ65" s="21">
        <f t="shared" si="59"/>
        <v>0</v>
      </c>
      <c r="AR65" s="21">
        <f t="shared" si="59"/>
        <v>0</v>
      </c>
      <c r="AS65" s="21">
        <f t="shared" si="59"/>
        <v>0</v>
      </c>
      <c r="AT65" s="21">
        <f t="shared" si="59"/>
        <v>0</v>
      </c>
      <c r="AU65" s="21">
        <f t="shared" si="59"/>
        <v>0</v>
      </c>
      <c r="AV65" s="21">
        <f t="shared" si="59"/>
        <v>0</v>
      </c>
      <c r="AW65" s="21">
        <f t="shared" si="59"/>
        <v>0</v>
      </c>
      <c r="AX65" s="21">
        <f t="shared" si="59"/>
        <v>0</v>
      </c>
      <c r="AY65" s="21">
        <f t="shared" si="59"/>
        <v>0</v>
      </c>
    </row>
    <row r="66" spans="2:51" x14ac:dyDescent="0.15">
      <c r="B66"/>
      <c r="C66"/>
      <c r="D66"/>
      <c r="E66"/>
      <c r="F66"/>
      <c r="G66"/>
      <c r="K66" s="195"/>
      <c r="L66" s="8">
        <v>6</v>
      </c>
      <c r="M66" s="18">
        <f ca="1">$G$25</f>
        <v>0</v>
      </c>
      <c r="N66" s="21">
        <f t="shared" ref="N66:O66" ca="1" si="60">IF(N17="水没",$E$41*1^4+$F$41*1^3+$G$41*1^2+$H$41*1+$I$41,IF(OR(N17="-",N17="浸水なし"),0,IF(N17&lt;&gt;"床下浸水",$E$41*MIN(N17/$D$41,1)^4+$F$41*MIN(N17/$D$41,1)^3+$G$41*MIN(N17/$D$41,1)^2+$H$41*MIN(N17/$D$41,1)+$I$41,$I$41*N$36)))</f>
        <v>0</v>
      </c>
      <c r="O66" s="21">
        <f t="shared" ca="1" si="60"/>
        <v>0</v>
      </c>
      <c r="Q66" s="21">
        <f t="shared" ref="Q66:AY66" ca="1" si="61">IF(Q17="水没",$E$41*1^4+$F$41*1^3+$G$41*1^2+$H$41*1+$I$41,IF(OR(Q17="-",Q17="浸水なし"),0,IF(Q17&lt;&gt;"床下浸水",$E$41*MIN(Q17/$D$41,1)^4+$F$41*MIN(Q17/$D$41,1)^3+$G$41*MIN(Q17/$D$41,1)^2+$H$41*MIN(Q17/$D$41,1)+$I$41,$I$41*Q$36)))</f>
        <v>0</v>
      </c>
      <c r="R66" s="21">
        <f t="shared" ca="1" si="61"/>
        <v>0</v>
      </c>
      <c r="S66" s="21">
        <f t="shared" ca="1" si="61"/>
        <v>0</v>
      </c>
      <c r="T66" s="21">
        <f t="shared" ca="1" si="61"/>
        <v>0</v>
      </c>
      <c r="U66" s="21">
        <f t="shared" ca="1" si="61"/>
        <v>0</v>
      </c>
      <c r="V66" s="21">
        <f t="shared" ca="1" si="61"/>
        <v>0</v>
      </c>
      <c r="W66" s="21">
        <f t="shared" ca="1" si="61"/>
        <v>0</v>
      </c>
      <c r="X66" s="21">
        <f t="shared" ca="1" si="61"/>
        <v>0</v>
      </c>
      <c r="Y66" s="21">
        <f t="shared" ca="1" si="61"/>
        <v>0</v>
      </c>
      <c r="Z66" s="21">
        <f t="shared" ca="1" si="61"/>
        <v>0</v>
      </c>
      <c r="AA66" s="21">
        <f t="shared" ca="1" si="61"/>
        <v>0</v>
      </c>
      <c r="AB66" s="21">
        <f t="shared" ca="1" si="61"/>
        <v>0</v>
      </c>
      <c r="AC66" s="21">
        <f t="shared" ca="1" si="61"/>
        <v>0</v>
      </c>
      <c r="AD66" s="21">
        <f t="shared" ca="1" si="61"/>
        <v>0</v>
      </c>
      <c r="AE66" s="21">
        <f t="shared" ca="1" si="61"/>
        <v>0</v>
      </c>
      <c r="AF66" s="21">
        <f t="shared" ca="1" si="61"/>
        <v>0</v>
      </c>
      <c r="AG66" s="21">
        <f t="shared" ca="1" si="61"/>
        <v>0</v>
      </c>
      <c r="AH66" s="21">
        <f t="shared" ca="1" si="61"/>
        <v>0</v>
      </c>
      <c r="AI66" s="21">
        <f t="shared" ca="1" si="61"/>
        <v>0</v>
      </c>
      <c r="AJ66" s="21">
        <f t="shared" ca="1" si="61"/>
        <v>0</v>
      </c>
      <c r="AK66" s="21">
        <f t="shared" ca="1" si="61"/>
        <v>0</v>
      </c>
      <c r="AL66" s="21">
        <f t="shared" ca="1" si="61"/>
        <v>0</v>
      </c>
      <c r="AM66" s="21">
        <f t="shared" ca="1" si="61"/>
        <v>0</v>
      </c>
      <c r="AN66" s="21">
        <f t="shared" ca="1" si="61"/>
        <v>0</v>
      </c>
      <c r="AO66" s="21">
        <f t="shared" ca="1" si="61"/>
        <v>0</v>
      </c>
      <c r="AP66" s="21">
        <f t="shared" ca="1" si="61"/>
        <v>0</v>
      </c>
      <c r="AQ66" s="21">
        <f t="shared" ca="1" si="61"/>
        <v>0</v>
      </c>
      <c r="AR66" s="21">
        <f t="shared" ca="1" si="61"/>
        <v>0</v>
      </c>
      <c r="AS66" s="21">
        <f t="shared" ca="1" si="61"/>
        <v>0</v>
      </c>
      <c r="AT66" s="21">
        <f t="shared" ca="1" si="61"/>
        <v>0</v>
      </c>
      <c r="AU66" s="21">
        <f t="shared" ca="1" si="61"/>
        <v>0</v>
      </c>
      <c r="AV66" s="21">
        <f t="shared" ca="1" si="61"/>
        <v>0</v>
      </c>
      <c r="AW66" s="21">
        <f t="shared" ca="1" si="61"/>
        <v>0</v>
      </c>
      <c r="AX66" s="21">
        <f t="shared" ca="1" si="61"/>
        <v>0</v>
      </c>
      <c r="AY66" s="21">
        <f t="shared" ca="1" si="61"/>
        <v>0</v>
      </c>
    </row>
    <row r="67" spans="2:51" x14ac:dyDescent="0.15">
      <c r="K67" s="195"/>
      <c r="L67" s="8">
        <v>5</v>
      </c>
      <c r="M67" s="18">
        <f ca="1">$G$26</f>
        <v>0</v>
      </c>
      <c r="N67" s="21">
        <f t="shared" ref="N67:O67" ca="1" si="62">IF(N18="水没",$E$41*1^4+$F$41*1^3+$G$41*1^2+$H$41*1+$I$41,IF(OR(N18="-",N18="浸水なし"),0,IF(N18&lt;&gt;"床下浸水",$E$41*MIN(N18/$D$41,1)^4+$F$41*MIN(N18/$D$41,1)^3+$G$41*MIN(N18/$D$41,1)^2+$H$41*MIN(N18/$D$41,1)+$I$41,$I$41*N$36)))</f>
        <v>0</v>
      </c>
      <c r="O67" s="21">
        <f t="shared" ca="1" si="62"/>
        <v>0</v>
      </c>
      <c r="Q67" s="21">
        <f t="shared" ref="Q67:AY67" ca="1" si="63">IF(Q18="水没",$E$41*1^4+$F$41*1^3+$G$41*1^2+$H$41*1+$I$41,IF(OR(Q18="-",Q18="浸水なし"),0,IF(Q18&lt;&gt;"床下浸水",$E$41*MIN(Q18/$D$41,1)^4+$F$41*MIN(Q18/$D$41,1)^3+$G$41*MIN(Q18/$D$41,1)^2+$H$41*MIN(Q18/$D$41,1)+$I$41,$I$41*Q$36)))</f>
        <v>0</v>
      </c>
      <c r="R67" s="21">
        <f t="shared" ca="1" si="63"/>
        <v>0</v>
      </c>
      <c r="S67" s="21">
        <f t="shared" ca="1" si="63"/>
        <v>0</v>
      </c>
      <c r="T67" s="21">
        <f t="shared" ca="1" si="63"/>
        <v>0</v>
      </c>
      <c r="U67" s="21">
        <f t="shared" ca="1" si="63"/>
        <v>0</v>
      </c>
      <c r="V67" s="21">
        <f t="shared" ca="1" si="63"/>
        <v>0</v>
      </c>
      <c r="W67" s="21">
        <f t="shared" ca="1" si="63"/>
        <v>0</v>
      </c>
      <c r="X67" s="21">
        <f t="shared" ca="1" si="63"/>
        <v>0</v>
      </c>
      <c r="Y67" s="21">
        <f t="shared" ca="1" si="63"/>
        <v>0</v>
      </c>
      <c r="Z67" s="21">
        <f t="shared" ca="1" si="63"/>
        <v>0</v>
      </c>
      <c r="AA67" s="21">
        <f t="shared" ca="1" si="63"/>
        <v>0</v>
      </c>
      <c r="AB67" s="21">
        <f t="shared" ca="1" si="63"/>
        <v>0</v>
      </c>
      <c r="AC67" s="21">
        <f t="shared" ca="1" si="63"/>
        <v>0</v>
      </c>
      <c r="AD67" s="21">
        <f t="shared" ca="1" si="63"/>
        <v>0</v>
      </c>
      <c r="AE67" s="21">
        <f t="shared" ca="1" si="63"/>
        <v>0</v>
      </c>
      <c r="AF67" s="21">
        <f t="shared" ca="1" si="63"/>
        <v>0</v>
      </c>
      <c r="AG67" s="21">
        <f t="shared" ca="1" si="63"/>
        <v>0</v>
      </c>
      <c r="AH67" s="21">
        <f t="shared" ca="1" si="63"/>
        <v>0</v>
      </c>
      <c r="AI67" s="21">
        <f t="shared" ca="1" si="63"/>
        <v>0</v>
      </c>
      <c r="AJ67" s="21">
        <f t="shared" ca="1" si="63"/>
        <v>0</v>
      </c>
      <c r="AK67" s="21">
        <f t="shared" ca="1" si="63"/>
        <v>0</v>
      </c>
      <c r="AL67" s="21">
        <f t="shared" ca="1" si="63"/>
        <v>0</v>
      </c>
      <c r="AM67" s="21">
        <f t="shared" ca="1" si="63"/>
        <v>0</v>
      </c>
      <c r="AN67" s="21">
        <f t="shared" ca="1" si="63"/>
        <v>0</v>
      </c>
      <c r="AO67" s="21">
        <f t="shared" ca="1" si="63"/>
        <v>0</v>
      </c>
      <c r="AP67" s="21">
        <f t="shared" ca="1" si="63"/>
        <v>0</v>
      </c>
      <c r="AQ67" s="21">
        <f t="shared" ca="1" si="63"/>
        <v>0</v>
      </c>
      <c r="AR67" s="21">
        <f t="shared" ca="1" si="63"/>
        <v>0</v>
      </c>
      <c r="AS67" s="21">
        <f t="shared" ca="1" si="63"/>
        <v>0</v>
      </c>
      <c r="AT67" s="21">
        <f t="shared" ca="1" si="63"/>
        <v>0</v>
      </c>
      <c r="AU67" s="21">
        <f t="shared" ca="1" si="63"/>
        <v>0</v>
      </c>
      <c r="AV67" s="21">
        <f t="shared" ca="1" si="63"/>
        <v>0</v>
      </c>
      <c r="AW67" s="21">
        <f t="shared" ca="1" si="63"/>
        <v>0</v>
      </c>
      <c r="AX67" s="21">
        <f t="shared" ca="1" si="63"/>
        <v>0</v>
      </c>
      <c r="AY67" s="21">
        <f t="shared" ca="1" si="63"/>
        <v>0</v>
      </c>
    </row>
    <row r="68" spans="2:51" x14ac:dyDescent="0.15">
      <c r="K68" s="195"/>
      <c r="L68" s="8">
        <v>4</v>
      </c>
      <c r="M68" s="18">
        <f ca="1">$G$27</f>
        <v>0</v>
      </c>
      <c r="N68" s="21">
        <f t="shared" ref="N68:O68" ca="1" si="64">IF(N19="水没",$E$41*1^4+$F$41*1^3+$G$41*1^2+$H$41*1+$I$41,IF(OR(N19="-",N19="浸水なし"),0,IF(N19&lt;&gt;"床下浸水",$E$41*MIN(N19/$D$41,1)^4+$F$41*MIN(N19/$D$41,1)^3+$G$41*MIN(N19/$D$41,1)^2+$H$41*MIN(N19/$D$41,1)+$I$41,$I$41*N$36)))</f>
        <v>0</v>
      </c>
      <c r="O68" s="21">
        <f t="shared" ca="1" si="64"/>
        <v>0</v>
      </c>
      <c r="Q68" s="21">
        <f t="shared" ref="Q68:AY68" ca="1" si="65">IF(Q19="水没",$E$41*1^4+$F$41*1^3+$G$41*1^2+$H$41*1+$I$41,IF(OR(Q19="-",Q19="浸水なし"),0,IF(Q19&lt;&gt;"床下浸水",$E$41*MIN(Q19/$D$41,1)^4+$F$41*MIN(Q19/$D$41,1)^3+$G$41*MIN(Q19/$D$41,1)^2+$H$41*MIN(Q19/$D$41,1)+$I$41,$I$41*Q$36)))</f>
        <v>0</v>
      </c>
      <c r="R68" s="21">
        <f t="shared" ca="1" si="65"/>
        <v>0</v>
      </c>
      <c r="S68" s="21">
        <f t="shared" ca="1" si="65"/>
        <v>0</v>
      </c>
      <c r="T68" s="21">
        <f t="shared" ca="1" si="65"/>
        <v>0</v>
      </c>
      <c r="U68" s="21">
        <f t="shared" ca="1" si="65"/>
        <v>0</v>
      </c>
      <c r="V68" s="21">
        <f t="shared" ca="1" si="65"/>
        <v>0</v>
      </c>
      <c r="W68" s="21">
        <f t="shared" ca="1" si="65"/>
        <v>0</v>
      </c>
      <c r="X68" s="21">
        <f t="shared" ca="1" si="65"/>
        <v>0</v>
      </c>
      <c r="Y68" s="21">
        <f t="shared" ca="1" si="65"/>
        <v>0</v>
      </c>
      <c r="Z68" s="21">
        <f t="shared" ca="1" si="65"/>
        <v>0</v>
      </c>
      <c r="AA68" s="21">
        <f t="shared" ca="1" si="65"/>
        <v>0</v>
      </c>
      <c r="AB68" s="21">
        <f t="shared" ca="1" si="65"/>
        <v>0</v>
      </c>
      <c r="AC68" s="21">
        <f t="shared" ca="1" si="65"/>
        <v>0</v>
      </c>
      <c r="AD68" s="21">
        <f t="shared" ca="1" si="65"/>
        <v>0</v>
      </c>
      <c r="AE68" s="21">
        <f t="shared" ca="1" si="65"/>
        <v>0</v>
      </c>
      <c r="AF68" s="21">
        <f t="shared" ca="1" si="65"/>
        <v>0</v>
      </c>
      <c r="AG68" s="21">
        <f t="shared" ca="1" si="65"/>
        <v>0</v>
      </c>
      <c r="AH68" s="21">
        <f t="shared" ca="1" si="65"/>
        <v>0</v>
      </c>
      <c r="AI68" s="21">
        <f t="shared" ca="1" si="65"/>
        <v>0</v>
      </c>
      <c r="AJ68" s="21">
        <f t="shared" ca="1" si="65"/>
        <v>0</v>
      </c>
      <c r="AK68" s="21">
        <f t="shared" ca="1" si="65"/>
        <v>0</v>
      </c>
      <c r="AL68" s="21">
        <f t="shared" ca="1" si="65"/>
        <v>0</v>
      </c>
      <c r="AM68" s="21">
        <f t="shared" ca="1" si="65"/>
        <v>0</v>
      </c>
      <c r="AN68" s="21">
        <f t="shared" ca="1" si="65"/>
        <v>0</v>
      </c>
      <c r="AO68" s="21">
        <f t="shared" ca="1" si="65"/>
        <v>0</v>
      </c>
      <c r="AP68" s="21">
        <f t="shared" ca="1" si="65"/>
        <v>0</v>
      </c>
      <c r="AQ68" s="21">
        <f t="shared" ca="1" si="65"/>
        <v>0</v>
      </c>
      <c r="AR68" s="21">
        <f t="shared" ca="1" si="65"/>
        <v>0</v>
      </c>
      <c r="AS68" s="21">
        <f t="shared" ca="1" si="65"/>
        <v>0</v>
      </c>
      <c r="AT68" s="21">
        <f t="shared" ca="1" si="65"/>
        <v>0</v>
      </c>
      <c r="AU68" s="21">
        <f t="shared" ca="1" si="65"/>
        <v>0</v>
      </c>
      <c r="AV68" s="21">
        <f t="shared" ca="1" si="65"/>
        <v>0</v>
      </c>
      <c r="AW68" s="21">
        <f t="shared" ca="1" si="65"/>
        <v>0</v>
      </c>
      <c r="AX68" s="21">
        <f t="shared" ca="1" si="65"/>
        <v>0</v>
      </c>
      <c r="AY68" s="21">
        <f t="shared" ca="1" si="65"/>
        <v>0</v>
      </c>
    </row>
    <row r="69" spans="2:51" x14ac:dyDescent="0.15">
      <c r="K69" s="195"/>
      <c r="L69" s="8">
        <v>3</v>
      </c>
      <c r="M69" s="18">
        <f ca="1">$G$28</f>
        <v>0</v>
      </c>
      <c r="N69" s="21">
        <f t="shared" ref="N69:O69" ca="1" si="66">IF(N20="水没",$E$41*1^4+$F$41*1^3+$G$41*1^2+$H$41*1+$I$41,IF(OR(N20="-",N20="浸水なし"),0,IF(N20&lt;&gt;"床下浸水",$E$41*MIN(N20/$D$41,1)^4+$F$41*MIN(N20/$D$41,1)^3+$G$41*MIN(N20/$D$41,1)^2+$H$41*MIN(N20/$D$41,1)+$I$41,$I$41*N$36)))</f>
        <v>0</v>
      </c>
      <c r="O69" s="21">
        <f t="shared" ca="1" si="66"/>
        <v>0</v>
      </c>
      <c r="Q69" s="21">
        <f t="shared" ref="Q69:AY69" ca="1" si="67">IF(Q20="水没",$E$41*1^4+$F$41*1^3+$G$41*1^2+$H$41*1+$I$41,IF(OR(Q20="-",Q20="浸水なし"),0,IF(Q20&lt;&gt;"床下浸水",$E$41*MIN(Q20/$D$41,1)^4+$F$41*MIN(Q20/$D$41,1)^3+$G$41*MIN(Q20/$D$41,1)^2+$H$41*MIN(Q20/$D$41,1)+$I$41,$I$41*Q$36)))</f>
        <v>0</v>
      </c>
      <c r="R69" s="21">
        <f t="shared" ca="1" si="67"/>
        <v>0</v>
      </c>
      <c r="S69" s="21">
        <f t="shared" ca="1" si="67"/>
        <v>0</v>
      </c>
      <c r="T69" s="21">
        <f t="shared" ca="1" si="67"/>
        <v>0</v>
      </c>
      <c r="U69" s="21">
        <f t="shared" ca="1" si="67"/>
        <v>0</v>
      </c>
      <c r="V69" s="21">
        <f t="shared" ca="1" si="67"/>
        <v>0</v>
      </c>
      <c r="W69" s="21">
        <f t="shared" ca="1" si="67"/>
        <v>0</v>
      </c>
      <c r="X69" s="21">
        <f t="shared" ca="1" si="67"/>
        <v>0</v>
      </c>
      <c r="Y69" s="21">
        <f t="shared" ca="1" si="67"/>
        <v>0</v>
      </c>
      <c r="Z69" s="21">
        <f t="shared" ca="1" si="67"/>
        <v>0</v>
      </c>
      <c r="AA69" s="21">
        <f t="shared" ca="1" si="67"/>
        <v>0</v>
      </c>
      <c r="AB69" s="21">
        <f t="shared" ca="1" si="67"/>
        <v>0</v>
      </c>
      <c r="AC69" s="21">
        <f t="shared" ca="1" si="67"/>
        <v>0</v>
      </c>
      <c r="AD69" s="21">
        <f t="shared" ca="1" si="67"/>
        <v>0</v>
      </c>
      <c r="AE69" s="21">
        <f t="shared" ca="1" si="67"/>
        <v>0</v>
      </c>
      <c r="AF69" s="21">
        <f t="shared" ca="1" si="67"/>
        <v>0</v>
      </c>
      <c r="AG69" s="21">
        <f t="shared" ca="1" si="67"/>
        <v>0</v>
      </c>
      <c r="AH69" s="21">
        <f t="shared" ca="1" si="67"/>
        <v>0</v>
      </c>
      <c r="AI69" s="21">
        <f t="shared" ca="1" si="67"/>
        <v>0</v>
      </c>
      <c r="AJ69" s="21">
        <f t="shared" ca="1" si="67"/>
        <v>0</v>
      </c>
      <c r="AK69" s="21">
        <f t="shared" ca="1" si="67"/>
        <v>0</v>
      </c>
      <c r="AL69" s="21">
        <f t="shared" ca="1" si="67"/>
        <v>0</v>
      </c>
      <c r="AM69" s="21">
        <f t="shared" ca="1" si="67"/>
        <v>0</v>
      </c>
      <c r="AN69" s="21">
        <f t="shared" ca="1" si="67"/>
        <v>0</v>
      </c>
      <c r="AO69" s="21">
        <f t="shared" ca="1" si="67"/>
        <v>0</v>
      </c>
      <c r="AP69" s="21">
        <f t="shared" ca="1" si="67"/>
        <v>0</v>
      </c>
      <c r="AQ69" s="21">
        <f t="shared" ca="1" si="67"/>
        <v>0</v>
      </c>
      <c r="AR69" s="21">
        <f t="shared" ca="1" si="67"/>
        <v>0</v>
      </c>
      <c r="AS69" s="21">
        <f t="shared" ca="1" si="67"/>
        <v>0</v>
      </c>
      <c r="AT69" s="21">
        <f t="shared" ca="1" si="67"/>
        <v>0</v>
      </c>
      <c r="AU69" s="21">
        <f t="shared" ca="1" si="67"/>
        <v>0</v>
      </c>
      <c r="AV69" s="21">
        <f t="shared" ca="1" si="67"/>
        <v>0</v>
      </c>
      <c r="AW69" s="21">
        <f t="shared" ca="1" si="67"/>
        <v>0</v>
      </c>
      <c r="AX69" s="21">
        <f t="shared" ca="1" si="67"/>
        <v>0</v>
      </c>
      <c r="AY69" s="21">
        <f t="shared" ca="1" si="67"/>
        <v>0</v>
      </c>
    </row>
    <row r="70" spans="2:51" x14ac:dyDescent="0.15">
      <c r="K70" s="195"/>
      <c r="L70" s="8">
        <v>2</v>
      </c>
      <c r="M70" s="18">
        <f ca="1">$G$29</f>
        <v>0</v>
      </c>
      <c r="N70" s="21">
        <f t="shared" ref="N70:O70" ca="1" si="68">IF(N21="水没",$E$41*1^4+$F$41*1^3+$G$41*1^2+$H$41*1+$I$41,IF(OR(N21="-",N21="浸水なし"),0,IF(N21&lt;&gt;"床下浸水",$E$41*MIN(N21/$D$41,1)^4+$F$41*MIN(N21/$D$41,1)^3+$G$41*MIN(N21/$D$41,1)^2+$H$41*MIN(N21/$D$41,1)+$I$41,$I$41*N$36)))</f>
        <v>0</v>
      </c>
      <c r="O70" s="21">
        <f t="shared" ca="1" si="68"/>
        <v>0</v>
      </c>
      <c r="Q70" s="21">
        <f t="shared" ref="Q70:AY70" ca="1" si="69">IF(Q21="水没",$E$41*1^4+$F$41*1^3+$G$41*1^2+$H$41*1+$I$41,IF(OR(Q21="-",Q21="浸水なし"),0,IF(Q21&lt;&gt;"床下浸水",$E$41*MIN(Q21/$D$41,1)^4+$F$41*MIN(Q21/$D$41,1)^3+$G$41*MIN(Q21/$D$41,1)^2+$H$41*MIN(Q21/$D$41,1)+$I$41,$I$41*Q$36)))</f>
        <v>0</v>
      </c>
      <c r="R70" s="21">
        <f t="shared" ca="1" si="69"/>
        <v>0</v>
      </c>
      <c r="S70" s="21">
        <f t="shared" ca="1" si="69"/>
        <v>0</v>
      </c>
      <c r="T70" s="21">
        <f t="shared" ca="1" si="69"/>
        <v>0</v>
      </c>
      <c r="U70" s="21">
        <f t="shared" ca="1" si="69"/>
        <v>0</v>
      </c>
      <c r="V70" s="21">
        <f t="shared" ca="1" si="69"/>
        <v>0</v>
      </c>
      <c r="W70" s="21">
        <f t="shared" ca="1" si="69"/>
        <v>0</v>
      </c>
      <c r="X70" s="21">
        <f t="shared" ca="1" si="69"/>
        <v>0</v>
      </c>
      <c r="Y70" s="21">
        <f t="shared" ca="1" si="69"/>
        <v>0</v>
      </c>
      <c r="Z70" s="21">
        <f t="shared" ca="1" si="69"/>
        <v>0</v>
      </c>
      <c r="AA70" s="21">
        <f t="shared" ca="1" si="69"/>
        <v>0</v>
      </c>
      <c r="AB70" s="21">
        <f t="shared" ca="1" si="69"/>
        <v>0</v>
      </c>
      <c r="AC70" s="21">
        <f t="shared" ca="1" si="69"/>
        <v>0</v>
      </c>
      <c r="AD70" s="21">
        <f t="shared" ca="1" si="69"/>
        <v>0</v>
      </c>
      <c r="AE70" s="21">
        <f t="shared" ca="1" si="69"/>
        <v>0</v>
      </c>
      <c r="AF70" s="21">
        <f t="shared" ca="1" si="69"/>
        <v>0</v>
      </c>
      <c r="AG70" s="21">
        <f t="shared" ca="1" si="69"/>
        <v>0</v>
      </c>
      <c r="AH70" s="21">
        <f t="shared" ca="1" si="69"/>
        <v>0</v>
      </c>
      <c r="AI70" s="21">
        <f t="shared" ca="1" si="69"/>
        <v>0</v>
      </c>
      <c r="AJ70" s="21">
        <f t="shared" ca="1" si="69"/>
        <v>0</v>
      </c>
      <c r="AK70" s="21">
        <f t="shared" ca="1" si="69"/>
        <v>0</v>
      </c>
      <c r="AL70" s="21">
        <f t="shared" ca="1" si="69"/>
        <v>0</v>
      </c>
      <c r="AM70" s="21">
        <f t="shared" ca="1" si="69"/>
        <v>0</v>
      </c>
      <c r="AN70" s="21">
        <f t="shared" ca="1" si="69"/>
        <v>0</v>
      </c>
      <c r="AO70" s="21">
        <f t="shared" ca="1" si="69"/>
        <v>0</v>
      </c>
      <c r="AP70" s="21">
        <f t="shared" ca="1" si="69"/>
        <v>0</v>
      </c>
      <c r="AQ70" s="21">
        <f t="shared" ca="1" si="69"/>
        <v>0</v>
      </c>
      <c r="AR70" s="21">
        <f t="shared" ca="1" si="69"/>
        <v>0</v>
      </c>
      <c r="AS70" s="21">
        <f t="shared" ca="1" si="69"/>
        <v>0</v>
      </c>
      <c r="AT70" s="21">
        <f t="shared" ca="1" si="69"/>
        <v>0</v>
      </c>
      <c r="AU70" s="21">
        <f t="shared" ca="1" si="69"/>
        <v>0</v>
      </c>
      <c r="AV70" s="21">
        <f t="shared" ca="1" si="69"/>
        <v>0</v>
      </c>
      <c r="AW70" s="21">
        <f t="shared" ca="1" si="69"/>
        <v>0</v>
      </c>
      <c r="AX70" s="21">
        <f t="shared" ca="1" si="69"/>
        <v>0</v>
      </c>
      <c r="AY70" s="21">
        <f t="shared" ca="1" si="69"/>
        <v>0</v>
      </c>
    </row>
    <row r="71" spans="2:51" x14ac:dyDescent="0.15">
      <c r="K71" s="195"/>
      <c r="L71" s="8">
        <v>1</v>
      </c>
      <c r="M71" s="18">
        <f ca="1">$G$30</f>
        <v>0</v>
      </c>
      <c r="N71" s="21">
        <f t="shared" ref="N71:O71" ca="1" si="70">IF(N22="水没",$E$41*1^4+$F$41*1^3+$G$41*1^2+$H$41*1+$I$41,IF(OR(N22="-",N22="浸水なし"),0,IF(N22&lt;&gt;"床下浸水",$E$41*MIN(N22/$D$41,1)^4+$F$41*MIN(N22/$D$41,1)^3+$G$41*MIN(N22/$D$41,1)^2+$H$41*MIN(N22/$D$41,1)+$I$41,$I$41*N$36)))</f>
        <v>0</v>
      </c>
      <c r="O71" s="21">
        <f t="shared" ca="1" si="70"/>
        <v>0</v>
      </c>
      <c r="Q71" s="21">
        <f t="shared" ref="Q71:AY71" ca="1" si="71">IF(Q22="水没",$E$41*1^4+$F$41*1^3+$G$41*1^2+$H$41*1+$I$41,IF(OR(Q22="-",Q22="浸水なし"),0,IF(Q22&lt;&gt;"床下浸水",$E$41*MIN(Q22/$D$41,1)^4+$F$41*MIN(Q22/$D$41,1)^3+$G$41*MIN(Q22/$D$41,1)^2+$H$41*MIN(Q22/$D$41,1)+$I$41,$I$41*Q$36)))</f>
        <v>0</v>
      </c>
      <c r="R71" s="21">
        <f t="shared" ca="1" si="71"/>
        <v>0</v>
      </c>
      <c r="S71" s="21">
        <f t="shared" ca="1" si="71"/>
        <v>0</v>
      </c>
      <c r="T71" s="21">
        <f t="shared" ca="1" si="71"/>
        <v>0</v>
      </c>
      <c r="U71" s="21">
        <f t="shared" ca="1" si="71"/>
        <v>0</v>
      </c>
      <c r="V71" s="21">
        <f t="shared" ca="1" si="71"/>
        <v>0</v>
      </c>
      <c r="W71" s="21">
        <f t="shared" ca="1" si="71"/>
        <v>0</v>
      </c>
      <c r="X71" s="21">
        <f t="shared" ca="1" si="71"/>
        <v>0</v>
      </c>
      <c r="Y71" s="21">
        <f t="shared" ca="1" si="71"/>
        <v>0</v>
      </c>
      <c r="Z71" s="21">
        <f t="shared" ca="1" si="71"/>
        <v>0</v>
      </c>
      <c r="AA71" s="21">
        <f t="shared" ca="1" si="71"/>
        <v>0</v>
      </c>
      <c r="AB71" s="21">
        <f t="shared" ca="1" si="71"/>
        <v>0</v>
      </c>
      <c r="AC71" s="21">
        <f t="shared" ca="1" si="71"/>
        <v>0</v>
      </c>
      <c r="AD71" s="21">
        <f t="shared" ca="1" si="71"/>
        <v>0</v>
      </c>
      <c r="AE71" s="21">
        <f t="shared" ca="1" si="71"/>
        <v>0</v>
      </c>
      <c r="AF71" s="21">
        <f t="shared" ca="1" si="71"/>
        <v>0</v>
      </c>
      <c r="AG71" s="21">
        <f t="shared" ca="1" si="71"/>
        <v>0</v>
      </c>
      <c r="AH71" s="21">
        <f t="shared" ca="1" si="71"/>
        <v>0</v>
      </c>
      <c r="AI71" s="21">
        <f t="shared" ca="1" si="71"/>
        <v>0</v>
      </c>
      <c r="AJ71" s="21">
        <f t="shared" ca="1" si="71"/>
        <v>0</v>
      </c>
      <c r="AK71" s="21">
        <f t="shared" ca="1" si="71"/>
        <v>0</v>
      </c>
      <c r="AL71" s="21">
        <f t="shared" ca="1" si="71"/>
        <v>0</v>
      </c>
      <c r="AM71" s="21">
        <f t="shared" ca="1" si="71"/>
        <v>0</v>
      </c>
      <c r="AN71" s="21">
        <f t="shared" ca="1" si="71"/>
        <v>0</v>
      </c>
      <c r="AO71" s="21">
        <f t="shared" ca="1" si="71"/>
        <v>0</v>
      </c>
      <c r="AP71" s="21">
        <f t="shared" ca="1" si="71"/>
        <v>0</v>
      </c>
      <c r="AQ71" s="21">
        <f t="shared" ca="1" si="71"/>
        <v>0</v>
      </c>
      <c r="AR71" s="21">
        <f t="shared" ca="1" si="71"/>
        <v>0</v>
      </c>
      <c r="AS71" s="21">
        <f t="shared" ca="1" si="71"/>
        <v>0</v>
      </c>
      <c r="AT71" s="21">
        <f t="shared" ca="1" si="71"/>
        <v>0</v>
      </c>
      <c r="AU71" s="21">
        <f t="shared" ca="1" si="71"/>
        <v>0</v>
      </c>
      <c r="AV71" s="21">
        <f t="shared" ca="1" si="71"/>
        <v>0</v>
      </c>
      <c r="AW71" s="21">
        <f t="shared" ca="1" si="71"/>
        <v>0</v>
      </c>
      <c r="AX71" s="21">
        <f t="shared" ca="1" si="71"/>
        <v>0</v>
      </c>
      <c r="AY71" s="21">
        <f t="shared" ca="1" si="71"/>
        <v>0</v>
      </c>
    </row>
    <row r="72" spans="2:51" x14ac:dyDescent="0.15">
      <c r="K72" s="195"/>
      <c r="L72" s="7" t="s">
        <v>36</v>
      </c>
      <c r="M72" s="18">
        <f ca="1">$G$31</f>
        <v>0</v>
      </c>
      <c r="N72" s="21">
        <f t="shared" ref="N72:O72" ca="1" si="72">IF(N23="水没",$E$41*1^4+$F$41*1^3+$G$41*1^2+$H$41*1+$I$41,IF(OR(N23="-",N23="浸水なし"),0,IF(N23&lt;&gt;"床下浸水",$E$41*MIN(N23/$D$41,1)^4+$F$41*MIN(N23/$D$41,1)^3+$G$41*MIN(N23/$D$41,1)^2+$H$41*MIN(N23/$D$41,1)+$I$41,$I$41*N$36)))</f>
        <v>0</v>
      </c>
      <c r="O72" s="21">
        <f t="shared" ca="1" si="72"/>
        <v>0</v>
      </c>
      <c r="Q72" s="21">
        <f t="shared" ref="Q72:AY72" ca="1" si="73">IF(Q23="水没",$E$41*1^4+$F$41*1^3+$G$41*1^2+$H$41*1+$I$41,IF(OR(Q23="-",Q23="浸水なし"),0,IF(Q23&lt;&gt;"床下浸水",$E$41*MIN(Q23/$D$41,1)^4+$F$41*MIN(Q23/$D$41,1)^3+$G$41*MIN(Q23/$D$41,1)^2+$H$41*MIN(Q23/$D$41,1)+$I$41,$I$41*Q$36)))</f>
        <v>0</v>
      </c>
      <c r="R72" s="21">
        <f t="shared" ca="1" si="73"/>
        <v>0</v>
      </c>
      <c r="S72" s="21">
        <f t="shared" ca="1" si="73"/>
        <v>0</v>
      </c>
      <c r="T72" s="21">
        <f t="shared" ca="1" si="73"/>
        <v>0</v>
      </c>
      <c r="U72" s="21">
        <f t="shared" ca="1" si="73"/>
        <v>0</v>
      </c>
      <c r="V72" s="21">
        <f t="shared" ca="1" si="73"/>
        <v>0</v>
      </c>
      <c r="W72" s="21">
        <f t="shared" ca="1" si="73"/>
        <v>0</v>
      </c>
      <c r="X72" s="21">
        <f t="shared" ca="1" si="73"/>
        <v>0</v>
      </c>
      <c r="Y72" s="21">
        <f t="shared" ca="1" si="73"/>
        <v>0</v>
      </c>
      <c r="Z72" s="21">
        <f t="shared" ca="1" si="73"/>
        <v>0</v>
      </c>
      <c r="AA72" s="21">
        <f t="shared" ca="1" si="73"/>
        <v>0</v>
      </c>
      <c r="AB72" s="21">
        <f t="shared" ca="1" si="73"/>
        <v>0</v>
      </c>
      <c r="AC72" s="21">
        <f t="shared" ca="1" si="73"/>
        <v>0</v>
      </c>
      <c r="AD72" s="21">
        <f t="shared" ca="1" si="73"/>
        <v>0</v>
      </c>
      <c r="AE72" s="21">
        <f t="shared" ca="1" si="73"/>
        <v>0</v>
      </c>
      <c r="AF72" s="21">
        <f t="shared" ca="1" si="73"/>
        <v>0</v>
      </c>
      <c r="AG72" s="21">
        <f t="shared" ca="1" si="73"/>
        <v>0</v>
      </c>
      <c r="AH72" s="21">
        <f t="shared" ca="1" si="73"/>
        <v>0</v>
      </c>
      <c r="AI72" s="21">
        <f t="shared" ca="1" si="73"/>
        <v>0</v>
      </c>
      <c r="AJ72" s="21">
        <f t="shared" ca="1" si="73"/>
        <v>0</v>
      </c>
      <c r="AK72" s="21">
        <f t="shared" ca="1" si="73"/>
        <v>0</v>
      </c>
      <c r="AL72" s="21">
        <f t="shared" ca="1" si="73"/>
        <v>0</v>
      </c>
      <c r="AM72" s="21">
        <f t="shared" ca="1" si="73"/>
        <v>0</v>
      </c>
      <c r="AN72" s="21">
        <f t="shared" ca="1" si="73"/>
        <v>0</v>
      </c>
      <c r="AO72" s="21">
        <f t="shared" ca="1" si="73"/>
        <v>0</v>
      </c>
      <c r="AP72" s="21">
        <f t="shared" ca="1" si="73"/>
        <v>0</v>
      </c>
      <c r="AQ72" s="21">
        <f t="shared" ca="1" si="73"/>
        <v>0</v>
      </c>
      <c r="AR72" s="21">
        <f t="shared" ca="1" si="73"/>
        <v>0</v>
      </c>
      <c r="AS72" s="21">
        <f t="shared" ca="1" si="73"/>
        <v>0</v>
      </c>
      <c r="AT72" s="21">
        <f t="shared" ca="1" si="73"/>
        <v>0</v>
      </c>
      <c r="AU72" s="21">
        <f t="shared" ca="1" si="73"/>
        <v>0</v>
      </c>
      <c r="AV72" s="21">
        <f t="shared" ca="1" si="73"/>
        <v>0</v>
      </c>
      <c r="AW72" s="21">
        <f t="shared" ca="1" si="73"/>
        <v>0</v>
      </c>
      <c r="AX72" s="21">
        <f t="shared" ca="1" si="73"/>
        <v>0</v>
      </c>
      <c r="AY72" s="21">
        <f t="shared" ca="1" si="73"/>
        <v>0</v>
      </c>
    </row>
    <row r="73" spans="2:51" customFormat="1" x14ac:dyDescent="0.15">
      <c r="B73" s="5"/>
      <c r="C73" s="5"/>
      <c r="D73" s="5"/>
      <c r="E73" s="5"/>
      <c r="F73" s="5"/>
      <c r="G73" s="5"/>
      <c r="K73" s="5"/>
      <c r="L73" s="5"/>
      <c r="M73" s="15" t="s">
        <v>100</v>
      </c>
      <c r="N73" s="11">
        <f ca="1">SUMPRODUCT($M$64:$M$72,N64:N72)</f>
        <v>0</v>
      </c>
      <c r="O73" s="11">
        <f ca="1">SUMPRODUCT($M$64:$M$72,O64:O72)</f>
        <v>0</v>
      </c>
      <c r="Q73" s="11">
        <f ca="1">SUMPRODUCT($M$64:$M$72,Q64:Q72)</f>
        <v>0</v>
      </c>
      <c r="R73" s="11">
        <f ca="1">SUMPRODUCT($M$64:$M$72,R64:R72)</f>
        <v>0</v>
      </c>
      <c r="S73" s="11">
        <f ca="1">SUMPRODUCT($M$64:$M$72,S64:S72)</f>
        <v>0</v>
      </c>
      <c r="T73" s="11">
        <f t="shared" ref="T73:AY73" ca="1" si="74">SUMPRODUCT($M$64:$M$72,T64:T72)</f>
        <v>0</v>
      </c>
      <c r="U73" s="11">
        <f t="shared" ca="1" si="74"/>
        <v>0</v>
      </c>
      <c r="V73" s="11">
        <f t="shared" ca="1" si="74"/>
        <v>0</v>
      </c>
      <c r="W73" s="11">
        <f t="shared" ca="1" si="74"/>
        <v>0</v>
      </c>
      <c r="X73" s="11">
        <f t="shared" ca="1" si="74"/>
        <v>0</v>
      </c>
      <c r="Y73" s="11">
        <f t="shared" ca="1" si="74"/>
        <v>0</v>
      </c>
      <c r="Z73" s="11">
        <f t="shared" ca="1" si="74"/>
        <v>0</v>
      </c>
      <c r="AA73" s="11">
        <f t="shared" ca="1" si="74"/>
        <v>0</v>
      </c>
      <c r="AB73" s="11">
        <f t="shared" ca="1" si="74"/>
        <v>0</v>
      </c>
      <c r="AC73" s="11">
        <f t="shared" ca="1" si="74"/>
        <v>0</v>
      </c>
      <c r="AD73" s="11">
        <f t="shared" ca="1" si="74"/>
        <v>0</v>
      </c>
      <c r="AE73" s="11">
        <f t="shared" ca="1" si="74"/>
        <v>0</v>
      </c>
      <c r="AF73" s="11">
        <f t="shared" ca="1" si="74"/>
        <v>0</v>
      </c>
      <c r="AG73" s="11">
        <f t="shared" ca="1" si="74"/>
        <v>0</v>
      </c>
      <c r="AH73" s="11">
        <f t="shared" ca="1" si="74"/>
        <v>0</v>
      </c>
      <c r="AI73" s="11">
        <f t="shared" ca="1" si="74"/>
        <v>0</v>
      </c>
      <c r="AJ73" s="11">
        <f t="shared" ca="1" si="74"/>
        <v>0</v>
      </c>
      <c r="AK73" s="11">
        <f t="shared" ca="1" si="74"/>
        <v>0</v>
      </c>
      <c r="AL73" s="11">
        <f t="shared" ca="1" si="74"/>
        <v>0</v>
      </c>
      <c r="AM73" s="11">
        <f t="shared" ca="1" si="74"/>
        <v>0</v>
      </c>
      <c r="AN73" s="11">
        <f t="shared" ca="1" si="74"/>
        <v>0</v>
      </c>
      <c r="AO73" s="11">
        <f t="shared" ca="1" si="74"/>
        <v>0</v>
      </c>
      <c r="AP73" s="11">
        <f t="shared" ca="1" si="74"/>
        <v>0</v>
      </c>
      <c r="AQ73" s="11">
        <f t="shared" ca="1" si="74"/>
        <v>0</v>
      </c>
      <c r="AR73" s="11">
        <f t="shared" ca="1" si="74"/>
        <v>0</v>
      </c>
      <c r="AS73" s="11">
        <f t="shared" ca="1" si="74"/>
        <v>0</v>
      </c>
      <c r="AT73" s="11">
        <f t="shared" ca="1" si="74"/>
        <v>0</v>
      </c>
      <c r="AU73" s="11">
        <f t="shared" ca="1" si="74"/>
        <v>0</v>
      </c>
      <c r="AV73" s="11">
        <f t="shared" ca="1" si="74"/>
        <v>0</v>
      </c>
      <c r="AW73" s="11">
        <f t="shared" ca="1" si="74"/>
        <v>0</v>
      </c>
      <c r="AX73" s="11">
        <f t="shared" ca="1" si="74"/>
        <v>0</v>
      </c>
      <c r="AY73" s="11">
        <f t="shared" ca="1" si="74"/>
        <v>0</v>
      </c>
    </row>
    <row r="78" spans="2:51" x14ac:dyDescent="0.15">
      <c r="B78"/>
      <c r="C78"/>
      <c r="D78"/>
      <c r="E78"/>
      <c r="F78"/>
      <c r="G78"/>
    </row>
    <row r="85" spans="2:21" customFormat="1" x14ac:dyDescent="0.15">
      <c r="B85" s="5"/>
      <c r="C85" s="5"/>
      <c r="D85" s="5"/>
      <c r="E85" s="5"/>
      <c r="F85" s="5"/>
      <c r="G85" s="5"/>
      <c r="M85" s="5"/>
      <c r="Q85" s="5"/>
      <c r="R85" s="5"/>
      <c r="S85" s="5"/>
      <c r="T85" s="5"/>
      <c r="U85" s="5"/>
    </row>
  </sheetData>
  <mergeCells count="27">
    <mergeCell ref="K51:K60"/>
    <mergeCell ref="K63:K72"/>
    <mergeCell ref="E14:F14"/>
    <mergeCell ref="E15:F15"/>
    <mergeCell ref="D18:E18"/>
    <mergeCell ref="D19:E19"/>
    <mergeCell ref="D20:E20"/>
    <mergeCell ref="K38:K48"/>
    <mergeCell ref="K14:K24"/>
    <mergeCell ref="K26:K36"/>
    <mergeCell ref="D17:E17"/>
    <mergeCell ref="B3:C3"/>
    <mergeCell ref="B5:B7"/>
    <mergeCell ref="B8:B10"/>
    <mergeCell ref="C6:C7"/>
    <mergeCell ref="C8:C9"/>
    <mergeCell ref="K4:K7"/>
    <mergeCell ref="B35:B37"/>
    <mergeCell ref="B40:C40"/>
    <mergeCell ref="B41:C41"/>
    <mergeCell ref="C32:D32"/>
    <mergeCell ref="B22:B32"/>
    <mergeCell ref="B12:B15"/>
    <mergeCell ref="B17:B20"/>
    <mergeCell ref="K9:K12"/>
    <mergeCell ref="F17:G17"/>
    <mergeCell ref="F18:G18"/>
  </mergeCells>
  <phoneticPr fontId="2"/>
  <pageMargins left="0.75" right="0.75" top="1" bottom="1" header="0.51200000000000001" footer="0.51200000000000001"/>
  <pageSetup paperSize="9" orientation="portrait" verticalDpi="0"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①簡易状況入力!$C$5:$C$104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FF00"/>
  </sheetPr>
  <dimension ref="A2:AW73"/>
  <sheetViews>
    <sheetView zoomScale="85" zoomScaleNormal="85" workbookViewId="0">
      <selection activeCell="D3" sqref="D3"/>
    </sheetView>
  </sheetViews>
  <sheetFormatPr defaultRowHeight="13.5" x14ac:dyDescent="0.15"/>
  <cols>
    <col min="1" max="2" width="9" style="5"/>
    <col min="3" max="4" width="10" style="5" bestFit="1" customWidth="1"/>
    <col min="5" max="5" width="9.375" style="5" customWidth="1"/>
    <col min="6" max="6" width="9.875" style="5" customWidth="1"/>
    <col min="7" max="7" width="10.125" style="5" customWidth="1"/>
    <col min="8" max="11" width="9" style="5"/>
    <col min="12" max="13" width="11.375" customWidth="1"/>
    <col min="14" max="14" width="2.25" customWidth="1"/>
    <col min="15" max="48" width="9" style="5"/>
    <col min="49" max="49" width="9" style="5" customWidth="1"/>
    <col min="50" max="16384" width="9" style="5"/>
  </cols>
  <sheetData>
    <row r="2" spans="1:49" x14ac:dyDescent="0.15">
      <c r="L2" t="s">
        <v>129</v>
      </c>
      <c r="M2" t="s">
        <v>129</v>
      </c>
      <c r="O2" s="5" t="s">
        <v>128</v>
      </c>
    </row>
    <row r="3" spans="1:49" x14ac:dyDescent="0.15">
      <c r="B3" s="195" t="s">
        <v>135</v>
      </c>
      <c r="C3" s="195"/>
      <c r="D3" s="108" t="s">
        <v>157</v>
      </c>
      <c r="E3"/>
      <c r="I3" s="111" t="s">
        <v>54</v>
      </c>
      <c r="J3" s="112"/>
      <c r="K3" s="113" t="s">
        <v>230</v>
      </c>
      <c r="L3" s="75">
        <f ca="1">OFFSET(②詳細状況入力!$A$505,MATCH($D$3,②詳細状況入力!$A$505:$A$534,0)-1,16)</f>
        <v>0</v>
      </c>
      <c r="M3" s="75">
        <f ca="1">OFFSET(②詳細状況入力!$A$505,MATCH($D$3,②詳細状況入力!$A$505:$A$534,0)-1+1,16)</f>
        <v>0</v>
      </c>
      <c r="O3" s="39">
        <f>【参考】被害関数グラフ!D3</f>
        <v>0</v>
      </c>
      <c r="P3" s="39">
        <f>【参考】被害関数グラフ!E3</f>
        <v>10</v>
      </c>
      <c r="Q3" s="39">
        <f>【参考】被害関数グラフ!F3</f>
        <v>20</v>
      </c>
      <c r="R3" s="39">
        <f>【参考】被害関数グラフ!G3</f>
        <v>30</v>
      </c>
      <c r="S3" s="39">
        <f>【参考】被害関数グラフ!H3</f>
        <v>40</v>
      </c>
      <c r="T3" s="39">
        <f>【参考】被害関数グラフ!I3</f>
        <v>50</v>
      </c>
      <c r="U3" s="39">
        <f>【参考】被害関数グラフ!J3</f>
        <v>60</v>
      </c>
      <c r="V3" s="39">
        <f>【参考】被害関数グラフ!K3</f>
        <v>70</v>
      </c>
      <c r="W3" s="39">
        <f>【参考】被害関数グラフ!L3</f>
        <v>80</v>
      </c>
      <c r="X3" s="39">
        <f>【参考】被害関数グラフ!M3</f>
        <v>90</v>
      </c>
      <c r="Y3" s="39">
        <f>【参考】被害関数グラフ!N3</f>
        <v>100</v>
      </c>
      <c r="Z3" s="39">
        <f>【参考】被害関数グラフ!O3</f>
        <v>120</v>
      </c>
      <c r="AA3" s="39">
        <f>【参考】被害関数グラフ!P3</f>
        <v>140</v>
      </c>
      <c r="AB3" s="39">
        <f>【参考】被害関数グラフ!Q3</f>
        <v>160</v>
      </c>
      <c r="AC3" s="39">
        <f>【参考】被害関数グラフ!R3</f>
        <v>180</v>
      </c>
      <c r="AD3" s="39">
        <f>【参考】被害関数グラフ!S3</f>
        <v>200</v>
      </c>
      <c r="AE3" s="39">
        <f>【参考】被害関数グラフ!T3</f>
        <v>220</v>
      </c>
      <c r="AF3" s="39">
        <f>【参考】被害関数グラフ!U3</f>
        <v>240</v>
      </c>
      <c r="AG3" s="39">
        <f>【参考】被害関数グラフ!V3</f>
        <v>260</v>
      </c>
      <c r="AH3" s="39">
        <f>【参考】被害関数グラフ!W3</f>
        <v>280</v>
      </c>
      <c r="AI3" s="39">
        <f>【参考】被害関数グラフ!X3</f>
        <v>300</v>
      </c>
      <c r="AJ3" s="39">
        <f>【参考】被害関数グラフ!Y3</f>
        <v>350</v>
      </c>
      <c r="AK3" s="39">
        <f>【参考】被害関数グラフ!Z3</f>
        <v>400</v>
      </c>
      <c r="AL3" s="39">
        <f>【参考】被害関数グラフ!AA3</f>
        <v>450</v>
      </c>
      <c r="AM3" s="39">
        <f>【参考】被害関数グラフ!AB3</f>
        <v>500</v>
      </c>
      <c r="AN3" s="39">
        <f>【参考】被害関数グラフ!AC3</f>
        <v>600</v>
      </c>
      <c r="AO3" s="39">
        <f>【参考】被害関数グラフ!AD3</f>
        <v>700</v>
      </c>
      <c r="AP3" s="39">
        <f>【参考】被害関数グラフ!AE3</f>
        <v>800</v>
      </c>
      <c r="AQ3" s="39">
        <f>【参考】被害関数グラフ!AF3</f>
        <v>900</v>
      </c>
      <c r="AR3" s="39">
        <f>【参考】被害関数グラフ!AG3</f>
        <v>1000</v>
      </c>
      <c r="AS3" s="39">
        <f>【参考】被害関数グラフ!AH3</f>
        <v>1200</v>
      </c>
      <c r="AT3" s="39">
        <f>【参考】被害関数グラフ!AI3</f>
        <v>1400</v>
      </c>
      <c r="AU3" s="39">
        <f>【参考】被害関数グラフ!AJ3</f>
        <v>1600</v>
      </c>
      <c r="AV3" s="39">
        <f>【参考】被害関数グラフ!AK3</f>
        <v>1800</v>
      </c>
      <c r="AW3" s="39">
        <f>【参考】被害関数グラフ!AL3</f>
        <v>2000</v>
      </c>
    </row>
    <row r="4" spans="1:49" x14ac:dyDescent="0.15">
      <c r="B4"/>
      <c r="C4"/>
      <c r="D4"/>
      <c r="E4"/>
      <c r="I4" s="28" t="s">
        <v>241</v>
      </c>
      <c r="J4" s="110" t="s">
        <v>17</v>
      </c>
      <c r="K4" s="114">
        <f ca="1">D8</f>
        <v>0</v>
      </c>
      <c r="L4" s="76">
        <f ca="1">L18</f>
        <v>0</v>
      </c>
      <c r="M4" s="76">
        <f ca="1">M18</f>
        <v>0</v>
      </c>
      <c r="O4" s="9">
        <f ca="1">O18</f>
        <v>0</v>
      </c>
      <c r="P4" s="9">
        <f ca="1">P18</f>
        <v>0</v>
      </c>
      <c r="Q4" s="9">
        <f ca="1">Q18</f>
        <v>0</v>
      </c>
      <c r="R4" s="9">
        <f t="shared" ref="R4:AW4" ca="1" si="0">R18</f>
        <v>0</v>
      </c>
      <c r="S4" s="9">
        <f t="shared" ca="1" si="0"/>
        <v>0</v>
      </c>
      <c r="T4" s="9">
        <f t="shared" ca="1" si="0"/>
        <v>0</v>
      </c>
      <c r="U4" s="9">
        <f t="shared" ca="1" si="0"/>
        <v>0</v>
      </c>
      <c r="V4" s="9">
        <f t="shared" ca="1" si="0"/>
        <v>0</v>
      </c>
      <c r="W4" s="9">
        <f t="shared" ca="1" si="0"/>
        <v>0</v>
      </c>
      <c r="X4" s="9">
        <f t="shared" ca="1" si="0"/>
        <v>0</v>
      </c>
      <c r="Y4" s="9">
        <f t="shared" ca="1" si="0"/>
        <v>0</v>
      </c>
      <c r="Z4" s="9">
        <f t="shared" ca="1" si="0"/>
        <v>0</v>
      </c>
      <c r="AA4" s="9">
        <f t="shared" ca="1" si="0"/>
        <v>0</v>
      </c>
      <c r="AB4" s="9">
        <f t="shared" ca="1" si="0"/>
        <v>0</v>
      </c>
      <c r="AC4" s="9">
        <f t="shared" ca="1" si="0"/>
        <v>0</v>
      </c>
      <c r="AD4" s="9">
        <f t="shared" ca="1" si="0"/>
        <v>0</v>
      </c>
      <c r="AE4" s="9">
        <f t="shared" ca="1" si="0"/>
        <v>0</v>
      </c>
      <c r="AF4" s="9">
        <f t="shared" ca="1" si="0"/>
        <v>0</v>
      </c>
      <c r="AG4" s="9">
        <f t="shared" ca="1" si="0"/>
        <v>0</v>
      </c>
      <c r="AH4" s="9">
        <f t="shared" ca="1" si="0"/>
        <v>0</v>
      </c>
      <c r="AI4" s="9">
        <f t="shared" ca="1" si="0"/>
        <v>0</v>
      </c>
      <c r="AJ4" s="9">
        <f t="shared" ca="1" si="0"/>
        <v>0</v>
      </c>
      <c r="AK4" s="9">
        <f t="shared" ca="1" si="0"/>
        <v>0</v>
      </c>
      <c r="AL4" s="9">
        <f t="shared" ca="1" si="0"/>
        <v>0</v>
      </c>
      <c r="AM4" s="9">
        <f t="shared" ca="1" si="0"/>
        <v>0</v>
      </c>
      <c r="AN4" s="9">
        <f t="shared" ca="1" si="0"/>
        <v>0</v>
      </c>
      <c r="AO4" s="9">
        <f t="shared" ca="1" si="0"/>
        <v>0</v>
      </c>
      <c r="AP4" s="9">
        <f t="shared" ca="1" si="0"/>
        <v>0</v>
      </c>
      <c r="AQ4" s="9">
        <f t="shared" ca="1" si="0"/>
        <v>0</v>
      </c>
      <c r="AR4" s="9">
        <f t="shared" ca="1" si="0"/>
        <v>0</v>
      </c>
      <c r="AS4" s="9">
        <f t="shared" ca="1" si="0"/>
        <v>0</v>
      </c>
      <c r="AT4" s="9">
        <f t="shared" ca="1" si="0"/>
        <v>0</v>
      </c>
      <c r="AU4" s="9">
        <f t="shared" ca="1" si="0"/>
        <v>0</v>
      </c>
      <c r="AV4" s="9">
        <f t="shared" ca="1" si="0"/>
        <v>0</v>
      </c>
      <c r="AW4" s="9">
        <f t="shared" ca="1" si="0"/>
        <v>0</v>
      </c>
    </row>
    <row r="5" spans="1:49" x14ac:dyDescent="0.15">
      <c r="B5" s="43" t="s">
        <v>39</v>
      </c>
      <c r="C5" s="4" t="s">
        <v>37</v>
      </c>
      <c r="D5" s="115">
        <f ca="1">OFFSET(②詳細状況入力!$A$505,MATCH($D$3,②詳細状況入力!$A$505:$A$534,0)-1,1)</f>
        <v>0</v>
      </c>
      <c r="E5" s="116"/>
      <c r="I5" s="28" t="s">
        <v>240</v>
      </c>
      <c r="J5" s="110" t="s">
        <v>17</v>
      </c>
      <c r="K5" s="114"/>
      <c r="L5" s="78">
        <f ca="1">L4*$D$8</f>
        <v>0</v>
      </c>
      <c r="M5" s="78">
        <f ca="1">M4*$D$8</f>
        <v>0</v>
      </c>
      <c r="O5" s="30">
        <f t="shared" ref="O5:AW5" ca="1" si="1">O4*$D$8</f>
        <v>0</v>
      </c>
      <c r="P5" s="30">
        <f t="shared" ca="1" si="1"/>
        <v>0</v>
      </c>
      <c r="Q5" s="30">
        <f t="shared" ca="1" si="1"/>
        <v>0</v>
      </c>
      <c r="R5" s="30">
        <f t="shared" ca="1" si="1"/>
        <v>0</v>
      </c>
      <c r="S5" s="30">
        <f t="shared" ca="1" si="1"/>
        <v>0</v>
      </c>
      <c r="T5" s="30">
        <f t="shared" ca="1" si="1"/>
        <v>0</v>
      </c>
      <c r="U5" s="30">
        <f t="shared" ca="1" si="1"/>
        <v>0</v>
      </c>
      <c r="V5" s="30">
        <f t="shared" ca="1" si="1"/>
        <v>0</v>
      </c>
      <c r="W5" s="30">
        <f t="shared" ca="1" si="1"/>
        <v>0</v>
      </c>
      <c r="X5" s="30">
        <f t="shared" ca="1" si="1"/>
        <v>0</v>
      </c>
      <c r="Y5" s="30">
        <f t="shared" ca="1" si="1"/>
        <v>0</v>
      </c>
      <c r="Z5" s="30">
        <f t="shared" ca="1" si="1"/>
        <v>0</v>
      </c>
      <c r="AA5" s="30">
        <f t="shared" ca="1" si="1"/>
        <v>0</v>
      </c>
      <c r="AB5" s="30">
        <f t="shared" ca="1" si="1"/>
        <v>0</v>
      </c>
      <c r="AC5" s="30">
        <f t="shared" ca="1" si="1"/>
        <v>0</v>
      </c>
      <c r="AD5" s="30">
        <f t="shared" ca="1" si="1"/>
        <v>0</v>
      </c>
      <c r="AE5" s="30">
        <f t="shared" ca="1" si="1"/>
        <v>0</v>
      </c>
      <c r="AF5" s="30">
        <f t="shared" ca="1" si="1"/>
        <v>0</v>
      </c>
      <c r="AG5" s="30">
        <f t="shared" ca="1" si="1"/>
        <v>0</v>
      </c>
      <c r="AH5" s="30">
        <f t="shared" ca="1" si="1"/>
        <v>0</v>
      </c>
      <c r="AI5" s="30">
        <f t="shared" ca="1" si="1"/>
        <v>0</v>
      </c>
      <c r="AJ5" s="30">
        <f t="shared" ca="1" si="1"/>
        <v>0</v>
      </c>
      <c r="AK5" s="30">
        <f t="shared" ca="1" si="1"/>
        <v>0</v>
      </c>
      <c r="AL5" s="30">
        <f t="shared" ca="1" si="1"/>
        <v>0</v>
      </c>
      <c r="AM5" s="30">
        <f t="shared" ca="1" si="1"/>
        <v>0</v>
      </c>
      <c r="AN5" s="30">
        <f t="shared" ca="1" si="1"/>
        <v>0</v>
      </c>
      <c r="AO5" s="30">
        <f t="shared" ca="1" si="1"/>
        <v>0</v>
      </c>
      <c r="AP5" s="30">
        <f t="shared" ca="1" si="1"/>
        <v>0</v>
      </c>
      <c r="AQ5" s="30">
        <f t="shared" ca="1" si="1"/>
        <v>0</v>
      </c>
      <c r="AR5" s="30">
        <f t="shared" ca="1" si="1"/>
        <v>0</v>
      </c>
      <c r="AS5" s="30">
        <f t="shared" ca="1" si="1"/>
        <v>0</v>
      </c>
      <c r="AT5" s="30">
        <f t="shared" ca="1" si="1"/>
        <v>0</v>
      </c>
      <c r="AU5" s="30">
        <f t="shared" ca="1" si="1"/>
        <v>0</v>
      </c>
      <c r="AV5" s="30">
        <f t="shared" ca="1" si="1"/>
        <v>0</v>
      </c>
      <c r="AW5" s="30">
        <f t="shared" ca="1" si="1"/>
        <v>0</v>
      </c>
    </row>
    <row r="6" spans="1:49" x14ac:dyDescent="0.15">
      <c r="B6" s="195" t="s">
        <v>29</v>
      </c>
      <c r="C6" s="7" t="s">
        <v>44</v>
      </c>
      <c r="D6" s="25" t="s">
        <v>43</v>
      </c>
      <c r="E6" s="38">
        <f ca="1">OFFSET(②詳細状況入力!$A$505,MATCH($D$3,②詳細状況入力!$A$505:$A$534,0)-1,20)</f>
        <v>0</v>
      </c>
    </row>
    <row r="7" spans="1:49" x14ac:dyDescent="0.15">
      <c r="B7" s="195"/>
      <c r="C7" s="49" t="s">
        <v>136</v>
      </c>
      <c r="D7" s="48" t="s">
        <v>137</v>
      </c>
      <c r="E7" s="72">
        <f ca="1">OFFSET(②詳細状況入力!$A$505,MATCH($D$3,②詳細状況入力!$A$505:$A$534,0)-1,31)</f>
        <v>0</v>
      </c>
      <c r="I7" s="209" t="s">
        <v>107</v>
      </c>
      <c r="J7" s="44" t="s">
        <v>28</v>
      </c>
      <c r="K7" s="27" t="s">
        <v>55</v>
      </c>
      <c r="L7" s="27" t="s">
        <v>54</v>
      </c>
      <c r="M7" s="27" t="s">
        <v>54</v>
      </c>
      <c r="O7" s="27" t="s">
        <v>54</v>
      </c>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row>
    <row r="8" spans="1:49" x14ac:dyDescent="0.15">
      <c r="B8" s="195" t="s">
        <v>48</v>
      </c>
      <c r="C8" s="195"/>
      <c r="D8" s="208">
        <f ca="1">OFFSET(②詳細状況入力!$A$505,MATCH($D$3,②詳細状況入力!$A$505:$A$534,0)-1,23)</f>
        <v>0</v>
      </c>
      <c r="E8" s="208"/>
      <c r="I8" s="209"/>
      <c r="J8" s="45">
        <v>1</v>
      </c>
      <c r="K8" s="10">
        <f ca="1">E6</f>
        <v>0</v>
      </c>
      <c r="L8" s="10" t="str">
        <f ca="1">IF($K$12&lt;&gt;"-",IF(L3&gt;0,IF(L3&lt;$K$8,"床下浸水",IF(L3&gt;=$K$8+$K$12,"水没",L3-$K$8)),"浸水なし"),"-")</f>
        <v>浸水なし</v>
      </c>
      <c r="M8" s="10" t="str">
        <f ca="1">IF($K$12&lt;&gt;"-",IF(M3&gt;0,IF(M3&lt;$K$8,"床下浸水",IF(M3&gt;=$K$8+$K$12,"水没",M3-$K$8)),"浸水なし"),"-")</f>
        <v>浸水なし</v>
      </c>
      <c r="O8" s="10" t="str">
        <f t="shared" ref="O8:AW8" ca="1" si="2">IF($K$12&lt;&gt;"-",IF(O3&gt;0,IF(O3&lt;$K$8,"床下浸水",IF(O3&gt;=$K$8+$K$12,"水没",O3-$K$8)),"浸水なし"),"-")</f>
        <v>浸水なし</v>
      </c>
      <c r="P8" s="10" t="str">
        <f t="shared" ca="1" si="2"/>
        <v>水没</v>
      </c>
      <c r="Q8" s="10" t="str">
        <f t="shared" ca="1" si="2"/>
        <v>水没</v>
      </c>
      <c r="R8" s="10" t="str">
        <f t="shared" ca="1" si="2"/>
        <v>水没</v>
      </c>
      <c r="S8" s="10" t="str">
        <f t="shared" ca="1" si="2"/>
        <v>水没</v>
      </c>
      <c r="T8" s="10" t="str">
        <f t="shared" ca="1" si="2"/>
        <v>水没</v>
      </c>
      <c r="U8" s="10" t="str">
        <f t="shared" ca="1" si="2"/>
        <v>水没</v>
      </c>
      <c r="V8" s="10" t="str">
        <f t="shared" ca="1" si="2"/>
        <v>水没</v>
      </c>
      <c r="W8" s="10" t="str">
        <f t="shared" ca="1" si="2"/>
        <v>水没</v>
      </c>
      <c r="X8" s="10" t="str">
        <f t="shared" ca="1" si="2"/>
        <v>水没</v>
      </c>
      <c r="Y8" s="10" t="str">
        <f t="shared" ca="1" si="2"/>
        <v>水没</v>
      </c>
      <c r="Z8" s="10" t="str">
        <f t="shared" ca="1" si="2"/>
        <v>水没</v>
      </c>
      <c r="AA8" s="10" t="str">
        <f t="shared" ca="1" si="2"/>
        <v>水没</v>
      </c>
      <c r="AB8" s="10" t="str">
        <f t="shared" ca="1" si="2"/>
        <v>水没</v>
      </c>
      <c r="AC8" s="10" t="str">
        <f t="shared" ca="1" si="2"/>
        <v>水没</v>
      </c>
      <c r="AD8" s="10" t="str">
        <f t="shared" ca="1" si="2"/>
        <v>水没</v>
      </c>
      <c r="AE8" s="10" t="str">
        <f t="shared" ca="1" si="2"/>
        <v>水没</v>
      </c>
      <c r="AF8" s="10" t="str">
        <f t="shared" ca="1" si="2"/>
        <v>水没</v>
      </c>
      <c r="AG8" s="10" t="str">
        <f t="shared" ca="1" si="2"/>
        <v>水没</v>
      </c>
      <c r="AH8" s="10" t="str">
        <f t="shared" ca="1" si="2"/>
        <v>水没</v>
      </c>
      <c r="AI8" s="10" t="str">
        <f t="shared" ca="1" si="2"/>
        <v>水没</v>
      </c>
      <c r="AJ8" s="10" t="str">
        <f t="shared" ca="1" si="2"/>
        <v>水没</v>
      </c>
      <c r="AK8" s="10" t="str">
        <f t="shared" ca="1" si="2"/>
        <v>水没</v>
      </c>
      <c r="AL8" s="10" t="str">
        <f t="shared" ca="1" si="2"/>
        <v>水没</v>
      </c>
      <c r="AM8" s="10" t="str">
        <f t="shared" ca="1" si="2"/>
        <v>水没</v>
      </c>
      <c r="AN8" s="10" t="str">
        <f t="shared" ca="1" si="2"/>
        <v>水没</v>
      </c>
      <c r="AO8" s="10" t="str">
        <f t="shared" ca="1" si="2"/>
        <v>水没</v>
      </c>
      <c r="AP8" s="10" t="str">
        <f t="shared" ca="1" si="2"/>
        <v>水没</v>
      </c>
      <c r="AQ8" s="10" t="str">
        <f t="shared" ca="1" si="2"/>
        <v>水没</v>
      </c>
      <c r="AR8" s="10" t="str">
        <f t="shared" ca="1" si="2"/>
        <v>水没</v>
      </c>
      <c r="AS8" s="10" t="str">
        <f t="shared" ca="1" si="2"/>
        <v>水没</v>
      </c>
      <c r="AT8" s="10" t="str">
        <f t="shared" ca="1" si="2"/>
        <v>水没</v>
      </c>
      <c r="AU8" s="10" t="str">
        <f t="shared" ca="1" si="2"/>
        <v>水没</v>
      </c>
      <c r="AV8" s="10" t="str">
        <f t="shared" ca="1" si="2"/>
        <v>水没</v>
      </c>
      <c r="AW8" s="10" t="str">
        <f t="shared" ca="1" si="2"/>
        <v>水没</v>
      </c>
    </row>
    <row r="9" spans="1:49" x14ac:dyDescent="0.15">
      <c r="I9" s="209"/>
      <c r="J9" s="46" t="s">
        <v>4</v>
      </c>
      <c r="K9" s="10">
        <v>0</v>
      </c>
      <c r="L9" s="10" t="str">
        <f ca="1">IF($K$13&lt;&gt;"地下",IF($K$9&gt;=L3,"浸水なし",IF(L3&gt;=$K$9+$K$13,"水没",L3-$K$9)),IF(L3&gt;0,"水没","-"))</f>
        <v>浸水なし</v>
      </c>
      <c r="M9" s="10" t="str">
        <f ca="1">IF($K$13&lt;&gt;"地下",IF($K$9&gt;=M3,"浸水なし",IF(M3&gt;=$K$9+$K$13,"水没",M3-$K$9)),IF(M3&gt;0,"水没","-"))</f>
        <v>浸水なし</v>
      </c>
      <c r="O9" s="10" t="str">
        <f t="shared" ref="O9:AW9" ca="1" si="3">IF($K$13&lt;&gt;"地下",IF($K$9&gt;=O3,"浸水なし",IF(O3&gt;=$K$9+$K$13,"水没",O3-$K$9)),IF(O3&gt;0,"水没","-"))</f>
        <v>浸水なし</v>
      </c>
      <c r="P9" s="10" t="str">
        <f t="shared" ca="1" si="3"/>
        <v>水没</v>
      </c>
      <c r="Q9" s="10" t="str">
        <f t="shared" ca="1" si="3"/>
        <v>水没</v>
      </c>
      <c r="R9" s="10" t="str">
        <f t="shared" ca="1" si="3"/>
        <v>水没</v>
      </c>
      <c r="S9" s="10" t="str">
        <f t="shared" ca="1" si="3"/>
        <v>水没</v>
      </c>
      <c r="T9" s="10" t="str">
        <f t="shared" ca="1" si="3"/>
        <v>水没</v>
      </c>
      <c r="U9" s="10" t="str">
        <f t="shared" ca="1" si="3"/>
        <v>水没</v>
      </c>
      <c r="V9" s="10" t="str">
        <f t="shared" ca="1" si="3"/>
        <v>水没</v>
      </c>
      <c r="W9" s="10" t="str">
        <f t="shared" ca="1" si="3"/>
        <v>水没</v>
      </c>
      <c r="X9" s="10" t="str">
        <f t="shared" ca="1" si="3"/>
        <v>水没</v>
      </c>
      <c r="Y9" s="10" t="str">
        <f t="shared" ca="1" si="3"/>
        <v>水没</v>
      </c>
      <c r="Z9" s="10" t="str">
        <f t="shared" ca="1" si="3"/>
        <v>水没</v>
      </c>
      <c r="AA9" s="10" t="str">
        <f t="shared" ca="1" si="3"/>
        <v>水没</v>
      </c>
      <c r="AB9" s="10" t="str">
        <f t="shared" ca="1" si="3"/>
        <v>水没</v>
      </c>
      <c r="AC9" s="10" t="str">
        <f t="shared" ca="1" si="3"/>
        <v>水没</v>
      </c>
      <c r="AD9" s="10" t="str">
        <f t="shared" ca="1" si="3"/>
        <v>水没</v>
      </c>
      <c r="AE9" s="10" t="str">
        <f t="shared" ca="1" si="3"/>
        <v>水没</v>
      </c>
      <c r="AF9" s="10" t="str">
        <f t="shared" ca="1" si="3"/>
        <v>水没</v>
      </c>
      <c r="AG9" s="10" t="str">
        <f t="shared" ca="1" si="3"/>
        <v>水没</v>
      </c>
      <c r="AH9" s="10" t="str">
        <f t="shared" ca="1" si="3"/>
        <v>水没</v>
      </c>
      <c r="AI9" s="10" t="str">
        <f t="shared" ca="1" si="3"/>
        <v>水没</v>
      </c>
      <c r="AJ9" s="10" t="str">
        <f t="shared" ca="1" si="3"/>
        <v>水没</v>
      </c>
      <c r="AK9" s="10" t="str">
        <f t="shared" ca="1" si="3"/>
        <v>水没</v>
      </c>
      <c r="AL9" s="10" t="str">
        <f t="shared" ca="1" si="3"/>
        <v>水没</v>
      </c>
      <c r="AM9" s="10" t="str">
        <f t="shared" ca="1" si="3"/>
        <v>水没</v>
      </c>
      <c r="AN9" s="10" t="str">
        <f t="shared" ca="1" si="3"/>
        <v>水没</v>
      </c>
      <c r="AO9" s="10" t="str">
        <f t="shared" ca="1" si="3"/>
        <v>水没</v>
      </c>
      <c r="AP9" s="10" t="str">
        <f t="shared" ca="1" si="3"/>
        <v>水没</v>
      </c>
      <c r="AQ9" s="10" t="str">
        <f t="shared" ca="1" si="3"/>
        <v>水没</v>
      </c>
      <c r="AR9" s="10" t="str">
        <f t="shared" ca="1" si="3"/>
        <v>水没</v>
      </c>
      <c r="AS9" s="10" t="str">
        <f t="shared" ca="1" si="3"/>
        <v>水没</v>
      </c>
      <c r="AT9" s="10" t="str">
        <f t="shared" ca="1" si="3"/>
        <v>水没</v>
      </c>
      <c r="AU9" s="10" t="str">
        <f t="shared" ca="1" si="3"/>
        <v>水没</v>
      </c>
      <c r="AV9" s="10" t="str">
        <f t="shared" ca="1" si="3"/>
        <v>水没</v>
      </c>
      <c r="AW9" s="10" t="str">
        <f t="shared" ca="1" si="3"/>
        <v>水没</v>
      </c>
    </row>
    <row r="10" spans="1:49" x14ac:dyDescent="0.15">
      <c r="B10" s="195" t="s">
        <v>106</v>
      </c>
      <c r="C10" s="26" t="s">
        <v>97</v>
      </c>
      <c r="D10" s="27" t="s">
        <v>93</v>
      </c>
      <c r="E10" s="26" t="s">
        <v>2</v>
      </c>
      <c r="F10" s="26" t="s">
        <v>3</v>
      </c>
      <c r="I10" s="47"/>
      <c r="J10"/>
      <c r="K10"/>
      <c r="O10"/>
      <c r="P10"/>
      <c r="Q10"/>
      <c r="R10"/>
      <c r="S10"/>
      <c r="T10"/>
      <c r="U10"/>
      <c r="V10"/>
      <c r="W10"/>
      <c r="X10"/>
      <c r="Y10"/>
      <c r="Z10"/>
      <c r="AA10"/>
      <c r="AB10"/>
      <c r="AC10"/>
      <c r="AD10"/>
      <c r="AE10"/>
      <c r="AF10"/>
      <c r="AG10"/>
      <c r="AH10"/>
      <c r="AI10"/>
      <c r="AJ10"/>
      <c r="AK10"/>
      <c r="AL10"/>
      <c r="AM10"/>
      <c r="AN10"/>
      <c r="AO10"/>
      <c r="AP10"/>
      <c r="AQ10"/>
      <c r="AR10"/>
      <c r="AS10"/>
      <c r="AT10"/>
      <c r="AU10"/>
      <c r="AV10"/>
      <c r="AW10"/>
    </row>
    <row r="11" spans="1:49" x14ac:dyDescent="0.15">
      <c r="B11" s="195"/>
      <c r="C11" s="4" t="s">
        <v>30</v>
      </c>
      <c r="D11" s="70">
        <f ca="1">OFFSET(②詳細状況入力!$A$505,MATCH($D$3,②詳細状況入力!$A$505:$A$534,0)-1,24)</f>
        <v>0</v>
      </c>
      <c r="E11" s="24">
        <f ca="1">OFFSET(【DB】被害率係数!$A$4,MATCH($D$11,【DB】被害率係数!$A$4:$A$19,0)-1,2)</f>
        <v>0</v>
      </c>
      <c r="F11" s="24">
        <f ca="1">OFFSET(【DB】被害率係数!$A$4,MATCH($D$11,【DB】被害率係数!$A$4:$A$19,0)-1,3)</f>
        <v>0</v>
      </c>
      <c r="I11" s="209" t="s">
        <v>108</v>
      </c>
      <c r="J11" s="44" t="s">
        <v>28</v>
      </c>
      <c r="K11" s="27" t="s">
        <v>57</v>
      </c>
      <c r="L11" s="27" t="s">
        <v>103</v>
      </c>
      <c r="M11" s="27" t="s">
        <v>103</v>
      </c>
      <c r="O11" s="27" t="s">
        <v>103</v>
      </c>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row>
    <row r="12" spans="1:49" x14ac:dyDescent="0.15">
      <c r="I12" s="209"/>
      <c r="J12" s="45">
        <v>1</v>
      </c>
      <c r="K12" s="10">
        <f ca="1">IF(K8&lt;&gt;"-",E7,"-")</f>
        <v>0</v>
      </c>
      <c r="L12" s="11" t="str">
        <f ca="1">IF(OR(L8="浸水なし",L8="-"),"-",IF(L8="床下浸水","床下浸水",IF(L8="水没",1,L8/$K$12)))</f>
        <v>-</v>
      </c>
      <c r="M12" s="11" t="str">
        <f ca="1">IF(OR(M8="浸水なし",M8="-"),"-",IF(M8="床下浸水","床下浸水",IF(M8="水没",1,M8/$K$12)))</f>
        <v>-</v>
      </c>
      <c r="O12" s="11" t="str">
        <f t="shared" ref="O12:AW12" ca="1" si="4">IF(OR(O8="浸水なし",O8="-"),"-",IF(O8="床下浸水","床下浸水",IF(O8="水没",1,O8/$K$12)))</f>
        <v>-</v>
      </c>
      <c r="P12" s="11">
        <f t="shared" ca="1" si="4"/>
        <v>1</v>
      </c>
      <c r="Q12" s="11">
        <f t="shared" ca="1" si="4"/>
        <v>1</v>
      </c>
      <c r="R12" s="11">
        <f t="shared" ca="1" si="4"/>
        <v>1</v>
      </c>
      <c r="S12" s="11">
        <f t="shared" ca="1" si="4"/>
        <v>1</v>
      </c>
      <c r="T12" s="11">
        <f t="shared" ca="1" si="4"/>
        <v>1</v>
      </c>
      <c r="U12" s="11">
        <f t="shared" ca="1" si="4"/>
        <v>1</v>
      </c>
      <c r="V12" s="11">
        <f t="shared" ca="1" si="4"/>
        <v>1</v>
      </c>
      <c r="W12" s="11">
        <f t="shared" ca="1" si="4"/>
        <v>1</v>
      </c>
      <c r="X12" s="11">
        <f t="shared" ca="1" si="4"/>
        <v>1</v>
      </c>
      <c r="Y12" s="11">
        <f t="shared" ca="1" si="4"/>
        <v>1</v>
      </c>
      <c r="Z12" s="11">
        <f t="shared" ca="1" si="4"/>
        <v>1</v>
      </c>
      <c r="AA12" s="11">
        <f t="shared" ca="1" si="4"/>
        <v>1</v>
      </c>
      <c r="AB12" s="11">
        <f t="shared" ca="1" si="4"/>
        <v>1</v>
      </c>
      <c r="AC12" s="11">
        <f t="shared" ca="1" si="4"/>
        <v>1</v>
      </c>
      <c r="AD12" s="11">
        <f t="shared" ca="1" si="4"/>
        <v>1</v>
      </c>
      <c r="AE12" s="11">
        <f t="shared" ca="1" si="4"/>
        <v>1</v>
      </c>
      <c r="AF12" s="11">
        <f t="shared" ca="1" si="4"/>
        <v>1</v>
      </c>
      <c r="AG12" s="11">
        <f t="shared" ca="1" si="4"/>
        <v>1</v>
      </c>
      <c r="AH12" s="11">
        <f t="shared" ca="1" si="4"/>
        <v>1</v>
      </c>
      <c r="AI12" s="11">
        <f t="shared" ca="1" si="4"/>
        <v>1</v>
      </c>
      <c r="AJ12" s="11">
        <f t="shared" ca="1" si="4"/>
        <v>1</v>
      </c>
      <c r="AK12" s="11">
        <f t="shared" ca="1" si="4"/>
        <v>1</v>
      </c>
      <c r="AL12" s="11">
        <f t="shared" ca="1" si="4"/>
        <v>1</v>
      </c>
      <c r="AM12" s="11">
        <f t="shared" ca="1" si="4"/>
        <v>1</v>
      </c>
      <c r="AN12" s="11">
        <f t="shared" ca="1" si="4"/>
        <v>1</v>
      </c>
      <c r="AO12" s="11">
        <f t="shared" ca="1" si="4"/>
        <v>1</v>
      </c>
      <c r="AP12" s="11">
        <f t="shared" ca="1" si="4"/>
        <v>1</v>
      </c>
      <c r="AQ12" s="11">
        <f t="shared" ca="1" si="4"/>
        <v>1</v>
      </c>
      <c r="AR12" s="11">
        <f t="shared" ca="1" si="4"/>
        <v>1</v>
      </c>
      <c r="AS12" s="11">
        <f t="shared" ca="1" si="4"/>
        <v>1</v>
      </c>
      <c r="AT12" s="11">
        <f t="shared" ca="1" si="4"/>
        <v>1</v>
      </c>
      <c r="AU12" s="11">
        <f t="shared" ca="1" si="4"/>
        <v>1</v>
      </c>
      <c r="AV12" s="11">
        <f t="shared" ca="1" si="4"/>
        <v>1</v>
      </c>
      <c r="AW12" s="11">
        <f t="shared" ca="1" si="4"/>
        <v>1</v>
      </c>
    </row>
    <row r="13" spans="1:49" x14ac:dyDescent="0.15">
      <c r="A13"/>
      <c r="B13" s="26" t="s">
        <v>63</v>
      </c>
      <c r="C13" s="26" t="s">
        <v>62</v>
      </c>
      <c r="D13" s="27" t="s">
        <v>61</v>
      </c>
      <c r="E13" s="27" t="s">
        <v>94</v>
      </c>
      <c r="F13" s="27" t="s">
        <v>95</v>
      </c>
      <c r="G13" s="27" t="s">
        <v>96</v>
      </c>
      <c r="I13" s="209"/>
      <c r="J13" s="46" t="s">
        <v>4</v>
      </c>
      <c r="K13" s="10">
        <f ca="1">IF(K9="地下","地下",E6)</f>
        <v>0</v>
      </c>
      <c r="L13" s="11" t="str">
        <f ca="1">IF(OR(L9="浸水なし",L9="-"),"-",IF(L9="水没",1,L9/$K$13))</f>
        <v>-</v>
      </c>
      <c r="M13" s="11" t="str">
        <f ca="1">IF(OR(M9="浸水なし",M9="-"),"-",IF(M9="水没",1,M9/$K$13))</f>
        <v>-</v>
      </c>
      <c r="O13" s="11" t="str">
        <f ca="1">IF(OR(O9="浸水なし",O9="-"),"-",IF(O9="水没",1,O9/$K$13))</f>
        <v>-</v>
      </c>
      <c r="P13" s="11">
        <f ca="1">IF(OR(P9="浸水なし",P9="-"),"-",IF(P9="水没",1,P9/$K$13))</f>
        <v>1</v>
      </c>
      <c r="Q13" s="11">
        <f ca="1">IF(OR(Q9="浸水なし",Q9="-"),"-",IF(Q9="水没",1,Q9/$K$13))</f>
        <v>1</v>
      </c>
      <c r="R13" s="11">
        <f t="shared" ref="R13:AW13" ca="1" si="5">IF(OR(R9="浸水なし",R9="-"),"-",IF(R9="水没",1,R9/$K$13))</f>
        <v>1</v>
      </c>
      <c r="S13" s="11">
        <f t="shared" ca="1" si="5"/>
        <v>1</v>
      </c>
      <c r="T13" s="11">
        <f t="shared" ca="1" si="5"/>
        <v>1</v>
      </c>
      <c r="U13" s="11">
        <f t="shared" ca="1" si="5"/>
        <v>1</v>
      </c>
      <c r="V13" s="11">
        <f t="shared" ca="1" si="5"/>
        <v>1</v>
      </c>
      <c r="W13" s="11">
        <f t="shared" ca="1" si="5"/>
        <v>1</v>
      </c>
      <c r="X13" s="11">
        <f t="shared" ca="1" si="5"/>
        <v>1</v>
      </c>
      <c r="Y13" s="11">
        <f t="shared" ca="1" si="5"/>
        <v>1</v>
      </c>
      <c r="Z13" s="11">
        <f t="shared" ca="1" si="5"/>
        <v>1</v>
      </c>
      <c r="AA13" s="11">
        <f t="shared" ca="1" si="5"/>
        <v>1</v>
      </c>
      <c r="AB13" s="11">
        <f t="shared" ca="1" si="5"/>
        <v>1</v>
      </c>
      <c r="AC13" s="11">
        <f t="shared" ca="1" si="5"/>
        <v>1</v>
      </c>
      <c r="AD13" s="11">
        <f t="shared" ca="1" si="5"/>
        <v>1</v>
      </c>
      <c r="AE13" s="11">
        <f t="shared" ca="1" si="5"/>
        <v>1</v>
      </c>
      <c r="AF13" s="11">
        <f t="shared" ca="1" si="5"/>
        <v>1</v>
      </c>
      <c r="AG13" s="11">
        <f t="shared" ca="1" si="5"/>
        <v>1</v>
      </c>
      <c r="AH13" s="11">
        <f t="shared" ca="1" si="5"/>
        <v>1</v>
      </c>
      <c r="AI13" s="11">
        <f t="shared" ca="1" si="5"/>
        <v>1</v>
      </c>
      <c r="AJ13" s="11">
        <f t="shared" ca="1" si="5"/>
        <v>1</v>
      </c>
      <c r="AK13" s="11">
        <f t="shared" ca="1" si="5"/>
        <v>1</v>
      </c>
      <c r="AL13" s="11">
        <f t="shared" ca="1" si="5"/>
        <v>1</v>
      </c>
      <c r="AM13" s="11">
        <f t="shared" ca="1" si="5"/>
        <v>1</v>
      </c>
      <c r="AN13" s="11">
        <f t="shared" ca="1" si="5"/>
        <v>1</v>
      </c>
      <c r="AO13" s="11">
        <f t="shared" ca="1" si="5"/>
        <v>1</v>
      </c>
      <c r="AP13" s="11">
        <f t="shared" ca="1" si="5"/>
        <v>1</v>
      </c>
      <c r="AQ13" s="11">
        <f t="shared" ca="1" si="5"/>
        <v>1</v>
      </c>
      <c r="AR13" s="11">
        <f t="shared" ca="1" si="5"/>
        <v>1</v>
      </c>
      <c r="AS13" s="11">
        <f t="shared" ca="1" si="5"/>
        <v>1</v>
      </c>
      <c r="AT13" s="11">
        <f t="shared" ca="1" si="5"/>
        <v>1</v>
      </c>
      <c r="AU13" s="11">
        <f t="shared" ca="1" si="5"/>
        <v>1</v>
      </c>
      <c r="AV13" s="11">
        <f t="shared" ca="1" si="5"/>
        <v>1</v>
      </c>
      <c r="AW13" s="11">
        <f t="shared" ca="1" si="5"/>
        <v>1</v>
      </c>
    </row>
    <row r="14" spans="1:49" x14ac:dyDescent="0.15">
      <c r="A14"/>
      <c r="B14" s="196" t="s">
        <v>30</v>
      </c>
      <c r="C14" s="26" t="s">
        <v>5</v>
      </c>
      <c r="D14" s="14">
        <f ca="1">OFFSET(【DB】被害率係数!$A$4,MATCH($D$11,【DB】被害率係数!$A$4:$A$19,0)-1,8)</f>
        <v>1</v>
      </c>
      <c r="E14" s="14">
        <f ca="1">OFFSET(【DB】被害率係数!$A$4,MATCH($D$11,【DB】被害率係数!$A$4:$A$19,0)-1,9)</f>
        <v>0</v>
      </c>
      <c r="F14" s="14">
        <f ca="1">OFFSET(【DB】被害率係数!$A$4,MATCH($D$11,【DB】被害率係数!$A$4:$A$19,0)-1,10)</f>
        <v>0</v>
      </c>
      <c r="G14" s="14">
        <f ca="1">OFFSET(【DB】被害率係数!$A$4,MATCH($D$11,【DB】被害率係数!$A$4:$A$19,0)-1,11)</f>
        <v>0</v>
      </c>
      <c r="I14" s="47"/>
      <c r="J14"/>
      <c r="K14"/>
      <c r="O14"/>
      <c r="P14"/>
      <c r="Q14"/>
      <c r="R14"/>
      <c r="S14"/>
      <c r="T14"/>
      <c r="U14"/>
      <c r="V14"/>
      <c r="W14"/>
      <c r="X14"/>
      <c r="Y14"/>
      <c r="Z14"/>
      <c r="AA14"/>
      <c r="AB14"/>
      <c r="AC14"/>
      <c r="AD14"/>
      <c r="AE14"/>
      <c r="AF14"/>
      <c r="AG14"/>
      <c r="AH14"/>
      <c r="AI14"/>
      <c r="AJ14"/>
      <c r="AK14"/>
      <c r="AL14"/>
      <c r="AM14"/>
      <c r="AN14"/>
      <c r="AO14"/>
      <c r="AP14"/>
      <c r="AQ14"/>
      <c r="AR14"/>
      <c r="AS14"/>
      <c r="AT14"/>
      <c r="AU14"/>
      <c r="AV14"/>
      <c r="AW14"/>
    </row>
    <row r="15" spans="1:49" x14ac:dyDescent="0.15">
      <c r="A15"/>
      <c r="B15" s="196"/>
      <c r="C15" s="26" t="s">
        <v>6</v>
      </c>
      <c r="D15" s="14">
        <f ca="1">OFFSET(【DB】被害率係数!$A$4,MATCH($D$11,【DB】被害率係数!$A$4:$A$19,0)-1,12)</f>
        <v>1</v>
      </c>
      <c r="E15" s="14">
        <f ca="1">OFFSET(【DB】被害率係数!$A$4,MATCH($D$11,【DB】被害率係数!$A$4:$A$19,0)-1,13)</f>
        <v>0</v>
      </c>
      <c r="F15" s="14">
        <f ca="1">OFFSET(【DB】被害率係数!$A$4,MATCH($D$11,【DB】被害率係数!$A$4:$A$19,0)-1,14)</f>
        <v>0</v>
      </c>
      <c r="G15" s="14">
        <f ca="1">OFFSET(【DB】被害率係数!$A$4,MATCH($D$11,【DB】被害率係数!$A$4:$A$19,0)-1,15)</f>
        <v>0</v>
      </c>
      <c r="I15" s="209" t="s">
        <v>138</v>
      </c>
      <c r="J15" s="44" t="s">
        <v>28</v>
      </c>
      <c r="K15" s="27" t="s">
        <v>99</v>
      </c>
      <c r="L15" s="27" t="s">
        <v>60</v>
      </c>
      <c r="M15" s="27" t="s">
        <v>60</v>
      </c>
      <c r="O15" s="27" t="s">
        <v>60</v>
      </c>
      <c r="P15" s="27"/>
      <c r="Q15" s="27"/>
      <c r="R15" s="27"/>
      <c r="S15" s="27"/>
      <c r="T15" s="27"/>
      <c r="U15" s="27"/>
      <c r="V15" s="27"/>
      <c r="W15" s="27"/>
      <c r="X15" s="27"/>
      <c r="Y15" s="27"/>
      <c r="Z15" s="27"/>
      <c r="AA15" s="27"/>
      <c r="AB15" s="27"/>
      <c r="AC15" s="27"/>
      <c r="AD15" s="27"/>
      <c r="AE15" s="27"/>
      <c r="AF15" s="27"/>
      <c r="AG15" s="27"/>
      <c r="AH15" s="27"/>
      <c r="AI15" s="27"/>
      <c r="AJ15" s="27"/>
      <c r="AK15" s="27"/>
      <c r="AL15" s="27"/>
      <c r="AM15" s="27"/>
      <c r="AN15" s="27"/>
      <c r="AO15" s="27"/>
      <c r="AP15" s="27"/>
      <c r="AQ15" s="27"/>
      <c r="AR15" s="27"/>
      <c r="AS15" s="27"/>
      <c r="AT15" s="27"/>
      <c r="AU15" s="27"/>
      <c r="AV15" s="27"/>
      <c r="AW15" s="27"/>
    </row>
    <row r="16" spans="1:49" x14ac:dyDescent="0.15">
      <c r="A16"/>
      <c r="B16" s="196"/>
      <c r="C16" s="26" t="s">
        <v>4</v>
      </c>
      <c r="D16" s="14">
        <f ca="1">OFFSET(【DB】被害率係数!$A$4,MATCH($D$11,【DB】被害率係数!$A$4:$A$19,0)-1,4)</f>
        <v>1</v>
      </c>
      <c r="E16" s="14">
        <f ca="1">OFFSET(【DB】被害率係数!$A$4,MATCH($D$11,【DB】被害率係数!$A$4:$A$19,0)-1,5)</f>
        <v>0</v>
      </c>
      <c r="F16" s="14">
        <f ca="1">OFFSET(【DB】被害率係数!$A$4,MATCH($D$11,【DB】被害率係数!$A$4:$A$19,0)-1,6)</f>
        <v>0</v>
      </c>
      <c r="G16" s="14">
        <f ca="1">OFFSET(【DB】被害率係数!$A$4,MATCH($D$11,【DB】被害率係数!$A$4:$A$19,0)-1,7)</f>
        <v>0</v>
      </c>
      <c r="I16" s="195"/>
      <c r="J16" s="45">
        <v>1</v>
      </c>
      <c r="K16" s="18">
        <f ca="1">D15/(D15+D16)</f>
        <v>0.5</v>
      </c>
      <c r="L16" s="18">
        <f ca="1">IF(L12="-",0,IF(L12="床下浸水",$G$15*L13,$E$15*L12^2+$F$15*L12+$G$15))</f>
        <v>0</v>
      </c>
      <c r="M16" s="18">
        <f ca="1">IF(M12="-",0,IF(M12="床下浸水",$G$15*M13,$E$15*M12^2+$F$15*M12+$G$15))</f>
        <v>0</v>
      </c>
      <c r="O16" s="18">
        <f t="shared" ref="O16:AW16" ca="1" si="6">IF(O12="-",0,IF(O12="床下浸水",$G$15*O13,$E$15*O12^2+$F$15*O12+$G$15))</f>
        <v>0</v>
      </c>
      <c r="P16" s="18">
        <f t="shared" ca="1" si="6"/>
        <v>0</v>
      </c>
      <c r="Q16" s="18">
        <f t="shared" ca="1" si="6"/>
        <v>0</v>
      </c>
      <c r="R16" s="18">
        <f t="shared" ca="1" si="6"/>
        <v>0</v>
      </c>
      <c r="S16" s="18">
        <f t="shared" ca="1" si="6"/>
        <v>0</v>
      </c>
      <c r="T16" s="18">
        <f t="shared" ca="1" si="6"/>
        <v>0</v>
      </c>
      <c r="U16" s="18">
        <f t="shared" ca="1" si="6"/>
        <v>0</v>
      </c>
      <c r="V16" s="18">
        <f t="shared" ca="1" si="6"/>
        <v>0</v>
      </c>
      <c r="W16" s="18">
        <f t="shared" ca="1" si="6"/>
        <v>0</v>
      </c>
      <c r="X16" s="18">
        <f t="shared" ca="1" si="6"/>
        <v>0</v>
      </c>
      <c r="Y16" s="18">
        <f t="shared" ca="1" si="6"/>
        <v>0</v>
      </c>
      <c r="Z16" s="18">
        <f t="shared" ca="1" si="6"/>
        <v>0</v>
      </c>
      <c r="AA16" s="18">
        <f t="shared" ca="1" si="6"/>
        <v>0</v>
      </c>
      <c r="AB16" s="18">
        <f t="shared" ca="1" si="6"/>
        <v>0</v>
      </c>
      <c r="AC16" s="18">
        <f t="shared" ca="1" si="6"/>
        <v>0</v>
      </c>
      <c r="AD16" s="18">
        <f t="shared" ca="1" si="6"/>
        <v>0</v>
      </c>
      <c r="AE16" s="18">
        <f t="shared" ca="1" si="6"/>
        <v>0</v>
      </c>
      <c r="AF16" s="18">
        <f t="shared" ca="1" si="6"/>
        <v>0</v>
      </c>
      <c r="AG16" s="18">
        <f t="shared" ca="1" si="6"/>
        <v>0</v>
      </c>
      <c r="AH16" s="18">
        <f t="shared" ca="1" si="6"/>
        <v>0</v>
      </c>
      <c r="AI16" s="18">
        <f t="shared" ca="1" si="6"/>
        <v>0</v>
      </c>
      <c r="AJ16" s="18">
        <f t="shared" ca="1" si="6"/>
        <v>0</v>
      </c>
      <c r="AK16" s="18">
        <f t="shared" ca="1" si="6"/>
        <v>0</v>
      </c>
      <c r="AL16" s="18">
        <f t="shared" ca="1" si="6"/>
        <v>0</v>
      </c>
      <c r="AM16" s="18">
        <f t="shared" ca="1" si="6"/>
        <v>0</v>
      </c>
      <c r="AN16" s="18">
        <f t="shared" ca="1" si="6"/>
        <v>0</v>
      </c>
      <c r="AO16" s="18">
        <f t="shared" ca="1" si="6"/>
        <v>0</v>
      </c>
      <c r="AP16" s="18">
        <f t="shared" ca="1" si="6"/>
        <v>0</v>
      </c>
      <c r="AQ16" s="18">
        <f t="shared" ca="1" si="6"/>
        <v>0</v>
      </c>
      <c r="AR16" s="18">
        <f t="shared" ca="1" si="6"/>
        <v>0</v>
      </c>
      <c r="AS16" s="18">
        <f t="shared" ca="1" si="6"/>
        <v>0</v>
      </c>
      <c r="AT16" s="18">
        <f t="shared" ca="1" si="6"/>
        <v>0</v>
      </c>
      <c r="AU16" s="18">
        <f t="shared" ca="1" si="6"/>
        <v>0</v>
      </c>
      <c r="AV16" s="18">
        <f t="shared" ca="1" si="6"/>
        <v>0</v>
      </c>
      <c r="AW16" s="18">
        <f t="shared" ca="1" si="6"/>
        <v>0</v>
      </c>
    </row>
    <row r="17" spans="1:49" x14ac:dyDescent="0.15">
      <c r="A17"/>
      <c r="B17"/>
      <c r="C17"/>
      <c r="D17"/>
      <c r="E17"/>
      <c r="F17"/>
      <c r="G17"/>
      <c r="I17" s="195"/>
      <c r="J17" s="46" t="s">
        <v>4</v>
      </c>
      <c r="K17" s="18">
        <f ca="1">D16/(D15+D16)</f>
        <v>0.5</v>
      </c>
      <c r="L17" s="18">
        <f ca="1">IF(L13="-",0,$E$16*L13^2+$F$16*L13+$G$16)</f>
        <v>0</v>
      </c>
      <c r="M17" s="18">
        <f ca="1">IF(M13="-",0,$E$16*M13^2+$F$16*M13+$G$16)</f>
        <v>0</v>
      </c>
      <c r="O17" s="18">
        <f t="shared" ref="O17:AW17" ca="1" si="7">IF(O13="-",0,$E$16*O13^2+$F$16*O13+$G$16)</f>
        <v>0</v>
      </c>
      <c r="P17" s="18">
        <f t="shared" ca="1" si="7"/>
        <v>0</v>
      </c>
      <c r="Q17" s="18">
        <f t="shared" ca="1" si="7"/>
        <v>0</v>
      </c>
      <c r="R17" s="18">
        <f t="shared" ca="1" si="7"/>
        <v>0</v>
      </c>
      <c r="S17" s="18">
        <f t="shared" ca="1" si="7"/>
        <v>0</v>
      </c>
      <c r="T17" s="18">
        <f t="shared" ca="1" si="7"/>
        <v>0</v>
      </c>
      <c r="U17" s="18">
        <f t="shared" ca="1" si="7"/>
        <v>0</v>
      </c>
      <c r="V17" s="18">
        <f t="shared" ca="1" si="7"/>
        <v>0</v>
      </c>
      <c r="W17" s="18">
        <f t="shared" ca="1" si="7"/>
        <v>0</v>
      </c>
      <c r="X17" s="18">
        <f t="shared" ca="1" si="7"/>
        <v>0</v>
      </c>
      <c r="Y17" s="18">
        <f t="shared" ca="1" si="7"/>
        <v>0</v>
      </c>
      <c r="Z17" s="18">
        <f t="shared" ca="1" si="7"/>
        <v>0</v>
      </c>
      <c r="AA17" s="18">
        <f t="shared" ca="1" si="7"/>
        <v>0</v>
      </c>
      <c r="AB17" s="18">
        <f t="shared" ca="1" si="7"/>
        <v>0</v>
      </c>
      <c r="AC17" s="18">
        <f t="shared" ca="1" si="7"/>
        <v>0</v>
      </c>
      <c r="AD17" s="18">
        <f t="shared" ca="1" si="7"/>
        <v>0</v>
      </c>
      <c r="AE17" s="18">
        <f t="shared" ca="1" si="7"/>
        <v>0</v>
      </c>
      <c r="AF17" s="18">
        <f t="shared" ca="1" si="7"/>
        <v>0</v>
      </c>
      <c r="AG17" s="18">
        <f t="shared" ca="1" si="7"/>
        <v>0</v>
      </c>
      <c r="AH17" s="18">
        <f t="shared" ca="1" si="7"/>
        <v>0</v>
      </c>
      <c r="AI17" s="18">
        <f t="shared" ca="1" si="7"/>
        <v>0</v>
      </c>
      <c r="AJ17" s="18">
        <f t="shared" ca="1" si="7"/>
        <v>0</v>
      </c>
      <c r="AK17" s="18">
        <f t="shared" ca="1" si="7"/>
        <v>0</v>
      </c>
      <c r="AL17" s="18">
        <f t="shared" ca="1" si="7"/>
        <v>0</v>
      </c>
      <c r="AM17" s="18">
        <f t="shared" ca="1" si="7"/>
        <v>0</v>
      </c>
      <c r="AN17" s="18">
        <f t="shared" ca="1" si="7"/>
        <v>0</v>
      </c>
      <c r="AO17" s="18">
        <f t="shared" ca="1" si="7"/>
        <v>0</v>
      </c>
      <c r="AP17" s="18">
        <f t="shared" ca="1" si="7"/>
        <v>0</v>
      </c>
      <c r="AQ17" s="18">
        <f t="shared" ca="1" si="7"/>
        <v>0</v>
      </c>
      <c r="AR17" s="18">
        <f t="shared" ca="1" si="7"/>
        <v>0</v>
      </c>
      <c r="AS17" s="18">
        <f t="shared" ca="1" si="7"/>
        <v>0</v>
      </c>
      <c r="AT17" s="18">
        <f t="shared" ca="1" si="7"/>
        <v>0</v>
      </c>
      <c r="AU17" s="18">
        <f t="shared" ca="1" si="7"/>
        <v>0</v>
      </c>
      <c r="AV17" s="18">
        <f t="shared" ca="1" si="7"/>
        <v>0</v>
      </c>
      <c r="AW17" s="18">
        <f t="shared" ca="1" si="7"/>
        <v>0</v>
      </c>
    </row>
    <row r="18" spans="1:49" x14ac:dyDescent="0.15">
      <c r="F18"/>
      <c r="G18"/>
      <c r="K18" s="27" t="s">
        <v>100</v>
      </c>
      <c r="L18" s="11">
        <f ca="1">SUMPRODUCT($K$16:$K$17,L16:L17)</f>
        <v>0</v>
      </c>
      <c r="M18" s="11">
        <f ca="1">SUMPRODUCT($K$16:$K$17,M16:M17)</f>
        <v>0</v>
      </c>
      <c r="O18" s="11">
        <f t="shared" ref="O18:AW18" ca="1" si="8">SUMPRODUCT($K$16:$K$17,O16:O17)</f>
        <v>0</v>
      </c>
      <c r="P18" s="11">
        <f t="shared" ca="1" si="8"/>
        <v>0</v>
      </c>
      <c r="Q18" s="11">
        <f t="shared" ca="1" si="8"/>
        <v>0</v>
      </c>
      <c r="R18" s="11">
        <f t="shared" ca="1" si="8"/>
        <v>0</v>
      </c>
      <c r="S18" s="11">
        <f t="shared" ca="1" si="8"/>
        <v>0</v>
      </c>
      <c r="T18" s="11">
        <f t="shared" ca="1" si="8"/>
        <v>0</v>
      </c>
      <c r="U18" s="11">
        <f t="shared" ca="1" si="8"/>
        <v>0</v>
      </c>
      <c r="V18" s="11">
        <f t="shared" ca="1" si="8"/>
        <v>0</v>
      </c>
      <c r="W18" s="11">
        <f t="shared" ca="1" si="8"/>
        <v>0</v>
      </c>
      <c r="X18" s="11">
        <f t="shared" ca="1" si="8"/>
        <v>0</v>
      </c>
      <c r="Y18" s="11">
        <f t="shared" ca="1" si="8"/>
        <v>0</v>
      </c>
      <c r="Z18" s="11">
        <f t="shared" ca="1" si="8"/>
        <v>0</v>
      </c>
      <c r="AA18" s="11">
        <f t="shared" ca="1" si="8"/>
        <v>0</v>
      </c>
      <c r="AB18" s="11">
        <f t="shared" ca="1" si="8"/>
        <v>0</v>
      </c>
      <c r="AC18" s="11">
        <f t="shared" ca="1" si="8"/>
        <v>0</v>
      </c>
      <c r="AD18" s="11">
        <f t="shared" ca="1" si="8"/>
        <v>0</v>
      </c>
      <c r="AE18" s="11">
        <f t="shared" ca="1" si="8"/>
        <v>0</v>
      </c>
      <c r="AF18" s="11">
        <f t="shared" ca="1" si="8"/>
        <v>0</v>
      </c>
      <c r="AG18" s="11">
        <f t="shared" ca="1" si="8"/>
        <v>0</v>
      </c>
      <c r="AH18" s="11">
        <f t="shared" ca="1" si="8"/>
        <v>0</v>
      </c>
      <c r="AI18" s="11">
        <f t="shared" ca="1" si="8"/>
        <v>0</v>
      </c>
      <c r="AJ18" s="11">
        <f t="shared" ca="1" si="8"/>
        <v>0</v>
      </c>
      <c r="AK18" s="11">
        <f t="shared" ca="1" si="8"/>
        <v>0</v>
      </c>
      <c r="AL18" s="11">
        <f t="shared" ca="1" si="8"/>
        <v>0</v>
      </c>
      <c r="AM18" s="11">
        <f t="shared" ca="1" si="8"/>
        <v>0</v>
      </c>
      <c r="AN18" s="11">
        <f t="shared" ca="1" si="8"/>
        <v>0</v>
      </c>
      <c r="AO18" s="11">
        <f t="shared" ca="1" si="8"/>
        <v>0</v>
      </c>
      <c r="AP18" s="11">
        <f t="shared" ca="1" si="8"/>
        <v>0</v>
      </c>
      <c r="AQ18" s="11">
        <f t="shared" ca="1" si="8"/>
        <v>0</v>
      </c>
      <c r="AR18" s="11">
        <f t="shared" ca="1" si="8"/>
        <v>0</v>
      </c>
      <c r="AS18" s="11">
        <f t="shared" ca="1" si="8"/>
        <v>0</v>
      </c>
      <c r="AT18" s="11">
        <f t="shared" ca="1" si="8"/>
        <v>0</v>
      </c>
      <c r="AU18" s="11">
        <f t="shared" ca="1" si="8"/>
        <v>0</v>
      </c>
      <c r="AV18" s="11">
        <f t="shared" ca="1" si="8"/>
        <v>0</v>
      </c>
      <c r="AW18" s="11">
        <f t="shared" ca="1" si="8"/>
        <v>0</v>
      </c>
    </row>
    <row r="19" spans="1:49" x14ac:dyDescent="0.15">
      <c r="I19"/>
      <c r="J19"/>
      <c r="K19"/>
      <c r="O19"/>
      <c r="P19"/>
      <c r="Q19"/>
      <c r="R19"/>
      <c r="S19"/>
      <c r="T19"/>
      <c r="U19"/>
      <c r="V19"/>
      <c r="W19"/>
      <c r="X19"/>
      <c r="Y19"/>
      <c r="Z19"/>
      <c r="AA19"/>
      <c r="AB19"/>
      <c r="AC19"/>
      <c r="AD19"/>
      <c r="AE19"/>
      <c r="AF19"/>
      <c r="AG19"/>
      <c r="AH19"/>
      <c r="AI19"/>
      <c r="AJ19"/>
      <c r="AK19"/>
      <c r="AL19"/>
      <c r="AM19"/>
      <c r="AN19"/>
      <c r="AO19"/>
      <c r="AP19"/>
      <c r="AQ19"/>
      <c r="AR19"/>
      <c r="AS19"/>
      <c r="AT19"/>
      <c r="AU19"/>
      <c r="AV19"/>
      <c r="AW19"/>
    </row>
    <row r="20" spans="1:49" x14ac:dyDescent="0.15">
      <c r="I20"/>
      <c r="J20"/>
      <c r="K20"/>
      <c r="O20"/>
      <c r="P20"/>
      <c r="Q20"/>
      <c r="R20"/>
      <c r="S20"/>
      <c r="T20"/>
      <c r="U20"/>
      <c r="V20"/>
      <c r="W20"/>
      <c r="X20"/>
      <c r="Y20"/>
      <c r="Z20"/>
      <c r="AA20"/>
      <c r="AB20"/>
      <c r="AC20"/>
      <c r="AD20"/>
      <c r="AE20"/>
      <c r="AF20"/>
      <c r="AG20"/>
      <c r="AH20"/>
      <c r="AI20"/>
      <c r="AJ20"/>
      <c r="AK20"/>
      <c r="AL20"/>
      <c r="AM20"/>
      <c r="AN20"/>
      <c r="AO20"/>
      <c r="AP20"/>
      <c r="AQ20"/>
      <c r="AR20"/>
      <c r="AS20"/>
      <c r="AT20"/>
      <c r="AU20"/>
      <c r="AV20"/>
      <c r="AW20"/>
    </row>
    <row r="21" spans="1:49" x14ac:dyDescent="0.15">
      <c r="I21"/>
      <c r="J21"/>
      <c r="K21"/>
      <c r="O21"/>
      <c r="P21"/>
      <c r="Q21"/>
      <c r="R21"/>
      <c r="S21"/>
      <c r="T21"/>
      <c r="U21"/>
      <c r="V21"/>
      <c r="W21"/>
      <c r="X21"/>
      <c r="Y21"/>
      <c r="Z21"/>
      <c r="AA21"/>
      <c r="AB21"/>
      <c r="AC21"/>
      <c r="AD21"/>
      <c r="AE21"/>
      <c r="AF21"/>
      <c r="AG21"/>
      <c r="AH21"/>
      <c r="AI21"/>
      <c r="AJ21"/>
      <c r="AK21"/>
      <c r="AL21"/>
      <c r="AM21"/>
      <c r="AN21"/>
      <c r="AO21"/>
      <c r="AP21"/>
      <c r="AQ21"/>
      <c r="AR21"/>
      <c r="AS21"/>
      <c r="AT21"/>
      <c r="AU21"/>
      <c r="AV21"/>
      <c r="AW21"/>
    </row>
    <row r="22" spans="1:49" x14ac:dyDescent="0.15">
      <c r="I22"/>
      <c r="J22"/>
      <c r="K22"/>
      <c r="O22"/>
      <c r="P22"/>
      <c r="Q22"/>
      <c r="R22"/>
      <c r="S22"/>
      <c r="T22"/>
      <c r="U22"/>
      <c r="V22"/>
      <c r="W22"/>
      <c r="X22"/>
      <c r="Y22"/>
      <c r="Z22"/>
      <c r="AA22"/>
      <c r="AB22"/>
      <c r="AC22"/>
      <c r="AD22"/>
      <c r="AE22"/>
      <c r="AF22"/>
      <c r="AG22"/>
      <c r="AH22"/>
      <c r="AI22"/>
      <c r="AJ22"/>
      <c r="AK22"/>
      <c r="AL22"/>
      <c r="AM22"/>
      <c r="AN22"/>
      <c r="AO22"/>
      <c r="AP22"/>
      <c r="AQ22"/>
      <c r="AR22"/>
      <c r="AS22"/>
      <c r="AT22"/>
      <c r="AU22"/>
      <c r="AV22"/>
      <c r="AW22"/>
    </row>
    <row r="23" spans="1:49" x14ac:dyDescent="0.15">
      <c r="I23"/>
      <c r="J23"/>
      <c r="K23"/>
      <c r="O23"/>
      <c r="P23"/>
      <c r="Q23"/>
      <c r="R23"/>
      <c r="S23"/>
      <c r="T23"/>
      <c r="U23"/>
      <c r="V23"/>
      <c r="W23"/>
      <c r="X23"/>
      <c r="Y23"/>
      <c r="Z23"/>
      <c r="AA23"/>
      <c r="AB23"/>
      <c r="AC23"/>
      <c r="AD23"/>
      <c r="AE23"/>
      <c r="AF23"/>
      <c r="AG23"/>
      <c r="AH23"/>
      <c r="AI23"/>
      <c r="AJ23"/>
      <c r="AK23"/>
      <c r="AL23"/>
      <c r="AM23"/>
      <c r="AN23"/>
      <c r="AO23"/>
      <c r="AP23"/>
      <c r="AQ23"/>
      <c r="AR23"/>
      <c r="AS23"/>
      <c r="AT23"/>
      <c r="AU23"/>
      <c r="AV23"/>
      <c r="AW23"/>
    </row>
    <row r="24" spans="1:49" x14ac:dyDescent="0.15">
      <c r="I24"/>
      <c r="J24"/>
      <c r="K24"/>
      <c r="O24"/>
      <c r="P24"/>
      <c r="Q24"/>
      <c r="R24"/>
      <c r="S24"/>
      <c r="T24"/>
      <c r="U24"/>
      <c r="V24"/>
      <c r="W24"/>
      <c r="X24"/>
      <c r="Y24"/>
      <c r="Z24"/>
      <c r="AA24"/>
      <c r="AB24"/>
      <c r="AC24"/>
      <c r="AD24"/>
      <c r="AE24"/>
      <c r="AF24"/>
      <c r="AG24"/>
      <c r="AH24"/>
      <c r="AI24"/>
      <c r="AJ24"/>
      <c r="AK24"/>
      <c r="AL24"/>
      <c r="AM24"/>
      <c r="AN24"/>
      <c r="AO24"/>
      <c r="AP24"/>
      <c r="AQ24"/>
      <c r="AR24"/>
      <c r="AS24"/>
      <c r="AT24"/>
      <c r="AU24"/>
      <c r="AV24"/>
      <c r="AW24"/>
    </row>
    <row r="25" spans="1:49" x14ac:dyDescent="0.15">
      <c r="I25"/>
      <c r="J25"/>
      <c r="K25"/>
      <c r="O25"/>
      <c r="P25"/>
      <c r="Q25"/>
      <c r="R25"/>
      <c r="S25"/>
      <c r="T25"/>
      <c r="U25"/>
      <c r="V25"/>
      <c r="W25"/>
      <c r="X25"/>
      <c r="Y25"/>
      <c r="Z25"/>
      <c r="AA25"/>
      <c r="AB25"/>
      <c r="AC25"/>
      <c r="AD25"/>
      <c r="AE25"/>
      <c r="AF25"/>
      <c r="AG25"/>
      <c r="AH25"/>
      <c r="AI25"/>
      <c r="AJ25"/>
      <c r="AK25"/>
      <c r="AL25"/>
      <c r="AM25"/>
      <c r="AN25"/>
      <c r="AO25"/>
      <c r="AP25"/>
      <c r="AQ25"/>
      <c r="AR25"/>
      <c r="AS25"/>
      <c r="AT25"/>
      <c r="AU25"/>
      <c r="AV25"/>
      <c r="AW25"/>
    </row>
    <row r="26" spans="1:49" x14ac:dyDescent="0.15">
      <c r="I26"/>
      <c r="J26"/>
      <c r="K26"/>
      <c r="O26"/>
      <c r="P26"/>
      <c r="Q26"/>
      <c r="R26"/>
      <c r="S26"/>
      <c r="T26"/>
      <c r="U26"/>
      <c r="V26"/>
      <c r="W26"/>
      <c r="X26"/>
      <c r="Y26"/>
      <c r="Z26"/>
      <c r="AA26"/>
      <c r="AB26"/>
      <c r="AC26"/>
      <c r="AD26"/>
      <c r="AE26"/>
      <c r="AF26"/>
      <c r="AG26"/>
      <c r="AH26"/>
      <c r="AI26"/>
      <c r="AJ26"/>
      <c r="AK26"/>
      <c r="AL26"/>
      <c r="AM26"/>
      <c r="AN26"/>
      <c r="AO26"/>
      <c r="AP26"/>
      <c r="AQ26"/>
      <c r="AR26"/>
      <c r="AS26"/>
      <c r="AT26"/>
      <c r="AU26"/>
      <c r="AV26"/>
      <c r="AW26"/>
    </row>
    <row r="27" spans="1:49" x14ac:dyDescent="0.15">
      <c r="I27"/>
      <c r="J27"/>
      <c r="K27"/>
      <c r="O27"/>
      <c r="P27"/>
      <c r="Q27"/>
      <c r="R27"/>
      <c r="S27"/>
      <c r="T27"/>
      <c r="U27"/>
      <c r="V27"/>
      <c r="W27"/>
      <c r="X27"/>
      <c r="Y27"/>
      <c r="Z27"/>
      <c r="AA27"/>
      <c r="AB27"/>
      <c r="AC27"/>
      <c r="AD27"/>
      <c r="AE27"/>
      <c r="AF27"/>
      <c r="AG27"/>
      <c r="AH27"/>
      <c r="AI27"/>
      <c r="AJ27"/>
      <c r="AK27"/>
      <c r="AL27"/>
      <c r="AM27"/>
      <c r="AN27"/>
      <c r="AO27"/>
      <c r="AP27"/>
      <c r="AQ27"/>
      <c r="AR27"/>
      <c r="AS27"/>
      <c r="AT27"/>
      <c r="AU27"/>
      <c r="AV27"/>
      <c r="AW27"/>
    </row>
    <row r="28" spans="1:49" x14ac:dyDescent="0.15">
      <c r="I28"/>
      <c r="J28"/>
      <c r="K28"/>
      <c r="O28"/>
      <c r="P28"/>
      <c r="Q28"/>
      <c r="R28"/>
      <c r="S28"/>
      <c r="T28"/>
      <c r="U28"/>
      <c r="V28"/>
      <c r="W28"/>
      <c r="X28"/>
      <c r="Y28"/>
      <c r="Z28"/>
      <c r="AA28"/>
      <c r="AB28"/>
      <c r="AC28"/>
      <c r="AD28"/>
      <c r="AE28"/>
      <c r="AF28"/>
      <c r="AG28"/>
      <c r="AH28"/>
      <c r="AI28"/>
      <c r="AJ28"/>
      <c r="AK28"/>
      <c r="AL28"/>
      <c r="AM28"/>
      <c r="AN28"/>
      <c r="AO28"/>
      <c r="AP28"/>
      <c r="AQ28"/>
      <c r="AR28"/>
      <c r="AS28"/>
      <c r="AT28"/>
      <c r="AU28"/>
      <c r="AV28"/>
      <c r="AW28"/>
    </row>
    <row r="29" spans="1:49" x14ac:dyDescent="0.15">
      <c r="I29"/>
      <c r="J29"/>
      <c r="K29"/>
      <c r="O29"/>
      <c r="P29"/>
      <c r="Q29"/>
      <c r="R29"/>
      <c r="S29"/>
      <c r="T29"/>
      <c r="U29"/>
      <c r="V29"/>
      <c r="W29"/>
      <c r="X29"/>
      <c r="Y29"/>
      <c r="Z29"/>
      <c r="AA29"/>
      <c r="AB29"/>
      <c r="AC29"/>
      <c r="AD29"/>
      <c r="AE29"/>
      <c r="AF29"/>
      <c r="AG29"/>
      <c r="AH29"/>
      <c r="AI29"/>
      <c r="AJ29"/>
      <c r="AK29"/>
      <c r="AL29"/>
      <c r="AM29"/>
      <c r="AN29"/>
      <c r="AO29"/>
      <c r="AP29"/>
      <c r="AQ29"/>
      <c r="AR29"/>
      <c r="AS29"/>
      <c r="AT29"/>
      <c r="AU29"/>
      <c r="AV29"/>
      <c r="AW29"/>
    </row>
    <row r="30" spans="1:49" x14ac:dyDescent="0.15">
      <c r="J30"/>
      <c r="K30"/>
      <c r="O30"/>
      <c r="P30"/>
      <c r="Q30"/>
      <c r="R30"/>
      <c r="S30"/>
      <c r="T30"/>
      <c r="U30"/>
      <c r="V30"/>
      <c r="W30"/>
      <c r="X30"/>
      <c r="Y30"/>
      <c r="Z30"/>
      <c r="AA30"/>
      <c r="AB30"/>
      <c r="AC30"/>
      <c r="AD30"/>
      <c r="AE30"/>
      <c r="AF30"/>
      <c r="AG30"/>
      <c r="AH30"/>
      <c r="AI30"/>
      <c r="AJ30"/>
      <c r="AK30"/>
      <c r="AL30"/>
      <c r="AM30"/>
      <c r="AN30"/>
      <c r="AO30"/>
      <c r="AP30"/>
      <c r="AQ30"/>
      <c r="AR30"/>
      <c r="AS30"/>
      <c r="AT30"/>
      <c r="AU30"/>
      <c r="AV30"/>
      <c r="AW30"/>
    </row>
    <row r="31" spans="1:49" x14ac:dyDescent="0.15">
      <c r="I31"/>
      <c r="J31"/>
      <c r="K31"/>
      <c r="O31"/>
      <c r="P31"/>
      <c r="Q31"/>
      <c r="R31"/>
      <c r="S31"/>
      <c r="T31"/>
      <c r="U31"/>
      <c r="V31"/>
      <c r="W31"/>
      <c r="X31"/>
      <c r="Y31"/>
      <c r="Z31"/>
      <c r="AA31"/>
      <c r="AB31"/>
      <c r="AC31"/>
      <c r="AD31"/>
      <c r="AE31"/>
      <c r="AF31"/>
      <c r="AG31"/>
      <c r="AH31"/>
      <c r="AI31"/>
      <c r="AJ31"/>
      <c r="AK31"/>
      <c r="AL31"/>
      <c r="AM31"/>
      <c r="AN31"/>
      <c r="AO31"/>
      <c r="AP31"/>
      <c r="AQ31"/>
      <c r="AR31"/>
      <c r="AS31"/>
      <c r="AT31"/>
      <c r="AU31"/>
      <c r="AV31"/>
      <c r="AW31"/>
    </row>
    <row r="32" spans="1:49" x14ac:dyDescent="0.15">
      <c r="I32"/>
    </row>
    <row r="33" spans="1:49" x14ac:dyDescent="0.15">
      <c r="A33"/>
      <c r="I33"/>
    </row>
    <row r="34" spans="1:49" x14ac:dyDescent="0.15">
      <c r="I34"/>
    </row>
    <row r="35" spans="1:49" x14ac:dyDescent="0.15">
      <c r="I35"/>
    </row>
    <row r="36" spans="1:49" customFormat="1" x14ac:dyDescent="0.15">
      <c r="A36" s="5"/>
      <c r="B36" s="5"/>
      <c r="C36" s="5"/>
      <c r="D36" s="5"/>
      <c r="E36" s="5"/>
      <c r="F36" s="5"/>
      <c r="G36" s="5"/>
      <c r="J36" s="5"/>
      <c r="K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row>
    <row r="37" spans="1:49" x14ac:dyDescent="0.15">
      <c r="I37"/>
    </row>
    <row r="38" spans="1:49" x14ac:dyDescent="0.15">
      <c r="I38"/>
    </row>
    <row r="39" spans="1:49" x14ac:dyDescent="0.15">
      <c r="I39"/>
    </row>
    <row r="40" spans="1:49" x14ac:dyDescent="0.15">
      <c r="I40"/>
    </row>
    <row r="41" spans="1:49" x14ac:dyDescent="0.15">
      <c r="I41"/>
    </row>
    <row r="42" spans="1:49" x14ac:dyDescent="0.15">
      <c r="B42"/>
      <c r="C42"/>
      <c r="D42"/>
      <c r="E42"/>
      <c r="I42"/>
    </row>
    <row r="43" spans="1:49" x14ac:dyDescent="0.15">
      <c r="E43"/>
      <c r="I43"/>
      <c r="J43"/>
      <c r="R43"/>
      <c r="S43"/>
      <c r="T43"/>
      <c r="U43"/>
      <c r="V43"/>
      <c r="W43"/>
      <c r="X43"/>
      <c r="Y43"/>
      <c r="Z43"/>
      <c r="AA43"/>
      <c r="AB43"/>
      <c r="AC43"/>
      <c r="AD43"/>
      <c r="AE43"/>
      <c r="AF43"/>
      <c r="AG43"/>
      <c r="AH43"/>
      <c r="AI43"/>
      <c r="AJ43"/>
      <c r="AK43"/>
      <c r="AL43"/>
      <c r="AM43"/>
      <c r="AN43"/>
      <c r="AO43"/>
      <c r="AP43"/>
      <c r="AQ43"/>
      <c r="AR43"/>
      <c r="AS43"/>
      <c r="AT43"/>
      <c r="AU43"/>
      <c r="AV43"/>
      <c r="AW43"/>
    </row>
    <row r="44" spans="1:49" x14ac:dyDescent="0.15">
      <c r="E44"/>
      <c r="F44"/>
      <c r="G44"/>
      <c r="I44"/>
    </row>
    <row r="45" spans="1:49" x14ac:dyDescent="0.15">
      <c r="A45"/>
      <c r="E45"/>
      <c r="F45"/>
      <c r="G45"/>
      <c r="I45"/>
    </row>
    <row r="46" spans="1:49" x14ac:dyDescent="0.15">
      <c r="E46"/>
      <c r="F46"/>
      <c r="G46"/>
      <c r="I46"/>
    </row>
    <row r="47" spans="1:49" x14ac:dyDescent="0.15">
      <c r="E47"/>
      <c r="F47"/>
      <c r="G47"/>
      <c r="I47"/>
    </row>
    <row r="48" spans="1:49" customFormat="1" x14ac:dyDescent="0.15">
      <c r="A48" s="5"/>
      <c r="B48" s="5"/>
      <c r="C48" s="5"/>
      <c r="D48" s="5"/>
      <c r="J48" s="5"/>
      <c r="K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row>
    <row r="49" spans="1:49" x14ac:dyDescent="0.15">
      <c r="E49"/>
      <c r="F49"/>
      <c r="G49"/>
      <c r="I49"/>
    </row>
    <row r="50" spans="1:49" x14ac:dyDescent="0.15">
      <c r="E50"/>
      <c r="F50"/>
      <c r="G50"/>
      <c r="I50"/>
    </row>
    <row r="51" spans="1:49" x14ac:dyDescent="0.15">
      <c r="E51"/>
      <c r="F51"/>
      <c r="G51"/>
      <c r="I51"/>
    </row>
    <row r="52" spans="1:49" x14ac:dyDescent="0.15">
      <c r="E52"/>
      <c r="F52"/>
      <c r="G52"/>
      <c r="I52"/>
    </row>
    <row r="53" spans="1:49" x14ac:dyDescent="0.15">
      <c r="E53"/>
      <c r="F53"/>
      <c r="G53"/>
      <c r="I53"/>
    </row>
    <row r="54" spans="1:49" x14ac:dyDescent="0.15">
      <c r="F54"/>
      <c r="G54"/>
      <c r="I54"/>
    </row>
    <row r="55" spans="1:49" x14ac:dyDescent="0.15">
      <c r="B55"/>
      <c r="C55"/>
      <c r="D55"/>
      <c r="E55"/>
      <c r="F55"/>
      <c r="G55"/>
    </row>
    <row r="57" spans="1:49" x14ac:dyDescent="0.15">
      <c r="F57"/>
      <c r="G57"/>
    </row>
    <row r="58" spans="1:49" x14ac:dyDescent="0.15">
      <c r="A58"/>
    </row>
    <row r="61" spans="1:49" customFormat="1" x14ac:dyDescent="0.15">
      <c r="A61" s="5"/>
      <c r="B61" s="5"/>
      <c r="C61" s="5"/>
      <c r="D61" s="5"/>
      <c r="E61" s="5"/>
      <c r="F61" s="5"/>
      <c r="G61" s="5"/>
      <c r="I61" s="5"/>
      <c r="J61" s="5"/>
      <c r="K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row>
    <row r="66" spans="1:49" x14ac:dyDescent="0.15">
      <c r="I66"/>
    </row>
    <row r="67" spans="1:49" x14ac:dyDescent="0.15">
      <c r="B67"/>
      <c r="C67"/>
      <c r="D67"/>
      <c r="E67"/>
    </row>
    <row r="69" spans="1:49" x14ac:dyDescent="0.15">
      <c r="F69"/>
      <c r="G69"/>
    </row>
    <row r="70" spans="1:49" x14ac:dyDescent="0.15">
      <c r="A70"/>
    </row>
    <row r="73" spans="1:49" customFormat="1" x14ac:dyDescent="0.15">
      <c r="A73" s="5"/>
      <c r="B73" s="5"/>
      <c r="C73" s="5"/>
      <c r="D73" s="5"/>
      <c r="E73" s="5"/>
      <c r="F73" s="5"/>
      <c r="G73" s="5"/>
      <c r="I73" s="5"/>
      <c r="J73" s="5"/>
      <c r="K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row>
  </sheetData>
  <mergeCells count="9">
    <mergeCell ref="B3:C3"/>
    <mergeCell ref="I7:I9"/>
    <mergeCell ref="I11:I13"/>
    <mergeCell ref="I15:I17"/>
    <mergeCell ref="B6:B7"/>
    <mergeCell ref="B10:B11"/>
    <mergeCell ref="B8:C8"/>
    <mergeCell ref="B14:B16"/>
    <mergeCell ref="D8:E8"/>
  </mergeCells>
  <phoneticPr fontId="2"/>
  <pageMargins left="0.75" right="0.75" top="1" bottom="1" header="0.51200000000000001" footer="0.51200000000000001"/>
  <pageSetup paperSize="9" orientation="portrait" verticalDpi="0"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①簡易状況入力!$C$109:$C$118</xm:f>
          </x14:formula1>
          <xm:sqref>D3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R63"/>
  <sheetViews>
    <sheetView zoomScaleNormal="100" workbookViewId="0"/>
  </sheetViews>
  <sheetFormatPr defaultRowHeight="13.5" x14ac:dyDescent="0.15"/>
  <cols>
    <col min="2" max="2" width="13.375" bestFit="1" customWidth="1"/>
    <col min="4" max="4" width="13.125" bestFit="1" customWidth="1"/>
    <col min="17" max="17" width="10.375" customWidth="1"/>
    <col min="18" max="18" width="11" bestFit="1" customWidth="1"/>
  </cols>
  <sheetData>
    <row r="1" spans="1:18" x14ac:dyDescent="0.15">
      <c r="A1" t="s">
        <v>111</v>
      </c>
    </row>
    <row r="2" spans="1:18" x14ac:dyDescent="0.15">
      <c r="A2" s="210" t="s">
        <v>0</v>
      </c>
      <c r="B2" s="210" t="s">
        <v>1</v>
      </c>
      <c r="C2" s="210" t="s">
        <v>2</v>
      </c>
      <c r="D2" s="210" t="s">
        <v>3</v>
      </c>
      <c r="E2" s="210" t="s">
        <v>4</v>
      </c>
      <c r="F2" s="210"/>
      <c r="G2" s="210"/>
      <c r="H2" s="210"/>
      <c r="I2" s="210" t="s">
        <v>5</v>
      </c>
      <c r="J2" s="210"/>
      <c r="K2" s="210"/>
      <c r="L2" s="210"/>
      <c r="M2" s="210" t="s">
        <v>6</v>
      </c>
      <c r="N2" s="210"/>
      <c r="O2" s="210"/>
      <c r="P2" s="210"/>
      <c r="Q2" s="210" t="s">
        <v>132</v>
      </c>
      <c r="R2" s="210"/>
    </row>
    <row r="3" spans="1:18" x14ac:dyDescent="0.15">
      <c r="A3" s="210"/>
      <c r="B3" s="210"/>
      <c r="C3" s="210"/>
      <c r="D3" s="210"/>
      <c r="E3" s="2" t="s">
        <v>7</v>
      </c>
      <c r="F3" s="2" t="s">
        <v>8</v>
      </c>
      <c r="G3" s="2" t="s">
        <v>9</v>
      </c>
      <c r="H3" s="2" t="s">
        <v>10</v>
      </c>
      <c r="I3" s="2" t="s">
        <v>7</v>
      </c>
      <c r="J3" s="2" t="s">
        <v>8</v>
      </c>
      <c r="K3" s="2" t="s">
        <v>9</v>
      </c>
      <c r="L3" s="2" t="s">
        <v>10</v>
      </c>
      <c r="M3" s="2" t="s">
        <v>7</v>
      </c>
      <c r="N3" s="2" t="s">
        <v>8</v>
      </c>
      <c r="O3" s="2" t="s">
        <v>9</v>
      </c>
      <c r="P3" s="2" t="s">
        <v>10</v>
      </c>
      <c r="Q3" s="2" t="s">
        <v>133</v>
      </c>
      <c r="R3" s="42" t="s">
        <v>134</v>
      </c>
    </row>
    <row r="4" spans="1:18" x14ac:dyDescent="0.15">
      <c r="A4" s="22">
        <v>0</v>
      </c>
      <c r="B4" s="22">
        <v>0</v>
      </c>
      <c r="C4" s="22">
        <v>0</v>
      </c>
      <c r="D4" s="22">
        <v>0</v>
      </c>
      <c r="E4" s="2">
        <v>1</v>
      </c>
      <c r="F4" s="2">
        <v>0</v>
      </c>
      <c r="G4" s="2">
        <v>0</v>
      </c>
      <c r="H4" s="2">
        <v>0</v>
      </c>
      <c r="I4" s="2">
        <v>1</v>
      </c>
      <c r="J4" s="2">
        <v>0</v>
      </c>
      <c r="K4" s="2">
        <v>0</v>
      </c>
      <c r="L4" s="2">
        <v>0</v>
      </c>
      <c r="M4" s="2">
        <v>1</v>
      </c>
      <c r="N4" s="2">
        <v>0</v>
      </c>
      <c r="O4" s="2">
        <v>0</v>
      </c>
      <c r="P4" s="2">
        <v>0</v>
      </c>
      <c r="Q4" s="2">
        <v>0</v>
      </c>
      <c r="R4" s="2">
        <v>0</v>
      </c>
    </row>
    <row r="5" spans="1:18" x14ac:dyDescent="0.15">
      <c r="A5" s="3" t="s">
        <v>64</v>
      </c>
      <c r="B5" s="3" t="s">
        <v>30</v>
      </c>
      <c r="C5" s="3" t="s">
        <v>31</v>
      </c>
      <c r="D5" s="3" t="s">
        <v>12</v>
      </c>
      <c r="E5" s="3">
        <v>4.5299999999999986E-2</v>
      </c>
      <c r="F5" s="3">
        <v>0</v>
      </c>
      <c r="G5" s="3">
        <v>0.1</v>
      </c>
      <c r="H5" s="3">
        <v>0</v>
      </c>
      <c r="I5" s="3">
        <v>0.13269999999999998</v>
      </c>
      <c r="J5" s="3">
        <v>0</v>
      </c>
      <c r="K5" s="3">
        <v>0.84529012810851534</v>
      </c>
      <c r="L5" s="3">
        <v>0</v>
      </c>
      <c r="M5" s="3">
        <v>0.41099999999999998</v>
      </c>
      <c r="N5" s="3">
        <v>-0.662618301520563</v>
      </c>
      <c r="O5" s="3">
        <v>1.3252359481387932</v>
      </c>
      <c r="P5" s="3">
        <v>0.14744675433614515</v>
      </c>
      <c r="Q5" s="3">
        <v>300</v>
      </c>
      <c r="R5" s="41">
        <v>180</v>
      </c>
    </row>
    <row r="6" spans="1:18" x14ac:dyDescent="0.15">
      <c r="A6" s="3" t="s">
        <v>65</v>
      </c>
      <c r="B6" s="3" t="s">
        <v>30</v>
      </c>
      <c r="C6" s="3" t="s">
        <v>31</v>
      </c>
      <c r="D6" s="3" t="s">
        <v>15</v>
      </c>
      <c r="E6" s="3">
        <v>4.5299999999999986E-2</v>
      </c>
      <c r="F6" s="3">
        <v>0</v>
      </c>
      <c r="G6" s="3">
        <v>0.1</v>
      </c>
      <c r="H6" s="3">
        <v>0</v>
      </c>
      <c r="I6" s="3">
        <v>0.13269999999999998</v>
      </c>
      <c r="J6" s="3">
        <v>0</v>
      </c>
      <c r="K6" s="3">
        <v>0.84529012810851534</v>
      </c>
      <c r="L6" s="3">
        <v>0</v>
      </c>
      <c r="M6" s="3">
        <v>0.41099999999999998</v>
      </c>
      <c r="N6" s="3">
        <v>-0.662618301520563</v>
      </c>
      <c r="O6" s="3">
        <v>1.3252359481387932</v>
      </c>
      <c r="P6" s="3">
        <v>0.14744675433614515</v>
      </c>
      <c r="Q6" s="3">
        <v>300</v>
      </c>
      <c r="R6" s="41">
        <v>180</v>
      </c>
    </row>
    <row r="7" spans="1:18" x14ac:dyDescent="0.15">
      <c r="A7" s="3" t="s">
        <v>66</v>
      </c>
      <c r="B7" s="3" t="s">
        <v>30</v>
      </c>
      <c r="C7" s="3" t="s">
        <v>32</v>
      </c>
      <c r="D7" s="3" t="s">
        <v>12</v>
      </c>
      <c r="E7" s="3">
        <v>7.2999999999999995E-2</v>
      </c>
      <c r="F7" s="3">
        <v>0</v>
      </c>
      <c r="G7" s="3">
        <v>0.05</v>
      </c>
      <c r="H7" s="3">
        <v>0</v>
      </c>
      <c r="I7" s="3">
        <v>1.6666666666666666E-2</v>
      </c>
      <c r="J7" s="3">
        <v>0</v>
      </c>
      <c r="K7" s="3">
        <v>0.1</v>
      </c>
      <c r="L7" s="3">
        <v>0</v>
      </c>
      <c r="M7" s="3">
        <v>0.45516666666666666</v>
      </c>
      <c r="N7" s="3">
        <v>-0.33697051240696446</v>
      </c>
      <c r="O7" s="3">
        <v>0.70301304286722521</v>
      </c>
      <c r="P7" s="3">
        <v>9.0405805749014287E-2</v>
      </c>
      <c r="Q7" s="3">
        <v>350</v>
      </c>
      <c r="R7" s="41">
        <v>50</v>
      </c>
    </row>
    <row r="8" spans="1:18" x14ac:dyDescent="0.15">
      <c r="A8" s="3" t="s">
        <v>67</v>
      </c>
      <c r="B8" s="3" t="s">
        <v>30</v>
      </c>
      <c r="C8" s="3" t="s">
        <v>32</v>
      </c>
      <c r="D8" s="3" t="s">
        <v>15</v>
      </c>
      <c r="E8" s="3">
        <v>9.5444444444444443E-2</v>
      </c>
      <c r="F8" s="3">
        <v>0</v>
      </c>
      <c r="G8" s="3">
        <v>0.05</v>
      </c>
      <c r="H8" s="3">
        <v>0</v>
      </c>
      <c r="I8" s="3">
        <v>5.3777777777777779E-2</v>
      </c>
      <c r="J8" s="3">
        <v>0</v>
      </c>
      <c r="K8" s="3">
        <v>0.1</v>
      </c>
      <c r="L8" s="3">
        <v>0</v>
      </c>
      <c r="M8" s="3">
        <v>0.42538888888888887</v>
      </c>
      <c r="N8" s="3">
        <v>-0.20079196272752495</v>
      </c>
      <c r="O8" s="3">
        <v>0.61471698464285462</v>
      </c>
      <c r="P8" s="3">
        <v>9.2834180522970173E-3</v>
      </c>
      <c r="Q8" s="3">
        <v>400</v>
      </c>
      <c r="R8" s="41">
        <v>50</v>
      </c>
    </row>
    <row r="9" spans="1:18" x14ac:dyDescent="0.15">
      <c r="A9" s="3" t="s">
        <v>71</v>
      </c>
      <c r="B9" s="3"/>
      <c r="C9" s="3"/>
      <c r="D9" s="3"/>
      <c r="E9" s="3"/>
      <c r="F9" s="3"/>
      <c r="G9" s="3"/>
      <c r="H9" s="3"/>
      <c r="I9" s="3"/>
      <c r="J9" s="3"/>
      <c r="K9" s="3"/>
      <c r="L9" s="3"/>
      <c r="M9" s="3"/>
      <c r="N9" s="3"/>
      <c r="O9" s="3"/>
      <c r="P9" s="3"/>
      <c r="Q9" s="40"/>
      <c r="R9" s="40"/>
    </row>
    <row r="10" spans="1:18" x14ac:dyDescent="0.15">
      <c r="A10" s="3" t="s">
        <v>72</v>
      </c>
      <c r="B10" s="3"/>
      <c r="C10" s="3"/>
      <c r="D10" s="3"/>
      <c r="E10" s="3"/>
      <c r="F10" s="3"/>
      <c r="G10" s="3"/>
      <c r="H10" s="3"/>
      <c r="I10" s="3"/>
      <c r="J10" s="3"/>
      <c r="K10" s="3"/>
      <c r="L10" s="3"/>
      <c r="M10" s="3"/>
      <c r="N10" s="3"/>
      <c r="O10" s="3"/>
      <c r="P10" s="3"/>
      <c r="Q10" s="40"/>
      <c r="R10" s="40"/>
    </row>
    <row r="11" spans="1:18" x14ac:dyDescent="0.15">
      <c r="A11" s="3" t="s">
        <v>73</v>
      </c>
      <c r="B11" s="3"/>
      <c r="C11" s="3"/>
      <c r="D11" s="3"/>
      <c r="E11" s="3"/>
      <c r="F11" s="3"/>
      <c r="G11" s="3"/>
      <c r="H11" s="3"/>
      <c r="I11" s="3"/>
      <c r="J11" s="3"/>
      <c r="K11" s="3"/>
      <c r="L11" s="3"/>
      <c r="M11" s="3"/>
      <c r="N11" s="3"/>
      <c r="O11" s="3"/>
      <c r="P11" s="3"/>
      <c r="Q11" s="40"/>
      <c r="R11" s="40"/>
    </row>
    <row r="12" spans="1:18" x14ac:dyDescent="0.15">
      <c r="A12" s="3" t="s">
        <v>74</v>
      </c>
      <c r="B12" s="3"/>
      <c r="C12" s="3"/>
      <c r="D12" s="3"/>
      <c r="E12" s="3"/>
      <c r="F12" s="3"/>
      <c r="G12" s="3"/>
      <c r="H12" s="3"/>
      <c r="I12" s="3"/>
      <c r="J12" s="3"/>
      <c r="K12" s="3"/>
      <c r="L12" s="3"/>
      <c r="M12" s="3"/>
      <c r="N12" s="3"/>
      <c r="O12" s="3"/>
      <c r="P12" s="3"/>
      <c r="Q12" s="40"/>
      <c r="R12" s="40"/>
    </row>
    <row r="13" spans="1:18" x14ac:dyDescent="0.15">
      <c r="A13" s="3" t="s">
        <v>75</v>
      </c>
      <c r="B13" s="3"/>
      <c r="C13" s="3"/>
      <c r="D13" s="3"/>
      <c r="E13" s="3"/>
      <c r="F13" s="3"/>
      <c r="G13" s="3"/>
      <c r="H13" s="3"/>
      <c r="I13" s="3"/>
      <c r="J13" s="3"/>
      <c r="K13" s="3"/>
      <c r="L13" s="3"/>
      <c r="M13" s="3"/>
      <c r="N13" s="3"/>
      <c r="O13" s="3"/>
      <c r="P13" s="3"/>
      <c r="Q13" s="40"/>
      <c r="R13" s="40"/>
    </row>
    <row r="14" spans="1:18" x14ac:dyDescent="0.15">
      <c r="A14" s="3" t="s">
        <v>76</v>
      </c>
      <c r="B14" s="3"/>
      <c r="C14" s="3"/>
      <c r="D14" s="3"/>
      <c r="E14" s="3"/>
      <c r="F14" s="3"/>
      <c r="G14" s="3"/>
      <c r="H14" s="3"/>
      <c r="I14" s="3"/>
      <c r="J14" s="3"/>
      <c r="K14" s="3"/>
      <c r="L14" s="3"/>
      <c r="M14" s="3"/>
      <c r="N14" s="3"/>
      <c r="O14" s="3"/>
      <c r="P14" s="3"/>
      <c r="Q14" s="40"/>
      <c r="R14" s="40"/>
    </row>
    <row r="15" spans="1:18" x14ac:dyDescent="0.15">
      <c r="A15" s="3" t="s">
        <v>77</v>
      </c>
      <c r="B15" s="3"/>
      <c r="C15" s="3"/>
      <c r="D15" s="3"/>
      <c r="E15" s="3"/>
      <c r="F15" s="3"/>
      <c r="G15" s="3"/>
      <c r="H15" s="3"/>
      <c r="I15" s="3"/>
      <c r="J15" s="3"/>
      <c r="K15" s="3"/>
      <c r="L15" s="3"/>
      <c r="M15" s="3"/>
      <c r="N15" s="3"/>
      <c r="O15" s="3"/>
      <c r="P15" s="3"/>
      <c r="Q15" s="40"/>
      <c r="R15" s="40"/>
    </row>
    <row r="16" spans="1:18" x14ac:dyDescent="0.15">
      <c r="A16" s="3" t="s">
        <v>78</v>
      </c>
      <c r="B16" s="3"/>
      <c r="C16" s="3"/>
      <c r="D16" s="3"/>
      <c r="E16" s="3"/>
      <c r="F16" s="3"/>
      <c r="G16" s="3"/>
      <c r="H16" s="3"/>
      <c r="I16" s="3"/>
      <c r="J16" s="3"/>
      <c r="K16" s="3"/>
      <c r="L16" s="3"/>
      <c r="M16" s="3"/>
      <c r="N16" s="3"/>
      <c r="O16" s="3"/>
      <c r="P16" s="3"/>
      <c r="Q16" s="40"/>
      <c r="R16" s="40"/>
    </row>
    <row r="17" spans="1:18" x14ac:dyDescent="0.15">
      <c r="A17" s="3" t="s">
        <v>79</v>
      </c>
      <c r="B17" s="3"/>
      <c r="C17" s="3"/>
      <c r="D17" s="3"/>
      <c r="E17" s="3"/>
      <c r="F17" s="3"/>
      <c r="G17" s="3"/>
      <c r="H17" s="3"/>
      <c r="I17" s="3"/>
      <c r="J17" s="3"/>
      <c r="K17" s="3"/>
      <c r="L17" s="3"/>
      <c r="M17" s="3"/>
      <c r="N17" s="3"/>
      <c r="O17" s="3"/>
      <c r="P17" s="3"/>
      <c r="Q17" s="40"/>
      <c r="R17" s="40"/>
    </row>
    <row r="18" spans="1:18" x14ac:dyDescent="0.15">
      <c r="A18" s="3" t="s">
        <v>80</v>
      </c>
      <c r="B18" s="3"/>
      <c r="C18" s="3"/>
      <c r="D18" s="3"/>
      <c r="E18" s="3"/>
      <c r="F18" s="3"/>
      <c r="G18" s="3"/>
      <c r="H18" s="3"/>
      <c r="I18" s="3"/>
      <c r="J18" s="3"/>
      <c r="K18" s="3"/>
      <c r="L18" s="3"/>
      <c r="M18" s="3"/>
      <c r="N18" s="3"/>
      <c r="O18" s="3"/>
      <c r="P18" s="3"/>
      <c r="Q18" s="40"/>
      <c r="R18" s="40"/>
    </row>
    <row r="19" spans="1:18" x14ac:dyDescent="0.15">
      <c r="A19" s="3" t="s">
        <v>110</v>
      </c>
      <c r="B19" s="3" t="s">
        <v>234</v>
      </c>
      <c r="C19" s="3" t="s">
        <v>23</v>
      </c>
      <c r="D19" s="3" t="s">
        <v>17</v>
      </c>
      <c r="E19" s="3">
        <v>0.05</v>
      </c>
      <c r="F19" s="3">
        <v>0</v>
      </c>
      <c r="G19" s="3">
        <v>0.1</v>
      </c>
      <c r="H19" s="3">
        <v>0</v>
      </c>
      <c r="I19" s="3">
        <v>0</v>
      </c>
      <c r="J19" s="3">
        <v>0</v>
      </c>
      <c r="K19" s="3">
        <v>0</v>
      </c>
      <c r="L19" s="3">
        <v>0</v>
      </c>
      <c r="M19" s="3">
        <v>0.95</v>
      </c>
      <c r="N19" s="3">
        <v>-0.47696050556312919</v>
      </c>
      <c r="O19" s="3">
        <v>1.1003746422975109</v>
      </c>
      <c r="P19" s="3">
        <v>3.350016335885856E-2</v>
      </c>
      <c r="Q19" s="41">
        <v>600</v>
      </c>
      <c r="R19" s="41">
        <v>0</v>
      </c>
    </row>
    <row r="21" spans="1:18" x14ac:dyDescent="0.15">
      <c r="E21" s="1" t="s">
        <v>11</v>
      </c>
    </row>
    <row r="22" spans="1:18" x14ac:dyDescent="0.15">
      <c r="E22" s="1" t="s">
        <v>13</v>
      </c>
    </row>
    <row r="23" spans="1:18" x14ac:dyDescent="0.15">
      <c r="E23" s="1" t="s">
        <v>14</v>
      </c>
    </row>
    <row r="24" spans="1:18" x14ac:dyDescent="0.15">
      <c r="E24" s="1" t="s">
        <v>16</v>
      </c>
    </row>
    <row r="25" spans="1:18" x14ac:dyDescent="0.15">
      <c r="E25" s="1" t="s">
        <v>101</v>
      </c>
    </row>
    <row r="40" spans="1:10" x14ac:dyDescent="0.15">
      <c r="A40" t="s">
        <v>27</v>
      </c>
    </row>
    <row r="41" spans="1:10" x14ac:dyDescent="0.15">
      <c r="A41" s="211" t="s">
        <v>18</v>
      </c>
      <c r="B41" s="211" t="s">
        <v>1</v>
      </c>
      <c r="C41" s="211" t="s">
        <v>2</v>
      </c>
      <c r="D41" s="213" t="s">
        <v>3</v>
      </c>
      <c r="E41" s="210" t="s">
        <v>19</v>
      </c>
      <c r="F41" s="210"/>
      <c r="G41" s="210"/>
      <c r="H41" s="210"/>
      <c r="I41" s="210"/>
      <c r="J41" s="210"/>
    </row>
    <row r="42" spans="1:10" x14ac:dyDescent="0.15">
      <c r="A42" s="212"/>
      <c r="B42" s="212"/>
      <c r="C42" s="212"/>
      <c r="D42" s="212"/>
      <c r="E42" s="141" t="s">
        <v>248</v>
      </c>
      <c r="F42" s="2" t="s">
        <v>20</v>
      </c>
      <c r="G42" s="2" t="s">
        <v>21</v>
      </c>
      <c r="H42" s="2" t="s">
        <v>22</v>
      </c>
      <c r="I42" s="2" t="s">
        <v>252</v>
      </c>
      <c r="J42" s="2" t="s">
        <v>253</v>
      </c>
    </row>
    <row r="43" spans="1:10" x14ac:dyDescent="0.15">
      <c r="A43" s="23">
        <v>0</v>
      </c>
      <c r="B43" s="23"/>
      <c r="C43" s="23"/>
      <c r="D43" s="23">
        <v>0</v>
      </c>
      <c r="E43" s="2">
        <v>1</v>
      </c>
      <c r="F43" s="2">
        <v>0</v>
      </c>
      <c r="G43" s="2">
        <v>0</v>
      </c>
      <c r="H43" s="2">
        <v>0</v>
      </c>
      <c r="I43" s="2">
        <v>0</v>
      </c>
      <c r="J43" s="2">
        <v>0</v>
      </c>
    </row>
    <row r="44" spans="1:10" x14ac:dyDescent="0.15">
      <c r="A44" s="3" t="s">
        <v>68</v>
      </c>
      <c r="B44" s="12"/>
      <c r="C44" s="12"/>
      <c r="D44" s="3" t="s">
        <v>24</v>
      </c>
      <c r="E44" s="3">
        <v>350</v>
      </c>
      <c r="F44" s="143">
        <v>-0.47460000000000002</v>
      </c>
      <c r="G44" s="143">
        <v>1.9140999999999999</v>
      </c>
      <c r="H44" s="143">
        <v>-3.3464</v>
      </c>
      <c r="I44" s="143">
        <v>2.8412000000000002</v>
      </c>
      <c r="J44" s="143">
        <v>3.6999999999999998E-2</v>
      </c>
    </row>
    <row r="45" spans="1:10" x14ac:dyDescent="0.15">
      <c r="A45" s="3" t="s">
        <v>69</v>
      </c>
      <c r="B45" s="12"/>
      <c r="C45" s="12"/>
      <c r="D45" s="3" t="s">
        <v>25</v>
      </c>
      <c r="E45" s="3">
        <v>350</v>
      </c>
      <c r="F45" s="143">
        <v>-0.71679999999999999</v>
      </c>
      <c r="G45" s="143">
        <v>2.8693</v>
      </c>
      <c r="H45" s="143">
        <v>-4.4621000000000004</v>
      </c>
      <c r="I45" s="143">
        <v>3.1825000000000001</v>
      </c>
      <c r="J45" s="143">
        <v>6.4000000000000001E-2</v>
      </c>
    </row>
    <row r="46" spans="1:10" x14ac:dyDescent="0.15">
      <c r="A46" s="3" t="s">
        <v>70</v>
      </c>
      <c r="B46" s="12"/>
      <c r="C46" s="12"/>
      <c r="D46" s="3" t="s">
        <v>26</v>
      </c>
      <c r="E46" s="3">
        <v>350</v>
      </c>
      <c r="F46" s="143">
        <v>-0.44700000000000001</v>
      </c>
      <c r="G46" s="143">
        <v>1.7808999999999999</v>
      </c>
      <c r="H46" s="143">
        <v>-3.14</v>
      </c>
      <c r="I46" s="143">
        <v>2.7284000000000002</v>
      </c>
      <c r="J46" s="143">
        <v>5.2999999999999999E-2</v>
      </c>
    </row>
    <row r="47" spans="1:10" x14ac:dyDescent="0.15">
      <c r="A47" s="3" t="s">
        <v>81</v>
      </c>
      <c r="B47" s="12"/>
      <c r="C47" s="12"/>
      <c r="D47" s="3"/>
      <c r="E47" s="3"/>
      <c r="F47" s="3"/>
      <c r="G47" s="3"/>
      <c r="H47" s="3"/>
      <c r="I47" s="3"/>
      <c r="J47" s="3"/>
    </row>
    <row r="48" spans="1:10" x14ac:dyDescent="0.15">
      <c r="A48" s="3" t="s">
        <v>82</v>
      </c>
      <c r="B48" s="12"/>
      <c r="C48" s="12"/>
      <c r="D48" s="3"/>
      <c r="E48" s="3"/>
      <c r="F48" s="3"/>
      <c r="G48" s="3"/>
      <c r="H48" s="3"/>
      <c r="I48" s="3"/>
      <c r="J48" s="3"/>
    </row>
    <row r="49" spans="1:10" x14ac:dyDescent="0.15">
      <c r="A49" s="3" t="s">
        <v>83</v>
      </c>
      <c r="B49" s="12"/>
      <c r="C49" s="12"/>
      <c r="D49" s="3"/>
      <c r="E49" s="3"/>
      <c r="F49" s="3"/>
      <c r="G49" s="3"/>
      <c r="H49" s="3"/>
      <c r="I49" s="3"/>
      <c r="J49" s="3"/>
    </row>
    <row r="50" spans="1:10" x14ac:dyDescent="0.15">
      <c r="A50" s="3" t="s">
        <v>84</v>
      </c>
      <c r="B50" s="12"/>
      <c r="C50" s="12"/>
      <c r="D50" s="3"/>
      <c r="E50" s="3"/>
      <c r="F50" s="3"/>
      <c r="G50" s="3"/>
      <c r="H50" s="3"/>
      <c r="I50" s="3"/>
      <c r="J50" s="3"/>
    </row>
    <row r="51" spans="1:10" x14ac:dyDescent="0.15">
      <c r="A51" s="3" t="s">
        <v>85</v>
      </c>
      <c r="B51" s="12"/>
      <c r="C51" s="12"/>
      <c r="D51" s="3"/>
      <c r="E51" s="3"/>
      <c r="F51" s="3"/>
      <c r="G51" s="3"/>
      <c r="H51" s="3"/>
      <c r="I51" s="3"/>
      <c r="J51" s="3"/>
    </row>
    <row r="52" spans="1:10" x14ac:dyDescent="0.15">
      <c r="A52" s="3" t="s">
        <v>86</v>
      </c>
      <c r="B52" s="12"/>
      <c r="C52" s="12"/>
      <c r="D52" s="3"/>
      <c r="E52" s="3"/>
      <c r="F52" s="3"/>
      <c r="G52" s="3"/>
      <c r="H52" s="3"/>
      <c r="I52" s="3"/>
      <c r="J52" s="3"/>
    </row>
    <row r="53" spans="1:10" x14ac:dyDescent="0.15">
      <c r="A53" s="3" t="s">
        <v>87</v>
      </c>
      <c r="B53" s="12"/>
      <c r="C53" s="12"/>
      <c r="D53" s="3"/>
      <c r="E53" s="3"/>
      <c r="F53" s="3"/>
      <c r="G53" s="3"/>
      <c r="H53" s="3"/>
      <c r="I53" s="3"/>
      <c r="J53" s="3"/>
    </row>
    <row r="54" spans="1:10" x14ac:dyDescent="0.15">
      <c r="A54" s="3" t="s">
        <v>88</v>
      </c>
      <c r="B54" s="12"/>
      <c r="C54" s="12"/>
      <c r="D54" s="3"/>
      <c r="E54" s="3"/>
      <c r="F54" s="3"/>
      <c r="G54" s="3"/>
      <c r="H54" s="3"/>
      <c r="I54" s="3"/>
      <c r="J54" s="3"/>
    </row>
    <row r="55" spans="1:10" x14ac:dyDescent="0.15">
      <c r="A55" s="3" t="s">
        <v>89</v>
      </c>
      <c r="B55" s="12"/>
      <c r="C55" s="12"/>
      <c r="D55" s="3"/>
      <c r="E55" s="3"/>
      <c r="F55" s="3"/>
      <c r="G55" s="3"/>
      <c r="H55" s="3"/>
      <c r="I55" s="3"/>
      <c r="J55" s="3"/>
    </row>
    <row r="56" spans="1:10" x14ac:dyDescent="0.15">
      <c r="A56" s="3" t="s">
        <v>90</v>
      </c>
      <c r="B56" s="12"/>
      <c r="C56" s="12"/>
      <c r="D56" s="3"/>
      <c r="E56" s="3"/>
      <c r="F56" s="3"/>
      <c r="G56" s="3"/>
      <c r="H56" s="3"/>
      <c r="I56" s="3"/>
      <c r="J56" s="3"/>
    </row>
    <row r="57" spans="1:10" x14ac:dyDescent="0.15">
      <c r="A57" s="3" t="s">
        <v>91</v>
      </c>
      <c r="B57" s="12"/>
      <c r="C57" s="12"/>
      <c r="D57" s="3"/>
      <c r="E57" s="3"/>
      <c r="F57" s="3"/>
      <c r="G57" s="3"/>
      <c r="H57" s="3"/>
      <c r="I57" s="3"/>
      <c r="J57" s="3"/>
    </row>
    <row r="58" spans="1:10" x14ac:dyDescent="0.15">
      <c r="A58" s="3" t="s">
        <v>92</v>
      </c>
      <c r="B58" s="12"/>
      <c r="C58" s="12"/>
      <c r="D58" s="3"/>
      <c r="E58" s="3"/>
      <c r="F58" s="3"/>
      <c r="G58" s="3"/>
      <c r="H58" s="3"/>
      <c r="I58" s="3"/>
      <c r="J58" s="3"/>
    </row>
    <row r="60" spans="1:10" x14ac:dyDescent="0.15">
      <c r="E60" s="1" t="s">
        <v>251</v>
      </c>
    </row>
    <row r="61" spans="1:10" x14ac:dyDescent="0.15">
      <c r="E61" s="1" t="s">
        <v>104</v>
      </c>
    </row>
    <row r="62" spans="1:10" x14ac:dyDescent="0.15">
      <c r="E62" s="1" t="s">
        <v>254</v>
      </c>
    </row>
    <row r="63" spans="1:10" x14ac:dyDescent="0.15">
      <c r="E63" s="1" t="s">
        <v>101</v>
      </c>
    </row>
  </sheetData>
  <mergeCells count="13">
    <mergeCell ref="Q2:R2"/>
    <mergeCell ref="B41:B42"/>
    <mergeCell ref="M2:P2"/>
    <mergeCell ref="A41:A42"/>
    <mergeCell ref="D41:D42"/>
    <mergeCell ref="C41:C42"/>
    <mergeCell ref="I2:L2"/>
    <mergeCell ref="A2:A3"/>
    <mergeCell ref="B2:B3"/>
    <mergeCell ref="C2:C3"/>
    <mergeCell ref="D2:D3"/>
    <mergeCell ref="E2:H2"/>
    <mergeCell ref="E41:J41"/>
  </mergeCells>
  <phoneticPr fontId="2"/>
  <conditionalFormatting sqref="I5:L19">
    <cfRule type="expression" dxfId="0" priority="1">
      <formula>$B5="屋外設備"</formula>
    </cfRule>
  </conditionalFormatting>
  <dataValidations count="1">
    <dataValidation type="list" allowBlank="1" showInputMessage="1" showErrorMessage="1" sqref="B5:B19" xr:uid="{00000000-0002-0000-0700-000000000000}">
      <formula1>"建物,屋外設備"</formula1>
    </dataValidation>
  </dataValidations>
  <pageMargins left="0.75" right="0.75" top="1" bottom="1" header="0.51200000000000001" footer="0.51200000000000001"/>
  <pageSetup paperSize="9"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①簡易状況入力</vt:lpstr>
      <vt:lpstr>②詳細状況入力</vt:lpstr>
      <vt:lpstr>③各部被害関数計算結果</vt:lpstr>
      <vt:lpstr>【参考】被害関数グラフ</vt:lpstr>
      <vt:lpstr>④結果出力</vt:lpstr>
      <vt:lpstr>建物被害関数</vt:lpstr>
      <vt:lpstr>屋外設備被害関数</vt:lpstr>
      <vt:lpstr>【DB】被害率係数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長谷川幹_A6Y41</dc:creator>
  <cp:lastModifiedBy>篠塚　義庸</cp:lastModifiedBy>
  <dcterms:created xsi:type="dcterms:W3CDTF">1997-01-08T22:48:59Z</dcterms:created>
  <dcterms:modified xsi:type="dcterms:W3CDTF">2024-05-01T12:53:53Z</dcterms:modified>
</cp:coreProperties>
</file>